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 date1904="1"/>
  <mc:AlternateContent xmlns:mc="http://schemas.openxmlformats.org/markup-compatibility/2006">
    <mc:Choice Requires="x15">
      <x15ac:absPath xmlns:x15ac="http://schemas.microsoft.com/office/spreadsheetml/2010/11/ac" url="/Users/vafa.saboorideilami/Documents/5509 Summer 2025/Chapter 8/"/>
    </mc:Choice>
  </mc:AlternateContent>
  <xr:revisionPtr revIDLastSave="0" documentId="13_ncr:1_{6BA53B4C-9FB9-2048-B6AA-AFC39A50910B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Wyndor" sheetId="7" r:id="rId1"/>
    <sheet name="Sheet1" sheetId="5" r:id="rId2"/>
  </sheets>
  <definedNames>
    <definedName name="HoursAvailable">Wyndor!$G$8:$G$10</definedName>
    <definedName name="HoursUsed">Wyndor!$E$8:$E$10</definedName>
    <definedName name="HoursUsedPerUnitProduced">Wyndor!$C$8:$D$10</definedName>
    <definedName name="Maximum">Wyndor!$F$14:$G$15</definedName>
    <definedName name="solver_adj" localSheetId="0" hidden="1">Wyndor!$C$14:$D$15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100</definedName>
    <definedName name="solver_lhs1" localSheetId="0" hidden="1">Wyndor!$E$8:$E$10</definedName>
    <definedName name="solver_lhs2" localSheetId="0" hidden="1">Wyndor!$C$14:$D$15</definedName>
    <definedName name="solver_lin" localSheetId="0" hidden="1">1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Wyndor!$D$18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1</definedName>
    <definedName name="solver_rhs1" localSheetId="0" hidden="1">HoursAvailable</definedName>
    <definedName name="solver_rhs2" localSheetId="0" hidden="1">Maximum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100</definedName>
    <definedName name="solver_tmp" localSheetId="0" hidden="1">0</definedName>
    <definedName name="solver_tol" localSheetId="0" hidden="1">0</definedName>
    <definedName name="solver_typ" localSheetId="0" hidden="1">1</definedName>
    <definedName name="solver_val" localSheetId="0" hidden="1">0</definedName>
    <definedName name="solver_ver" localSheetId="0" hidden="1">2</definedName>
    <definedName name="TotalProduced">Wyndor!$C$16:$D$16</definedName>
    <definedName name="TotalProfit">Wyndor!$D$18</definedName>
    <definedName name="UnitProfit">Wyndor!$C$4:$D$5</definedName>
    <definedName name="UnitsProduced">Wyndor!$C$14:$D$15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6" i="7" l="1"/>
  <c r="C16" i="7"/>
  <c r="D18" i="7"/>
  <c r="E9" i="7" l="1"/>
  <c r="E8" i="7"/>
  <c r="E10" i="7"/>
</calcChain>
</file>

<file path=xl/sharedStrings.xml><?xml version="1.0" encoding="utf-8"?>
<sst xmlns="http://schemas.openxmlformats.org/spreadsheetml/2006/main" count="47" uniqueCount="35">
  <si>
    <t>Available</t>
  </si>
  <si>
    <t>Plant 1</t>
  </si>
  <si>
    <t>Plant 2</t>
  </si>
  <si>
    <t>Plant 3</t>
  </si>
  <si>
    <t>Unit Profit</t>
  </si>
  <si>
    <t>Hours</t>
  </si>
  <si>
    <t>Doors</t>
  </si>
  <si>
    <t>Windows</t>
  </si>
  <si>
    <t>Hours Used Per Unit Produced</t>
  </si>
  <si>
    <t>Units Produced</t>
  </si>
  <si>
    <t>Used</t>
  </si>
  <si>
    <t>Total Profit</t>
  </si>
  <si>
    <t>HoursAvailable</t>
  </si>
  <si>
    <t>HoursUsed</t>
  </si>
  <si>
    <t>TotalProfit</t>
  </si>
  <si>
    <t>UnitProfit</t>
  </si>
  <si>
    <t>UnitsProduced</t>
  </si>
  <si>
    <t>Range Name</t>
  </si>
  <si>
    <t>Cells</t>
  </si>
  <si>
    <t>HoursUsedPerUnitProduced</t>
  </si>
  <si>
    <t>Regular</t>
  </si>
  <si>
    <t>Overtime</t>
  </si>
  <si>
    <t>Total Produced</t>
  </si>
  <si>
    <t>Maximum</t>
  </si>
  <si>
    <t>TotalProduced</t>
  </si>
  <si>
    <t>G8:G10</t>
  </si>
  <si>
    <t>E8:E10</t>
  </si>
  <si>
    <t>C8:D10</t>
  </si>
  <si>
    <t>F14:G15</t>
  </si>
  <si>
    <t>C16:D16</t>
  </si>
  <si>
    <t>C4:D5</t>
  </si>
  <si>
    <t>C14:D15</t>
  </si>
  <si>
    <t>D18</t>
  </si>
  <si>
    <t>Wyndor Problem with Overtime (Separable Programming)</t>
  </si>
  <si>
    <t>&lt;=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</si>
</sst>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"/>
  </numFmts>
  <fonts count="7" x14ac:knownFonts="1">
    <font>
      <sz val="10"/>
      <name val="Geneva"/>
    </font>
    <font>
      <sz val="10"/>
      <name val="Geneva"/>
      <family val="2"/>
    </font>
    <font>
      <sz val="8"/>
      <name val="Geneva"/>
      <family val="2"/>
    </font>
    <font>
      <sz val="10"/>
      <name val="Arial"/>
      <family val="2"/>
    </font>
    <font>
      <b/>
      <sz val="14"/>
      <name val="Consolas"/>
      <family val="2"/>
    </font>
    <font>
      <sz val="10"/>
      <name val="Consolas"/>
      <family val="2"/>
    </font>
    <font>
      <b/>
      <sz val="10"/>
      <name val="Consolas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0" borderId="0"/>
  </cellStyleXfs>
  <cellXfs count="27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2" borderId="1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left"/>
    </xf>
    <xf numFmtId="0" fontId="5" fillId="0" borderId="0" xfId="0" applyFont="1" applyAlignment="1">
      <alignment horizontal="right"/>
    </xf>
    <xf numFmtId="164" fontId="5" fillId="5" borderId="0" xfId="2" applyNumberFormat="1" applyFont="1" applyFill="1" applyAlignment="1">
      <alignment horizontal="center"/>
    </xf>
    <xf numFmtId="0" fontId="5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0" fontId="5" fillId="0" borderId="0" xfId="0" applyFont="1" applyAlignment="1">
      <alignment horizontal="centerContinuous"/>
    </xf>
    <xf numFmtId="0" fontId="5" fillId="5" borderId="0" xfId="2" applyFont="1" applyFill="1" applyAlignment="1">
      <alignment horizontal="center"/>
    </xf>
    <xf numFmtId="0" fontId="5" fillId="0" borderId="0" xfId="1" applyNumberFormat="1" applyFont="1" applyFill="1" applyBorder="1" applyAlignment="1">
      <alignment horizontal="center"/>
    </xf>
    <xf numFmtId="0" fontId="5" fillId="2" borderId="5" xfId="0" applyFont="1" applyFill="1" applyBorder="1"/>
    <xf numFmtId="0" fontId="5" fillId="2" borderId="6" xfId="0" applyFont="1" applyFill="1" applyBorder="1"/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0" borderId="0" xfId="0" applyFont="1"/>
    <xf numFmtId="164" fontId="5" fillId="4" borderId="11" xfId="1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1" applyNumberFormat="1" applyFont="1" applyFill="1" applyBorder="1" applyAlignment="1">
      <alignment horizontal="center"/>
    </xf>
  </cellXfs>
  <cellStyles count="3">
    <cellStyle name="Currency" xfId="1" builtinId="4"/>
    <cellStyle name="Normal" xfId="0" builtinId="0"/>
    <cellStyle name="Normal 3" xfId="2" xr:uid="{3CD3E648-3EED-AF4F-8B68-D622DAB52085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603250</xdr:colOff>
      <xdr:row>15</xdr:row>
      <xdr:rowOff>55382</xdr:rowOff>
    </xdr:from>
    <xdr:to>
      <xdr:col>8</xdr:col>
      <xdr:colOff>1917700</xdr:colOff>
      <xdr:row>22</xdr:row>
      <xdr:rowOff>126955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136954-7B8E-8E0E-CFDB-68D4030A2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8150" y="2633482"/>
          <a:ext cx="3930650" cy="13433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95250</xdr:colOff>
      <xdr:row>18</xdr:row>
      <xdr:rowOff>143329</xdr:rowOff>
    </xdr:from>
    <xdr:to>
      <xdr:col>7</xdr:col>
      <xdr:colOff>336550</xdr:colOff>
      <xdr:row>19</xdr:row>
      <xdr:rowOff>149678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68301352-CE5C-B0C1-0640-A473C98F6B5B}"/>
            </a:ext>
          </a:extLst>
        </xdr:cNvPr>
        <xdr:cNvSpPr/>
      </xdr:nvSpPr>
      <xdr:spPr>
        <a:xfrm>
          <a:off x="4384221" y="3503386"/>
          <a:ext cx="1721758" cy="187778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19050</xdr:colOff>
      <xdr:row>12</xdr:row>
      <xdr:rowOff>0</xdr:rowOff>
    </xdr:from>
    <xdr:to>
      <xdr:col>6</xdr:col>
      <xdr:colOff>12700</xdr:colOff>
      <xdr:row>15</xdr:row>
      <xdr:rowOff>6350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51613813-6581-074B-88AF-66B981BD200E}"/>
            </a:ext>
          </a:extLst>
        </xdr:cNvPr>
        <xdr:cNvSpPr/>
      </xdr:nvSpPr>
      <xdr:spPr>
        <a:xfrm>
          <a:off x="4298950" y="2082800"/>
          <a:ext cx="679450" cy="501650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19050</xdr:colOff>
      <xdr:row>13</xdr:row>
      <xdr:rowOff>93889</xdr:rowOff>
    </xdr:from>
    <xdr:to>
      <xdr:col>5</xdr:col>
      <xdr:colOff>95250</xdr:colOff>
      <xdr:row>19</xdr:row>
      <xdr:rowOff>55789</xdr:rowOff>
    </xdr:to>
    <xdr:cxnSp macro="">
      <xdr:nvCxnSpPr>
        <xdr:cNvPr id="6" name="Curved Connector 5">
          <a:extLst>
            <a:ext uri="{FF2B5EF4-FFF2-40B4-BE49-F238E27FC236}">
              <a16:creationId xmlns:a16="http://schemas.microsoft.com/office/drawing/2014/main" id="{6CA185F1-7F0E-E468-E956-C1D819C55E7E}"/>
            </a:ext>
          </a:extLst>
        </xdr:cNvPr>
        <xdr:cNvCxnSpPr>
          <a:stCxn id="3" idx="1"/>
          <a:endCxn id="4" idx="1"/>
        </xdr:cNvCxnSpPr>
      </xdr:nvCxnSpPr>
      <xdr:spPr>
        <a:xfrm rot="10800000">
          <a:off x="4308021" y="2532289"/>
          <a:ext cx="76200" cy="1064986"/>
        </a:xfrm>
        <a:prstGeom prst="curvedConnector3">
          <a:avLst>
            <a:gd name="adj1" fmla="val 400000"/>
          </a:avLst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101600</xdr:colOff>
      <xdr:row>20</xdr:row>
      <xdr:rowOff>19958</xdr:rowOff>
    </xdr:from>
    <xdr:to>
      <xdr:col>7</xdr:col>
      <xdr:colOff>342900</xdr:colOff>
      <xdr:row>21</xdr:row>
      <xdr:rowOff>26308</xdr:rowOff>
    </xdr:to>
    <xdr:sp macro="" textlink="">
      <xdr:nvSpPr>
        <xdr:cNvPr id="7" name="Rounded Rectangle 6">
          <a:extLst>
            <a:ext uri="{FF2B5EF4-FFF2-40B4-BE49-F238E27FC236}">
              <a16:creationId xmlns:a16="http://schemas.microsoft.com/office/drawing/2014/main" id="{0224951F-10CC-864F-951E-B727D2DA7C32}"/>
            </a:ext>
          </a:extLst>
        </xdr:cNvPr>
        <xdr:cNvSpPr/>
      </xdr:nvSpPr>
      <xdr:spPr>
        <a:xfrm>
          <a:off x="4390571" y="3742872"/>
          <a:ext cx="1721758" cy="187779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82550</xdr:colOff>
      <xdr:row>11</xdr:row>
      <xdr:rowOff>158750</xdr:rowOff>
    </xdr:from>
    <xdr:to>
      <xdr:col>6</xdr:col>
      <xdr:colOff>762000</xdr:colOff>
      <xdr:row>15</xdr:row>
      <xdr:rowOff>0</xdr:rowOff>
    </xdr:to>
    <xdr:sp macro="" textlink="">
      <xdr:nvSpPr>
        <xdr:cNvPr id="8" name="Rounded Rectangle 7">
          <a:extLst>
            <a:ext uri="{FF2B5EF4-FFF2-40B4-BE49-F238E27FC236}">
              <a16:creationId xmlns:a16="http://schemas.microsoft.com/office/drawing/2014/main" id="{95C3DC0B-B6E7-3140-836B-43E2EE99C3F0}"/>
            </a:ext>
          </a:extLst>
        </xdr:cNvPr>
        <xdr:cNvSpPr/>
      </xdr:nvSpPr>
      <xdr:spPr>
        <a:xfrm>
          <a:off x="5048250" y="2076450"/>
          <a:ext cx="679450" cy="501650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762000</xdr:colOff>
      <xdr:row>13</xdr:row>
      <xdr:rowOff>79375</xdr:rowOff>
    </xdr:from>
    <xdr:to>
      <xdr:col>7</xdr:col>
      <xdr:colOff>342900</xdr:colOff>
      <xdr:row>20</xdr:row>
      <xdr:rowOff>113848</xdr:rowOff>
    </xdr:to>
    <xdr:cxnSp macro="">
      <xdr:nvCxnSpPr>
        <xdr:cNvPr id="9" name="Curved Connector 8">
          <a:extLst>
            <a:ext uri="{FF2B5EF4-FFF2-40B4-BE49-F238E27FC236}">
              <a16:creationId xmlns:a16="http://schemas.microsoft.com/office/drawing/2014/main" id="{16DC2031-E8A3-DB48-82F7-74D15F1385A7}"/>
            </a:ext>
          </a:extLst>
        </xdr:cNvPr>
        <xdr:cNvCxnSpPr>
          <a:stCxn id="7" idx="3"/>
          <a:endCxn id="8" idx="3"/>
        </xdr:cNvCxnSpPr>
      </xdr:nvCxnSpPr>
      <xdr:spPr>
        <a:xfrm flipH="1" flipV="1">
          <a:off x="5740400" y="2517775"/>
          <a:ext cx="371929" cy="1318987"/>
        </a:xfrm>
        <a:prstGeom prst="curvedConnector3">
          <a:avLst>
            <a:gd name="adj1" fmla="val -61463"/>
          </a:avLst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8"/>
  <sheetViews>
    <sheetView tabSelected="1" zoomScale="175" zoomScaleNormal="200" workbookViewId="0">
      <selection activeCell="D15" sqref="D15"/>
    </sheetView>
  </sheetViews>
  <sheetFormatPr baseColWidth="10" defaultColWidth="10.7109375" defaultRowHeight="14" x14ac:dyDescent="0.2"/>
  <cols>
    <col min="1" max="1" width="2.7109375" style="3" customWidth="1"/>
    <col min="2" max="2" width="12.85546875" style="3" bestFit="1" customWidth="1"/>
    <col min="3" max="4" width="12.7109375" style="3" customWidth="1"/>
    <col min="5" max="5" width="7.140625" style="3" customWidth="1"/>
    <col min="6" max="6" width="7.7109375" style="3" customWidth="1"/>
    <col min="7" max="7" width="8.85546875" style="3" customWidth="1"/>
    <col min="8" max="8" width="5.7109375" style="3" customWidth="1"/>
    <col min="9" max="9" width="24.5703125" style="3" bestFit="1" customWidth="1"/>
    <col min="10" max="10" width="8.140625" style="3" bestFit="1" customWidth="1"/>
    <col min="11" max="16384" width="10.7109375" style="3"/>
  </cols>
  <sheetData>
    <row r="1" spans="1:10" ht="19" x14ac:dyDescent="0.25">
      <c r="A1" s="2" t="s">
        <v>33</v>
      </c>
    </row>
    <row r="2" spans="1:10" ht="15" thickBot="1" x14ac:dyDescent="0.25"/>
    <row r="3" spans="1:10" ht="15" thickBot="1" x14ac:dyDescent="0.25">
      <c r="B3" s="4" t="s">
        <v>4</v>
      </c>
      <c r="C3" s="3" t="s">
        <v>6</v>
      </c>
      <c r="D3" s="3" t="s">
        <v>7</v>
      </c>
      <c r="I3" s="5" t="s">
        <v>17</v>
      </c>
      <c r="J3" s="6" t="s">
        <v>18</v>
      </c>
    </row>
    <row r="4" spans="1:10" x14ac:dyDescent="0.2">
      <c r="B4" s="7" t="s">
        <v>20</v>
      </c>
      <c r="C4" s="8">
        <v>300</v>
      </c>
      <c r="D4" s="8">
        <v>500</v>
      </c>
      <c r="I4" s="9" t="s">
        <v>12</v>
      </c>
      <c r="J4" s="10" t="s">
        <v>25</v>
      </c>
    </row>
    <row r="5" spans="1:10" x14ac:dyDescent="0.2">
      <c r="B5" s="7" t="s">
        <v>21</v>
      </c>
      <c r="C5" s="8">
        <v>200</v>
      </c>
      <c r="D5" s="8">
        <v>100</v>
      </c>
      <c r="I5" s="11" t="s">
        <v>13</v>
      </c>
      <c r="J5" s="12" t="s">
        <v>26</v>
      </c>
    </row>
    <row r="6" spans="1:10" x14ac:dyDescent="0.2">
      <c r="B6" s="7"/>
      <c r="D6" s="13"/>
      <c r="E6" s="3" t="s">
        <v>5</v>
      </c>
      <c r="G6" s="3" t="s">
        <v>5</v>
      </c>
      <c r="I6" s="11" t="s">
        <v>19</v>
      </c>
      <c r="J6" s="12" t="s">
        <v>27</v>
      </c>
    </row>
    <row r="7" spans="1:10" x14ac:dyDescent="0.2">
      <c r="B7" s="7"/>
      <c r="C7" s="25" t="s">
        <v>8</v>
      </c>
      <c r="D7" s="25"/>
      <c r="E7" s="3" t="s">
        <v>10</v>
      </c>
      <c r="G7" s="3" t="s">
        <v>0</v>
      </c>
      <c r="I7" s="11" t="s">
        <v>23</v>
      </c>
      <c r="J7" s="12" t="s">
        <v>28</v>
      </c>
    </row>
    <row r="8" spans="1:10" x14ac:dyDescent="0.2">
      <c r="B8" s="7" t="s">
        <v>1</v>
      </c>
      <c r="C8" s="14">
        <v>1</v>
      </c>
      <c r="D8" s="14">
        <v>0</v>
      </c>
      <c r="E8" s="3">
        <f>SUMPRODUCT(C8:D8,TotalProduced)</f>
        <v>4</v>
      </c>
      <c r="F8" s="3" t="s">
        <v>34</v>
      </c>
      <c r="G8" s="14">
        <v>4</v>
      </c>
      <c r="I8" s="11" t="s">
        <v>24</v>
      </c>
      <c r="J8" s="12" t="s">
        <v>29</v>
      </c>
    </row>
    <row r="9" spans="1:10" x14ac:dyDescent="0.2">
      <c r="B9" s="7" t="s">
        <v>2</v>
      </c>
      <c r="C9" s="14">
        <v>0</v>
      </c>
      <c r="D9" s="14">
        <v>2</v>
      </c>
      <c r="E9" s="3">
        <f>SUMPRODUCT(C9:D9,TotalProduced)</f>
        <v>6</v>
      </c>
      <c r="F9" s="3" t="s">
        <v>34</v>
      </c>
      <c r="G9" s="14">
        <v>12</v>
      </c>
      <c r="I9" s="11" t="s">
        <v>14</v>
      </c>
      <c r="J9" s="12" t="s">
        <v>32</v>
      </c>
    </row>
    <row r="10" spans="1:10" x14ac:dyDescent="0.2">
      <c r="B10" s="7" t="s">
        <v>3</v>
      </c>
      <c r="C10" s="14">
        <v>3</v>
      </c>
      <c r="D10" s="14">
        <v>2</v>
      </c>
      <c r="E10" s="3">
        <f>SUMPRODUCT(C10:D10,TotalProduced)</f>
        <v>18</v>
      </c>
      <c r="F10" s="3" t="s">
        <v>34</v>
      </c>
      <c r="G10" s="14">
        <v>18</v>
      </c>
      <c r="I10" s="11" t="s">
        <v>15</v>
      </c>
      <c r="J10" s="12" t="s">
        <v>30</v>
      </c>
    </row>
    <row r="11" spans="1:10" ht="15" thickBot="1" x14ac:dyDescent="0.25">
      <c r="B11" s="7"/>
      <c r="F11" s="15"/>
      <c r="I11" s="16" t="s">
        <v>16</v>
      </c>
      <c r="J11" s="17" t="s">
        <v>31</v>
      </c>
    </row>
    <row r="12" spans="1:10" x14ac:dyDescent="0.2">
      <c r="B12" s="7"/>
      <c r="C12" s="25" t="s">
        <v>9</v>
      </c>
      <c r="D12" s="25"/>
      <c r="F12" s="26" t="s">
        <v>23</v>
      </c>
      <c r="G12" s="25"/>
    </row>
    <row r="13" spans="1:10" x14ac:dyDescent="0.2">
      <c r="B13" s="7"/>
      <c r="C13" s="3" t="s">
        <v>6</v>
      </c>
      <c r="D13" s="3" t="s">
        <v>7</v>
      </c>
      <c r="F13" s="3" t="s">
        <v>6</v>
      </c>
      <c r="G13" s="3" t="s">
        <v>7</v>
      </c>
    </row>
    <row r="14" spans="1:10" x14ac:dyDescent="0.2">
      <c r="B14" s="7" t="s">
        <v>20</v>
      </c>
      <c r="C14" s="18">
        <v>3</v>
      </c>
      <c r="D14" s="19">
        <v>3</v>
      </c>
      <c r="E14" s="3" t="s">
        <v>34</v>
      </c>
      <c r="F14" s="20">
        <v>3</v>
      </c>
      <c r="G14" s="20">
        <v>3</v>
      </c>
    </row>
    <row r="15" spans="1:10" x14ac:dyDescent="0.2">
      <c r="B15" s="7" t="s">
        <v>21</v>
      </c>
      <c r="C15" s="21">
        <v>1</v>
      </c>
      <c r="D15" s="22">
        <v>0</v>
      </c>
      <c r="E15" s="3" t="s">
        <v>34</v>
      </c>
      <c r="F15" s="20">
        <v>1</v>
      </c>
      <c r="G15" s="20">
        <v>3</v>
      </c>
    </row>
    <row r="16" spans="1:10" x14ac:dyDescent="0.2">
      <c r="B16" s="7" t="s">
        <v>22</v>
      </c>
      <c r="C16" s="3">
        <f>SUM(C14:C15)</f>
        <v>4</v>
      </c>
      <c r="D16" s="3">
        <f>SUM(D14:D15)</f>
        <v>3</v>
      </c>
    </row>
    <row r="17" spans="3:7" ht="15" thickBot="1" x14ac:dyDescent="0.25">
      <c r="G17" s="23"/>
    </row>
    <row r="18" spans="3:7" ht="15" thickBot="1" x14ac:dyDescent="0.25">
      <c r="C18" s="3" t="s">
        <v>11</v>
      </c>
      <c r="D18" s="24">
        <f>SUMPRODUCT(UnitProfit,UnitsProduced)</f>
        <v>2600</v>
      </c>
    </row>
  </sheetData>
  <mergeCells count="3">
    <mergeCell ref="C7:D7"/>
    <mergeCell ref="F12:G12"/>
    <mergeCell ref="C12:D12"/>
  </mergeCells>
  <phoneticPr fontId="2"/>
  <printOptions headings="1" gridLines="1"/>
  <pageMargins left="0.75" right="0.75" top="1" bottom="1" header="0.5" footer="0.5"/>
  <pageSetup paperSize="0" orientation="landscape" horizontalDpi="4294967292" verticalDpi="4294967292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"/>
  <sheetViews>
    <sheetView workbookViewId="0"/>
  </sheetViews>
  <sheetFormatPr baseColWidth="10" defaultColWidth="10.7109375" defaultRowHeight="13" x14ac:dyDescent="0.15"/>
  <cols>
    <col min="1" max="16384" width="10.7109375" style="1"/>
  </cols>
  <sheetData/>
  <phoneticPr fontId="2" type="noConversion"/>
  <pageMargins left="0.75" right="0.75" top="1" bottom="1" header="0.5" footer="0.5"/>
  <pageSetup paperSize="0" orientation="landscape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8</vt:i4>
      </vt:variant>
    </vt:vector>
  </HeadingPairs>
  <TitlesOfParts>
    <vt:vector size="10" baseType="lpstr">
      <vt:lpstr>Wyndor</vt:lpstr>
      <vt:lpstr>Sheet1</vt:lpstr>
      <vt:lpstr>HoursAvailable</vt:lpstr>
      <vt:lpstr>HoursUsed</vt:lpstr>
      <vt:lpstr>HoursUsedPerUnitProduced</vt:lpstr>
      <vt:lpstr>Maximum</vt:lpstr>
      <vt:lpstr>TotalProduced</vt:lpstr>
      <vt:lpstr>TotalProfit</vt:lpstr>
      <vt:lpstr>UnitProfit</vt:lpstr>
      <vt:lpstr>UnitsProduced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Hillier</dc:creator>
  <cp:lastModifiedBy>Saboorideilami, Vafa</cp:lastModifiedBy>
  <cp:lastPrinted>1999-06-01T06:13:52Z</cp:lastPrinted>
  <dcterms:created xsi:type="dcterms:W3CDTF">1998-09-28T19:24:19Z</dcterms:created>
  <dcterms:modified xsi:type="dcterms:W3CDTF">2025-06-21T21:15:26Z</dcterms:modified>
</cp:coreProperties>
</file>