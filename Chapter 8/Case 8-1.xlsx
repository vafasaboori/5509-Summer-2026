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8/"/>
    </mc:Choice>
  </mc:AlternateContent>
  <xr:revisionPtr revIDLastSave="0" documentId="13_ncr:1_{7911B2B8-6D06-D148-8C9B-7510D021AF70}" xr6:coauthVersionLast="47" xr6:coauthVersionMax="47" xr10:uidLastSave="{00000000-0000-0000-0000-000000000000}"/>
  <bookViews>
    <workbookView xWindow="0" yWindow="500" windowWidth="28800" windowHeight="17500" activeTab="6" xr2:uid="{D22E498D-71D6-1E44-B93A-E378EBE26199}"/>
  </bookViews>
  <sheets>
    <sheet name="Case 8-1a,b (TV Spots)" sheetId="12" r:id="rId1"/>
    <sheet name="Case 8-1a,b (Magazine Ads)" sheetId="13" r:id="rId2"/>
    <sheet name="Case 8-1a, (Sunday Supplements)" sheetId="14" r:id="rId3"/>
    <sheet name="case 8-1c" sheetId="24" r:id="rId4"/>
    <sheet name="Case 8-1 d (Quadratic)" sheetId="25" r:id="rId5"/>
    <sheet name="Case 8-1 e (Seperable)" sheetId="26" r:id="rId6"/>
    <sheet name="Case 8-1 f" sheetId="27" r:id="rId7"/>
  </sheets>
  <externalReferences>
    <externalReference r:id="rId8"/>
  </externalReferences>
  <definedNames>
    <definedName name="BudgetAvailable" localSheetId="5">'Case 8-1 e (Seperable)'!$H$12:$H$13</definedName>
    <definedName name="BudgetAvailable">'Case 8-1 d (Quadratic)'!$H$10:$H$11</definedName>
    <definedName name="BudgetSpent" localSheetId="5">'Case 8-1 e (Seperable)'!$F$12:$F$13</definedName>
    <definedName name="BudgetSpent">'Case 8-1 d (Quadratic)'!$F$10:$F$11</definedName>
    <definedName name="CostPerAd" localSheetId="5">'Case 8-1 e (Seperable)'!$C$12:$E$13</definedName>
    <definedName name="CostPerAd">'Case 8-1 d (Quadratic)'!$C$10:$E$11</definedName>
    <definedName name="CouponRedemptionPerAd" localSheetId="5">'Case 8-1 e (Seperable)'!$C$20:$E$20</definedName>
    <definedName name="CouponRedemptionPerAd">'Case 8-1 d (Quadratic)'!$C$18:$E$18</definedName>
    <definedName name="GrossProfitPerSale" localSheetId="5">'Case 8-1 e (Seperable)'!$H$31</definedName>
    <definedName name="GrossProfitPerSale">'Case 8-1 d (Quadratic)'!$H$7</definedName>
    <definedName name="Maximum" localSheetId="4">'Case 8-1 e (Seperable)'!$G$24:$I$28</definedName>
    <definedName name="Maximum" localSheetId="5">'Case 8-1 e (Seperable)'!$G$24:$I$28</definedName>
    <definedName name="Maximum" localSheetId="2">'Case 8-1 e (Seperable)'!$G$24:$I$28</definedName>
    <definedName name="Maximum" localSheetId="1">'Case 8-1 e (Seperable)'!$G$24:$I$28</definedName>
    <definedName name="Maximum" localSheetId="0">'Case 8-1 e (Seperable)'!$G$24:$I$28</definedName>
    <definedName name="Maximum">'[1]NLP a'!$E$5</definedName>
    <definedName name="MaxTVSpots" localSheetId="5">'Case 8-1 e (Seperable)'!$C$31</definedName>
    <definedName name="MaxTVSpots">'Case 8-1 d (Quadratic)'!$C$24</definedName>
    <definedName name="MinimumAcceptable" localSheetId="5">'Case 8-1 e (Seperable)'!$H$16:$H$17</definedName>
    <definedName name="MinimumAcceptable">'Case 8-1 d (Quadratic)'!$H$14:$H$15</definedName>
    <definedName name="NumberOfAds" localSheetId="5">'Case 8-1 e (Seperable)'!$C$24:$E$28</definedName>
    <definedName name="NumberReachedPerAd">'Case 8-1 d (Quadratic)'!$C$14:$E$15</definedName>
    <definedName name="Productivity">#REF!</definedName>
    <definedName name="RequiredAmount" localSheetId="5">'Case 8-1 e (Seperable)'!$H$20</definedName>
    <definedName name="RequiredAmount">'Case 8-1 d (Quadratic)'!$H$18</definedName>
    <definedName name="Sales">#REF!</definedName>
    <definedName name="SalesGenerated">'Case 8-1 d (Quadratic)'!$C$7:$E$7</definedName>
    <definedName name="SalesPerAd">'Case 8-1 e (Seperable)'!$C$4:$E$8</definedName>
    <definedName name="solver_adj" localSheetId="4" hidden="1">'Case 8-1 d (Quadratic)'!$C$22:$E$22</definedName>
    <definedName name="solver_adj" localSheetId="5" hidden="1">'Case 8-1 e (Seperable)'!$C$24:$E$28</definedName>
    <definedName name="solver_cvg" localSheetId="4" hidden="1">0.0001</definedName>
    <definedName name="solver_cvg" localSheetId="5" hidden="1">0.0001</definedName>
    <definedName name="solver_drv" localSheetId="4" hidden="1">1</definedName>
    <definedName name="solver_drv" localSheetId="5" hidden="1">1</definedName>
    <definedName name="solver_eng" localSheetId="4" hidden="1">1</definedName>
    <definedName name="solver_eng" localSheetId="5" hidden="1">2</definedName>
    <definedName name="solver_est" localSheetId="4" hidden="1">1</definedName>
    <definedName name="solver_est" localSheetId="5" hidden="1">1</definedName>
    <definedName name="solver_itr" localSheetId="4" hidden="1">100</definedName>
    <definedName name="solver_itr" localSheetId="5" hidden="1">100</definedName>
    <definedName name="solver_lhs1" localSheetId="4" hidden="1">'Case 8-1 d (Quadratic)'!$C$22</definedName>
    <definedName name="solver_lhs1" localSheetId="5" hidden="1">'Case 8-1 e (Seperable)'!$F$12:$F$13</definedName>
    <definedName name="solver_lhs2" localSheetId="4" hidden="1">'Case 8-1 d (Quadratic)'!$F$10:$F$11</definedName>
    <definedName name="solver_lhs2" localSheetId="5" hidden="1">'Case 8-1 e (Seperable)'!$C$24:$E$28</definedName>
    <definedName name="solver_lhs3" localSheetId="4" hidden="1">'Case 8-1 d (Quadratic)'!$F$14:$F$15</definedName>
    <definedName name="solver_lhs3" localSheetId="5" hidden="1">'Case 8-1 e (Seperable)'!$C$29</definedName>
    <definedName name="solver_lhs4" localSheetId="4" hidden="1">'Case 8-1 d (Quadratic)'!$F$18</definedName>
    <definedName name="solver_lhs4" localSheetId="5" hidden="1">'Case 8-1 e (Seperable)'!$F$16:$F$17</definedName>
    <definedName name="solver_lhs5" localSheetId="5" hidden="1">'Case 8-1 e (Seperable)'!$F$20</definedName>
    <definedName name="solver_lin" localSheetId="4" hidden="1">2</definedName>
    <definedName name="solver_lin" localSheetId="5" hidden="1">1</definedName>
    <definedName name="solver_mip" localSheetId="4" hidden="1">2147483647</definedName>
    <definedName name="solver_mip" localSheetId="5" hidden="1">2147483647</definedName>
    <definedName name="solver_mni" localSheetId="4" hidden="1">30</definedName>
    <definedName name="solver_mni" localSheetId="5" hidden="1">30</definedName>
    <definedName name="solver_mrt" localSheetId="4" hidden="1">0.075</definedName>
    <definedName name="solver_mrt" localSheetId="5" hidden="1">0.075</definedName>
    <definedName name="solver_msl" localSheetId="4" hidden="1">2</definedName>
    <definedName name="solver_msl" localSheetId="5" hidden="1">2</definedName>
    <definedName name="solver_neg" localSheetId="4" hidden="1">1</definedName>
    <definedName name="solver_neg" localSheetId="5" hidden="1">1</definedName>
    <definedName name="solver_nod" localSheetId="4" hidden="1">2147483647</definedName>
    <definedName name="solver_nod" localSheetId="5" hidden="1">2147483647</definedName>
    <definedName name="solver_num" localSheetId="4" hidden="1">4</definedName>
    <definedName name="solver_num" localSheetId="5" hidden="1">5</definedName>
    <definedName name="solver_nwt" localSheetId="4" hidden="1">1</definedName>
    <definedName name="solver_nwt" localSheetId="5" hidden="1">1</definedName>
    <definedName name="solver_opt" localSheetId="4" hidden="1">'Case 8-1 d (Quadratic)'!$H$23</definedName>
    <definedName name="solver_opt" localSheetId="5" hidden="1">'Case 8-1 e (Seperable)'!$H$36</definedName>
    <definedName name="solver_pre" localSheetId="4" hidden="1">0.000001</definedName>
    <definedName name="solver_pre" localSheetId="5" hidden="1">0.000001</definedName>
    <definedName name="solver_rbv" localSheetId="4" hidden="1">1</definedName>
    <definedName name="solver_rbv" localSheetId="5" hidden="1">1</definedName>
    <definedName name="solver_rel1" localSheetId="4" hidden="1">1</definedName>
    <definedName name="solver_rel1" localSheetId="5" hidden="1">1</definedName>
    <definedName name="solver_rel2" localSheetId="4" hidden="1">1</definedName>
    <definedName name="solver_rel2" localSheetId="5" hidden="1">1</definedName>
    <definedName name="solver_rel3" localSheetId="4" hidden="1">3</definedName>
    <definedName name="solver_rel3" localSheetId="5" hidden="1">1</definedName>
    <definedName name="solver_rel4" localSheetId="4" hidden="1">2</definedName>
    <definedName name="solver_rel4" localSheetId="5" hidden="1">3</definedName>
    <definedName name="solver_rel5" localSheetId="5" hidden="1">2</definedName>
    <definedName name="solver_rhs1" localSheetId="4" hidden="1">MaxTVSpots</definedName>
    <definedName name="solver_rhs1" localSheetId="5" hidden="1">'Case 8-1 e (Seperable)'!$H$12:$H$13</definedName>
    <definedName name="solver_rhs2" localSheetId="4" hidden="1">BudgetAvailable</definedName>
    <definedName name="solver_rhs2" localSheetId="5" hidden="1">'Case 8-1 e (Seperable)'!$G$24:$I$28</definedName>
    <definedName name="solver_rhs3" localSheetId="4" hidden="1">MinimumAcceptable</definedName>
    <definedName name="solver_rhs3" localSheetId="5" hidden="1">'Case 8-1 e (Seperable)'!$C$31</definedName>
    <definedName name="solver_rhs4" localSheetId="4" hidden="1">RequiredAmount</definedName>
    <definedName name="solver_rhs4" localSheetId="5" hidden="1">'Case 8-1 e (Seperable)'!$H$16:$H$17</definedName>
    <definedName name="solver_rhs5" localSheetId="5" hidden="1">'Case 8-1 e (Seperable)'!$H$20</definedName>
    <definedName name="solver_rlx" localSheetId="4" hidden="1">2</definedName>
    <definedName name="solver_rlx" localSheetId="5" hidden="1">2</definedName>
    <definedName name="solver_rsd" localSheetId="4" hidden="1">0</definedName>
    <definedName name="solver_rsd" localSheetId="5" hidden="1">0</definedName>
    <definedName name="solver_scl" localSheetId="4" hidden="1">2</definedName>
    <definedName name="solver_scl" localSheetId="5" hidden="1">2</definedName>
    <definedName name="solver_sho" localSheetId="4" hidden="1">2</definedName>
    <definedName name="solver_sho" localSheetId="5" hidden="1">2</definedName>
    <definedName name="solver_ssz" localSheetId="4" hidden="1">100</definedName>
    <definedName name="solver_ssz" localSheetId="5" hidden="1">100</definedName>
    <definedName name="solver_tim" localSheetId="4" hidden="1">100</definedName>
    <definedName name="solver_tim" localSheetId="5" hidden="1">100</definedName>
    <definedName name="solver_tol" localSheetId="4" hidden="1">0</definedName>
    <definedName name="solver_tol" localSheetId="5" hidden="1">0</definedName>
    <definedName name="solver_typ" localSheetId="4" hidden="1">1</definedName>
    <definedName name="solver_typ" localSheetId="5" hidden="1">1</definedName>
    <definedName name="solver_val" localSheetId="4" hidden="1">0</definedName>
    <definedName name="solver_val" localSheetId="5" hidden="1">0</definedName>
    <definedName name="solver_ver" localSheetId="4" hidden="1">2</definedName>
    <definedName name="solver_ver" localSheetId="5" hidden="1">2</definedName>
    <definedName name="TotalAds">'Case 8-1 e (Seperable)'!$C$29:$E$29</definedName>
    <definedName name="TotalProduced">#REF!</definedName>
    <definedName name="TotalProfit" localSheetId="5">'Case 8-1 e (Seperable)'!$H$36</definedName>
    <definedName name="TotalProfit">'Case 8-1 d (Quadratic)'!$H$23</definedName>
    <definedName name="TotalReached" localSheetId="5">'Case 8-1 e (Seperable)'!$F$16:$F$17</definedName>
    <definedName name="TotalReached">'Case 8-1 d (Quadratic)'!$F$14:$F$15</definedName>
    <definedName name="TotalRedeemed" localSheetId="5">'Case 8-1 e (Seperable)'!$F$20</definedName>
    <definedName name="TotalRedeemed">'Case 8-1 d (Quadratic)'!$F$18</definedName>
    <definedName name="TotalSales" localSheetId="5">'Case 8-1 e (Seperable)'!$H$30</definedName>
    <definedName name="TotalSales">'Case 8-1 d (Quadratic)'!$F$7</definedName>
    <definedName name="TVSpots" localSheetId="5">'Case 8-1 e (Seperable)'!$C$29</definedName>
    <definedName name="UnitProfit">#REF!</definedName>
    <definedName name="UnitsProduced">#REF!</definedName>
    <definedName name="x">'[1]NLP a'!$C$5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6" l="1"/>
  <c r="E7" i="26"/>
  <c r="E6" i="26"/>
  <c r="E5" i="26"/>
  <c r="E4" i="26"/>
  <c r="D8" i="26"/>
  <c r="D7" i="26"/>
  <c r="D6" i="26"/>
  <c r="D5" i="26"/>
  <c r="D4" i="26"/>
  <c r="H30" i="26" s="1"/>
  <c r="H33" i="26" s="1"/>
  <c r="F18" i="25"/>
  <c r="F15" i="25"/>
  <c r="F14" i="25"/>
  <c r="F11" i="25"/>
  <c r="H22" i="25" s="1"/>
  <c r="F10" i="25"/>
  <c r="H21" i="25" s="1"/>
  <c r="D7" i="25"/>
  <c r="E7" i="25"/>
  <c r="C7" i="25"/>
  <c r="C29" i="26"/>
  <c r="D29" i="26"/>
  <c r="E29" i="26"/>
  <c r="F7" i="25" l="1"/>
  <c r="H20" i="25" s="1"/>
  <c r="H23" i="25" s="1"/>
  <c r="F13" i="26"/>
  <c r="H35" i="26" s="1"/>
  <c r="F12" i="26"/>
  <c r="H34" i="26" s="1"/>
  <c r="F16" i="26"/>
  <c r="F17" i="26"/>
  <c r="F20" i="26"/>
  <c r="H36" i="26" l="1"/>
</calcChain>
</file>

<file path=xl/sharedStrings.xml><?xml version="1.0" encoding="utf-8"?>
<sst xmlns="http://schemas.openxmlformats.org/spreadsheetml/2006/main" count="155" uniqueCount="90">
  <si>
    <t>Maximum</t>
  </si>
  <si>
    <t>Range Name</t>
  </si>
  <si>
    <t>&lt;=</t>
  </si>
  <si>
    <t>Available</t>
  </si>
  <si>
    <t>Total Profit</t>
  </si>
  <si>
    <t>Total</t>
  </si>
  <si>
    <t>(millions)</t>
  </si>
  <si>
    <t>Supplements</t>
  </si>
  <si>
    <t>Sales</t>
  </si>
  <si>
    <t>Ads in Sunday</t>
  </si>
  <si>
    <t>TV Spots</t>
  </si>
  <si>
    <t>Magazine Ads</t>
  </si>
  <si>
    <t>($million)</t>
  </si>
  <si>
    <t>Maximum TV Spots</t>
  </si>
  <si>
    <t>C21</t>
  </si>
  <si>
    <t>TVSpots</t>
  </si>
  <si>
    <t>Planning Cost</t>
  </si>
  <si>
    <t>Number of Ads</t>
  </si>
  <si>
    <t>F7</t>
  </si>
  <si>
    <t>TotalSales</t>
  </si>
  <si>
    <t>Cost of Ads</t>
  </si>
  <si>
    <t>SS Ads</t>
  </si>
  <si>
    <t>F17</t>
  </si>
  <si>
    <t>TotalRedeemed</t>
  </si>
  <si>
    <t>Gross Profit</t>
  </si>
  <si>
    <t>F13:F14</t>
  </si>
  <si>
    <t>TotalReached</t>
  </si>
  <si>
    <t>($thousands)</t>
  </si>
  <si>
    <t>H21</t>
  </si>
  <si>
    <t>=</t>
  </si>
  <si>
    <t>Coupon Redemption per Ad</t>
  </si>
  <si>
    <t>C7:E7</t>
  </si>
  <si>
    <t>SalesGenerated</t>
  </si>
  <si>
    <t>Required Amount</t>
  </si>
  <si>
    <t>Total Redeemed</t>
  </si>
  <si>
    <t>H17</t>
  </si>
  <si>
    <t>RequiredAmount</t>
  </si>
  <si>
    <t>C13:E14</t>
  </si>
  <si>
    <t>NumberReachedPerAd</t>
  </si>
  <si>
    <t>&gt;=</t>
  </si>
  <si>
    <t>Parents of Young Children</t>
  </si>
  <si>
    <t>C21:E21</t>
  </si>
  <si>
    <t>NumberOfAds</t>
  </si>
  <si>
    <t>Young Children</t>
  </si>
  <si>
    <t>H13:H14</t>
  </si>
  <si>
    <t>MinimumAcceptable</t>
  </si>
  <si>
    <t>Minimum Acceptable</t>
  </si>
  <si>
    <t>Total Reached</t>
  </si>
  <si>
    <t>Number Reached per Ad (millions)</t>
  </si>
  <si>
    <t>C23</t>
  </si>
  <si>
    <t>MaxTVSpots</t>
  </si>
  <si>
    <t>C6:E6</t>
  </si>
  <si>
    <t>k</t>
  </si>
  <si>
    <t>Planning Budget</t>
  </si>
  <si>
    <t>H7</t>
  </si>
  <si>
    <t>GrossProfitPerSale</t>
  </si>
  <si>
    <t>Ad Budget</t>
  </si>
  <si>
    <t>C17:E17</t>
  </si>
  <si>
    <t>CouponRedemptionPerAd</t>
  </si>
  <si>
    <t>Budget Available</t>
  </si>
  <si>
    <t>Budget Spent</t>
  </si>
  <si>
    <t>Cost per Ad ($thousands)</t>
  </si>
  <si>
    <t>C9:E10</t>
  </si>
  <si>
    <t>CostPerAd</t>
  </si>
  <si>
    <t>F9:F10</t>
  </si>
  <si>
    <t>BudgetSpent</t>
  </si>
  <si>
    <t>Sales Generated (millions)</t>
  </si>
  <si>
    <t>H9:H10</t>
  </si>
  <si>
    <t>BudgetAvailable</t>
  </si>
  <si>
    <t>Gross Profit per Sale</t>
  </si>
  <si>
    <t>k =</t>
  </si>
  <si>
    <t>C5:E5</t>
  </si>
  <si>
    <t>b</t>
  </si>
  <si>
    <t>b=</t>
  </si>
  <si>
    <t>C4:E4</t>
  </si>
  <si>
    <t>a</t>
  </si>
  <si>
    <t>a=</t>
  </si>
  <si>
    <t>Cells</t>
  </si>
  <si>
    <t>Sales per Ad = ax^2 + bx + k, where</t>
  </si>
  <si>
    <t>Super Grain Corp. Advertising-Mix Problem</t>
  </si>
  <si>
    <t>Total Sales</t>
  </si>
  <si>
    <t>Group 5</t>
  </si>
  <si>
    <t>Group 4</t>
  </si>
  <si>
    <t>Group 3</t>
  </si>
  <si>
    <t>Group 2</t>
  </si>
  <si>
    <t>Group 1</t>
  </si>
  <si>
    <t>Req. Amount</t>
  </si>
  <si>
    <t>Min. Acceptable</t>
  </si>
  <si>
    <t>Budget</t>
  </si>
  <si>
    <r>
      <t xml:space="preserve">Sales per </t>
    </r>
    <r>
      <rPr>
        <u/>
        <sz val="10"/>
        <color rgb="FFFF0000"/>
        <rFont val="Consolas"/>
        <family val="2"/>
      </rPr>
      <t>unit</t>
    </r>
    <r>
      <rPr>
        <sz val="10"/>
        <color rgb="FFFF0000"/>
        <rFont val="Consolas"/>
        <family val="2"/>
      </rPr>
      <t xml:space="preserve"> of 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</si>
</sst>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"/>
    <numFmt numFmtId="165" formatCode="#,##0.000"/>
    <numFmt numFmtId="166" formatCode="#,##0.0000"/>
  </numFmts>
  <fonts count="9" x14ac:knownFonts="1">
    <font>
      <sz val="12"/>
      <color theme="1"/>
      <name val="Calibri"/>
      <family val="2"/>
      <scheme val="minor"/>
    </font>
    <font>
      <sz val="10"/>
      <name val="Geneva"/>
      <family val="2"/>
    </font>
    <font>
      <sz val="10"/>
      <name val="Verdana"/>
      <family val="2"/>
    </font>
    <font>
      <sz val="10"/>
      <name val="Geneva"/>
      <family val="2"/>
    </font>
    <font>
      <sz val="10"/>
      <name val="Consolas"/>
      <family val="2"/>
    </font>
    <font>
      <b/>
      <sz val="14"/>
      <name val="Consolas"/>
      <family val="2"/>
    </font>
    <font>
      <b/>
      <sz val="10"/>
      <name val="Consolas"/>
      <family val="2"/>
    </font>
    <font>
      <sz val="10"/>
      <color rgb="FFFF0000"/>
      <name val="Consolas"/>
      <family val="2"/>
    </font>
    <font>
      <u/>
      <sz val="10"/>
      <color rgb="FFFF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44" fontId="2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2" applyFont="1" applyAlignment="1">
      <alignment horizontal="center"/>
    </xf>
    <xf numFmtId="0" fontId="4" fillId="0" borderId="0" xfId="2" applyFont="1"/>
    <xf numFmtId="0" fontId="4" fillId="4" borderId="0" xfId="2" applyFont="1" applyFill="1" applyAlignment="1">
      <alignment horizontal="center"/>
    </xf>
    <xf numFmtId="0" fontId="5" fillId="0" borderId="0" xfId="3" applyFont="1"/>
    <xf numFmtId="0" fontId="4" fillId="0" borderId="0" xfId="3" applyFont="1" applyAlignment="1">
      <alignment horizontal="left"/>
    </xf>
    <xf numFmtId="0" fontId="4" fillId="0" borderId="0" xfId="3" applyFont="1"/>
    <xf numFmtId="0" fontId="4" fillId="0" borderId="0" xfId="3" applyFont="1" applyAlignment="1">
      <alignment horizontal="right"/>
    </xf>
    <xf numFmtId="0" fontId="4" fillId="6" borderId="0" xfId="3" applyFont="1" applyFill="1" applyAlignment="1">
      <alignment horizontal="right"/>
    </xf>
    <xf numFmtId="0" fontId="4" fillId="0" borderId="0" xfId="3" applyFont="1" applyAlignment="1">
      <alignment horizontal="center"/>
    </xf>
    <xf numFmtId="0" fontId="6" fillId="2" borderId="7" xfId="3" applyFont="1" applyFill="1" applyBorder="1"/>
    <xf numFmtId="0" fontId="6" fillId="2" borderId="6" xfId="3" applyFont="1" applyFill="1" applyBorder="1"/>
    <xf numFmtId="166" fontId="4" fillId="4" borderId="0" xfId="3" applyNumberFormat="1" applyFont="1" applyFill="1" applyAlignment="1">
      <alignment horizontal="center"/>
    </xf>
    <xf numFmtId="0" fontId="4" fillId="4" borderId="0" xfId="3" applyFont="1" applyFill="1" applyAlignment="1">
      <alignment horizontal="center"/>
    </xf>
    <xf numFmtId="0" fontId="4" fillId="2" borderId="7" xfId="3" applyFont="1" applyFill="1" applyBorder="1"/>
    <xf numFmtId="0" fontId="4" fillId="2" borderId="6" xfId="3" applyFont="1" applyFill="1" applyBorder="1"/>
    <xf numFmtId="0" fontId="4" fillId="2" borderId="5" xfId="3" applyFont="1" applyFill="1" applyBorder="1"/>
    <xf numFmtId="0" fontId="4" fillId="2" borderId="4" xfId="3" applyFont="1" applyFill="1" applyBorder="1"/>
    <xf numFmtId="166" fontId="4" fillId="0" borderId="0" xfId="3" applyNumberFormat="1" applyFont="1" applyAlignment="1">
      <alignment horizontal="center"/>
    </xf>
    <xf numFmtId="8" fontId="4" fillId="4" borderId="0" xfId="3" applyNumberFormat="1" applyFont="1" applyFill="1" applyAlignment="1">
      <alignment horizontal="center"/>
    </xf>
    <xf numFmtId="3" fontId="4" fillId="0" borderId="0" xfId="3" applyNumberFormat="1" applyFont="1" applyAlignment="1">
      <alignment horizontal="center"/>
    </xf>
    <xf numFmtId="3" fontId="4" fillId="4" borderId="0" xfId="3" applyNumberFormat="1" applyFont="1" applyFill="1" applyAlignment="1">
      <alignment horizontal="center"/>
    </xf>
    <xf numFmtId="2" fontId="4" fillId="0" borderId="0" xfId="3" applyNumberFormat="1" applyFont="1" applyAlignment="1">
      <alignment horizontal="center"/>
    </xf>
    <xf numFmtId="164" fontId="4" fillId="0" borderId="0" xfId="3" applyNumberFormat="1" applyFont="1" applyAlignment="1">
      <alignment horizontal="center"/>
    </xf>
    <xf numFmtId="165" fontId="4" fillId="0" borderId="0" xfId="3" applyNumberFormat="1" applyFont="1" applyAlignment="1">
      <alignment horizontal="center"/>
    </xf>
    <xf numFmtId="164" fontId="4" fillId="5" borderId="11" xfId="3" applyNumberFormat="1" applyFont="1" applyFill="1" applyBorder="1" applyAlignment="1">
      <alignment horizontal="center"/>
    </xf>
    <xf numFmtId="164" fontId="4" fillId="5" borderId="10" xfId="3" applyNumberFormat="1" applyFont="1" applyFill="1" applyBorder="1" applyAlignment="1">
      <alignment horizontal="center"/>
    </xf>
    <xf numFmtId="164" fontId="4" fillId="5" borderId="9" xfId="3" applyNumberFormat="1" applyFont="1" applyFill="1" applyBorder="1" applyAlignment="1">
      <alignment horizontal="center"/>
    </xf>
    <xf numFmtId="0" fontId="4" fillId="2" borderId="2" xfId="3" applyFont="1" applyFill="1" applyBorder="1"/>
    <xf numFmtId="0" fontId="4" fillId="2" borderId="1" xfId="3" applyFont="1" applyFill="1" applyBorder="1"/>
    <xf numFmtId="165" fontId="4" fillId="3" borderId="3" xfId="4" applyNumberFormat="1" applyFont="1" applyFill="1" applyBorder="1" applyAlignment="1">
      <alignment horizontal="center"/>
    </xf>
    <xf numFmtId="0" fontId="4" fillId="0" borderId="0" xfId="4" applyNumberFormat="1" applyFont="1"/>
    <xf numFmtId="0" fontId="7" fillId="6" borderId="0" xfId="3" applyFont="1" applyFill="1" applyAlignment="1">
      <alignment horizontal="left"/>
    </xf>
    <xf numFmtId="164" fontId="4" fillId="5" borderId="18" xfId="3" applyNumberFormat="1" applyFont="1" applyFill="1" applyBorder="1" applyAlignment="1">
      <alignment horizontal="center"/>
    </xf>
    <xf numFmtId="164" fontId="4" fillId="5" borderId="17" xfId="3" applyNumberFormat="1" applyFont="1" applyFill="1" applyBorder="1" applyAlignment="1">
      <alignment horizontal="center"/>
    </xf>
    <xf numFmtId="164" fontId="4" fillId="5" borderId="16" xfId="3" applyNumberFormat="1" applyFont="1" applyFill="1" applyBorder="1" applyAlignment="1">
      <alignment horizontal="center"/>
    </xf>
    <xf numFmtId="164" fontId="4" fillId="5" borderId="15" xfId="3" applyNumberFormat="1" applyFont="1" applyFill="1" applyBorder="1" applyAlignment="1">
      <alignment horizontal="center"/>
    </xf>
    <xf numFmtId="164" fontId="4" fillId="5" borderId="0" xfId="3" applyNumberFormat="1" applyFont="1" applyFill="1" applyAlignment="1">
      <alignment horizontal="center"/>
    </xf>
    <xf numFmtId="164" fontId="4" fillId="5" borderId="14" xfId="3" applyNumberFormat="1" applyFont="1" applyFill="1" applyBorder="1" applyAlignment="1">
      <alignment horizontal="center"/>
    </xf>
    <xf numFmtId="164" fontId="4" fillId="5" borderId="13" xfId="3" applyNumberFormat="1" applyFont="1" applyFill="1" applyBorder="1" applyAlignment="1">
      <alignment horizontal="center"/>
    </xf>
    <xf numFmtId="164" fontId="4" fillId="5" borderId="8" xfId="3" applyNumberFormat="1" applyFont="1" applyFill="1" applyBorder="1" applyAlignment="1">
      <alignment horizontal="center"/>
    </xf>
    <xf numFmtId="164" fontId="4" fillId="5" borderId="12" xfId="3" applyNumberFormat="1" applyFont="1" applyFill="1" applyBorder="1" applyAlignment="1">
      <alignment horizontal="center"/>
    </xf>
  </cellXfs>
  <cellStyles count="5">
    <cellStyle name="Currency 2" xfId="4" xr:uid="{1F6F7ACF-5B9D-1C46-9199-472771777D67}"/>
    <cellStyle name="Normal" xfId="0" builtinId="0"/>
    <cellStyle name="Normal 2" xfId="1" xr:uid="{1A6251F5-0207-3F43-A2CF-2411A4C12E55}"/>
    <cellStyle name="Normal 3" xfId="2" xr:uid="{3D49F8E6-E251-AF47-93FA-6F375E7D2ECA}"/>
    <cellStyle name="Normal_Revised Super Grain.xls" xfId="3" xr:uid="{9D67E604-6910-384E-9A32-3FB998DAB4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og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og"/>
            <c:dispRSqr val="0"/>
            <c:dispEq val="0"/>
          </c:trendline>
          <c:xVal>
            <c:numRef>
              <c:f>'Case 8-1a,b (TV Spots)'!$A$3:$A$7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'Case 8-1a,b (TV Spots)'!$B$3:$B$7</c:f>
              <c:numCache>
                <c:formatCode>General</c:formatCode>
                <c:ptCount val="5"/>
                <c:pt idx="0">
                  <c:v>1</c:v>
                </c:pt>
                <c:pt idx="1">
                  <c:v>1.75</c:v>
                </c:pt>
                <c:pt idx="2">
                  <c:v>2.4500000000000002</c:v>
                </c:pt>
                <c:pt idx="3">
                  <c:v>2.8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E7-1E49-AC80-1FAD7BC7F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20323296"/>
        <c:axId val="-920346624"/>
      </c:scatterChart>
      <c:valAx>
        <c:axId val="-920323296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Spots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20346624"/>
        <c:crosses val="autoZero"/>
        <c:crossBetween val="midCat"/>
        <c:majorUnit val="1"/>
      </c:valAx>
      <c:valAx>
        <c:axId val="-92034662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2032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663790744234999"/>
          <c:y val="9.0252866674305196E-2"/>
          <c:w val="0.67846803116943"/>
          <c:h val="0.68231167205774801"/>
        </c:manualLayout>
      </c:layout>
      <c:scatterChart>
        <c:scatterStyle val="smoothMarker"/>
        <c:varyColors val="0"/>
        <c:ser>
          <c:idx val="0"/>
          <c:order val="0"/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og"/>
            <c:dispRSqr val="0"/>
            <c:dispEq val="0"/>
          </c:trendline>
          <c:xVal>
            <c:numRef>
              <c:f>'Case 8-1a,b (Magazine Ads)'!$A$3:$A$7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'Case 8-1a,b (Magazine Ads)'!$B$3:$B$7</c:f>
              <c:numCache>
                <c:formatCode>General</c:formatCode>
                <c:ptCount val="5"/>
                <c:pt idx="0">
                  <c:v>0.7</c:v>
                </c:pt>
                <c:pt idx="1">
                  <c:v>1.2</c:v>
                </c:pt>
                <c:pt idx="2">
                  <c:v>1.55</c:v>
                </c:pt>
                <c:pt idx="3">
                  <c:v>1.8</c:v>
                </c:pt>
                <c:pt idx="4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76-4F43-94A8-70CCC90B9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06223584"/>
        <c:axId val="-926383936"/>
      </c:scatterChart>
      <c:valAx>
        <c:axId val="-1006223584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Magazine Ads</a:t>
                </a:r>
              </a:p>
            </c:rich>
          </c:tx>
          <c:layout>
            <c:manualLayout>
              <c:xMode val="edge"/>
              <c:yMode val="edge"/>
              <c:x val="0.489677064703195"/>
              <c:y val="0.87003761713901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26383936"/>
        <c:crosses val="autoZero"/>
        <c:crossBetween val="midCat"/>
        <c:majorUnit val="5"/>
        <c:minorUnit val="1"/>
      </c:valAx>
      <c:valAx>
        <c:axId val="-92638393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(millions)</a:t>
                </a:r>
              </a:p>
            </c:rich>
          </c:tx>
          <c:layout>
            <c:manualLayout>
              <c:xMode val="edge"/>
              <c:yMode val="edge"/>
              <c:x val="4.71976401179941E-2"/>
              <c:y val="0.36462169665614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062235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663790744234999"/>
          <c:y val="9.0252866674305196E-2"/>
          <c:w val="0.67846803116943"/>
          <c:h val="0.68231167205774801"/>
        </c:manualLayout>
      </c:layout>
      <c:scatterChart>
        <c:scatterStyle val="smoothMarker"/>
        <c:varyColors val="0"/>
        <c:ser>
          <c:idx val="0"/>
          <c:order val="0"/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og"/>
            <c:dispRSqr val="0"/>
            <c:dispEq val="0"/>
          </c:trendline>
          <c:xVal>
            <c:numRef>
              <c:f>'Case 8-1a, (Sunday Supplements)'!$A$3:$A$7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'Case 8-1a, (Sunday Supplements)'!$B$3:$B$7</c:f>
              <c:numCache>
                <c:formatCode>General</c:formatCode>
                <c:ptCount val="5"/>
                <c:pt idx="0">
                  <c:v>1.2</c:v>
                </c:pt>
                <c:pt idx="1">
                  <c:v>2.2000000000000002</c:v>
                </c:pt>
                <c:pt idx="2">
                  <c:v>3</c:v>
                </c:pt>
                <c:pt idx="3">
                  <c:v>3.5</c:v>
                </c:pt>
                <c:pt idx="4">
                  <c:v>3.75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A8-4A48-B4B6-21960BACB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21428112"/>
        <c:axId val="-921495232"/>
      </c:scatterChart>
      <c:valAx>
        <c:axId val="-92142811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Ads in Sunday Supplements</a:t>
                </a:r>
              </a:p>
            </c:rich>
          </c:tx>
          <c:layout>
            <c:manualLayout>
              <c:xMode val="edge"/>
              <c:yMode val="edge"/>
              <c:x val="0.389381769756657"/>
              <c:y val="0.87003761713901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21495232"/>
        <c:crosses val="autoZero"/>
        <c:crossBetween val="midCat"/>
        <c:majorUnit val="2"/>
        <c:minorUnit val="1"/>
      </c:valAx>
      <c:valAx>
        <c:axId val="-92149523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(millions)</a:t>
                </a:r>
              </a:p>
            </c:rich>
          </c:tx>
          <c:layout>
            <c:manualLayout>
              <c:xMode val="edge"/>
              <c:yMode val="edge"/>
              <c:x val="4.71976401179941E-2"/>
              <c:y val="0.36462169665614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2142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247806</xdr:colOff>
      <xdr:row>0</xdr:row>
      <xdr:rowOff>78881</xdr:rowOff>
    </xdr:from>
    <xdr:to>
      <xdr:col>10</xdr:col>
      <xdr:colOff>575838</xdr:colOff>
      <xdr:row>23</xdr:row>
      <xdr:rowOff>110435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E70765-6E3D-7640-8E6D-C092E7D6E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0.46279</cdr:x>
      <cdr:y>0.65854</cdr:y>
    </cdr:from>
    <cdr:to>
      <cdr:x>0.80938</cdr:x>
      <cdr:y>0.78236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718B60-EA1C-0B3A-69BE-CBE4B7C02AAD}"/>
            </a:ext>
          </a:extLst>
        </cdr:cNvPr>
        <cdr:cNvSpPr txBox="1"/>
      </cdr:nvSpPr>
      <cdr:spPr>
        <a:xfrm xmlns:a="http://schemas.openxmlformats.org/drawingml/2006/main">
          <a:off x="3159895" y="2768759"/>
          <a:ext cx="2366460" cy="520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0.50554</cdr:x>
      <cdr:y>0.73171</cdr:y>
    </cdr:from>
    <cdr:to>
      <cdr:x>0.97227</cdr:x>
      <cdr:y>0.86679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8609BF7-41E3-AD7B-A266-5FAC5BFA9F58}"/>
            </a:ext>
          </a:extLst>
        </cdr:cNvPr>
        <cdr:cNvSpPr txBox="1"/>
      </cdr:nvSpPr>
      <cdr:spPr>
        <a:xfrm xmlns:a="http://schemas.openxmlformats.org/drawingml/2006/main">
          <a:off x="3451759" y="3076397"/>
          <a:ext cx="3186832" cy="567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y = -0.1036x</a:t>
          </a:r>
          <a:r>
            <a:rPr lang="en-US" sz="1000" baseline="30000">
              <a:latin typeface="Consolas" panose="020B0609020204030204" pitchFamily="49" charset="0"/>
              <a:cs typeface="Consolas" panose="020B0609020204030204" pitchFamily="49" charset="0"/>
            </a:rPr>
            <a:t>2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+ 1.1264x - 0.04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US" sz="1000" b="0" i="0" baseline="0">
              <a:effectLst/>
              <a:latin typeface="Consolas" panose="020B0609020204030204" pitchFamily="49" charset="0"/>
              <a:cs typeface="Consolas" panose="020B0609020204030204" pitchFamily="49" charset="0"/>
            </a:rPr>
            <a:t>y = -0.0083x</a:t>
          </a:r>
          <a:r>
            <a:rPr lang="en-US" sz="1000" b="0" i="0" baseline="30000">
              <a:effectLst/>
              <a:latin typeface="Consolas" panose="020B0609020204030204" pitchFamily="49" charset="0"/>
              <a:cs typeface="Consolas" panose="020B0609020204030204" pitchFamily="49" charset="0"/>
            </a:rPr>
            <a:t>3</a:t>
          </a:r>
          <a:r>
            <a:rPr lang="en-US" sz="1000" b="0" i="0" baseline="0">
              <a:effectLst/>
              <a:latin typeface="Consolas" panose="020B0609020204030204" pitchFamily="49" charset="0"/>
              <a:cs typeface="Consolas" panose="020B0609020204030204" pitchFamily="49" charset="0"/>
            </a:rPr>
            <a:t> - 0.0286x</a:t>
          </a:r>
          <a:r>
            <a:rPr lang="en-US" sz="1000" b="0" i="0" baseline="30000">
              <a:effectLst/>
              <a:latin typeface="Consolas" panose="020B0609020204030204" pitchFamily="49" charset="0"/>
              <a:cs typeface="Consolas" panose="020B0609020204030204" pitchFamily="49" charset="0"/>
            </a:rPr>
            <a:t>2</a:t>
          </a:r>
          <a:r>
            <a:rPr lang="en-US" sz="1000" b="0" i="0" baseline="0">
              <a:effectLst/>
              <a:latin typeface="Consolas" panose="020B0609020204030204" pitchFamily="49" charset="0"/>
              <a:cs typeface="Consolas" panose="020B0609020204030204" pitchFamily="49" charset="0"/>
            </a:rPr>
            <a:t> + 0.9298x + 0.1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US" sz="1000" b="0" i="0" baseline="0">
              <a:effectLst/>
              <a:latin typeface="Consolas" panose="020B0609020204030204" pitchFamily="49" charset="0"/>
              <a:cs typeface="Consolas" panose="020B0609020204030204" pitchFamily="49" charset="0"/>
            </a:rPr>
            <a:t>y = 1.2888ln(x) + 0.966</a:t>
          </a:r>
          <a:endParaRPr lang="en-US" sz="1000">
            <a:effectLst/>
            <a:latin typeface="Consolas" panose="020B0609020204030204" pitchFamily="49" charset="0"/>
            <a:cs typeface="Consolas" panose="020B0609020204030204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206042</xdr:colOff>
      <xdr:row>0</xdr:row>
      <xdr:rowOff>116014</xdr:rowOff>
    </xdr:from>
    <xdr:to>
      <xdr:col>10</xdr:col>
      <xdr:colOff>662269</xdr:colOff>
      <xdr:row>23</xdr:row>
      <xdr:rowOff>101289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391F3-9597-2A40-A022-3CBCA094E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0.4722</cdr:x>
      <cdr:y>0.62514</cdr:y>
    </cdr:from>
    <cdr:to>
      <cdr:x>0.93148</cdr:x>
      <cdr:y>0.76344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5041A66-9A9E-DA56-BCFF-9F461A527898}"/>
            </a:ext>
          </a:extLst>
        </cdr:cNvPr>
        <cdr:cNvSpPr txBox="1"/>
      </cdr:nvSpPr>
      <cdr:spPr>
        <a:xfrm xmlns:a="http://schemas.openxmlformats.org/drawingml/2006/main">
          <a:off x="3276445" y="2567425"/>
          <a:ext cx="3186832" cy="567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y = -0.002x</a:t>
          </a:r>
          <a:r>
            <a:rPr lang="en-US" sz="1000" baseline="30000">
              <a:latin typeface="Consolas" panose="020B0609020204030204" pitchFamily="49" charset="0"/>
              <a:cs typeface="Consolas" panose="020B0609020204030204" pitchFamily="49" charset="0"/>
            </a:rPr>
            <a:t>2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+ 0.124x + 0.14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y = 7E-05x</a:t>
          </a:r>
          <a:r>
            <a:rPr lang="en-US" sz="1000" baseline="30000">
              <a:latin typeface="Consolas" panose="020B0609020204030204" pitchFamily="49" charset="0"/>
              <a:cs typeface="Consolas" panose="020B0609020204030204" pitchFamily="49" charset="0"/>
            </a:rPr>
            <a:t>3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- 0.005x</a:t>
          </a:r>
          <a:r>
            <a:rPr lang="en-US" sz="1000" baseline="30000">
              <a:latin typeface="Consolas" panose="020B0609020204030204" pitchFamily="49" charset="0"/>
              <a:cs typeface="Consolas" panose="020B0609020204030204" pitchFamily="49" charset="0"/>
            </a:rPr>
            <a:t>2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+ 0.1633x - 2E-13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y = 0.809ln(x) - 0.6267</a:t>
          </a: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222529</xdr:colOff>
      <xdr:row>0</xdr:row>
      <xdr:rowOff>87215</xdr:rowOff>
    </xdr:from>
    <xdr:to>
      <xdr:col>10</xdr:col>
      <xdr:colOff>631491</xdr:colOff>
      <xdr:row>23</xdr:row>
      <xdr:rowOff>77181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EA04A-B198-9F46-951F-4C7CCABCB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0.46881</cdr:x>
      <cdr:y>0.62262</cdr:y>
    </cdr:from>
    <cdr:to>
      <cdr:x>0.92975</cdr:x>
      <cdr:y>0.7616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7C58E0E-01DB-CBE8-984E-3394EA2F32E1}"/>
            </a:ext>
          </a:extLst>
        </cdr:cNvPr>
        <cdr:cNvSpPr txBox="1"/>
      </cdr:nvSpPr>
      <cdr:spPr>
        <a:xfrm xmlns:a="http://schemas.openxmlformats.org/drawingml/2006/main">
          <a:off x="3241287" y="2544337"/>
          <a:ext cx="3186832" cy="567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y = -0.0321x</a:t>
          </a:r>
          <a:r>
            <a:rPr lang="en-US" sz="1000" baseline="30000">
              <a:latin typeface="Consolas" panose="020B0609020204030204" pitchFamily="49" charset="0"/>
              <a:cs typeface="Consolas" panose="020B0609020204030204" pitchFamily="49" charset="0"/>
            </a:rPr>
            <a:t>2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+ 0.7057x - 0.09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y = -0.0005x</a:t>
          </a:r>
          <a:r>
            <a:rPr lang="en-US" sz="1000" baseline="30000">
              <a:latin typeface="Consolas" panose="020B0609020204030204" pitchFamily="49" charset="0"/>
              <a:cs typeface="Consolas" panose="020B0609020204030204" pitchFamily="49" charset="0"/>
            </a:rPr>
            <a:t>3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- 0.0228x</a:t>
          </a:r>
          <a:r>
            <a:rPr lang="en-US" sz="1000" baseline="30000">
              <a:latin typeface="Consolas" panose="020B0609020204030204" pitchFamily="49" charset="0"/>
              <a:cs typeface="Consolas" panose="020B0609020204030204" pitchFamily="49" charset="0"/>
            </a:rPr>
            <a:t>2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+ 0.6565x - 0.02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y = 1.6331ln(x) + 0.0343</a:t>
          </a: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152400</xdr:rowOff>
    </xdr:from>
    <xdr:to>
      <xdr:col>16</xdr:col>
      <xdr:colOff>698500</xdr:colOff>
      <xdr:row>33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75B0E4-98EF-7B45-A9E1-07C84690567C}"/>
            </a:ext>
          </a:extLst>
        </xdr:cNvPr>
        <xdr:cNvSpPr txBox="1"/>
      </xdr:nvSpPr>
      <xdr:spPr>
        <a:xfrm>
          <a:off x="342900" y="152400"/>
          <a:ext cx="13563600" cy="674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In all three cases, the </a:t>
          </a:r>
          <a:r>
            <a:rPr lang="en-US" sz="2000" u="sng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quadratic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form is a close fit. </a:t>
          </a:r>
        </a:p>
        <a:p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order-3 </a:t>
          </a:r>
          <a:r>
            <a:rPr lang="en-US" sz="2000" u="sng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polynomial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is also a good fit. </a:t>
          </a:r>
        </a:p>
        <a:p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</a:t>
          </a:r>
          <a:r>
            <a:rPr lang="en-US" sz="2000" u="sng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logarithmic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form is also a good fit, but not as close as the polynomial forms. </a:t>
          </a:r>
        </a:p>
        <a:p>
          <a:endParaRPr lang="en-US" sz="2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2000" b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We will use the quadratic form for the remainder of the case.</a:t>
          </a:r>
        </a:p>
        <a:p>
          <a:endParaRPr lang="en-US" sz="2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	</a:t>
          </a:r>
          <a:r>
            <a:rPr lang="en-US" sz="2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TV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TV spots</a:t>
          </a:r>
          <a:b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2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magazine ads</a:t>
          </a:r>
          <a:b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2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SS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ads in sunday supplements</a:t>
          </a:r>
          <a:b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2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Based on the results in part </a:t>
          </a:r>
          <a:r>
            <a:rPr lang="en-US" sz="2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using the quadratic form in each case,</a:t>
          </a:r>
          <a:b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Sales (in millions)	=</a:t>
          </a:r>
          <a:r>
            <a:rPr lang="en-US" sz="20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2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– 0.1036</a:t>
          </a:r>
          <a:r>
            <a:rPr lang="en-US" sz="2000" i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TV</a:t>
          </a:r>
          <a:r>
            <a:rPr lang="en-US" sz="2000" baseline="30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2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+ 1.1264</a:t>
          </a:r>
          <a:r>
            <a:rPr lang="en-US" sz="2000" i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TV</a:t>
          </a:r>
          <a:r>
            <a:rPr lang="en-US" sz="2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– 0.04 </a:t>
          </a:r>
        </a:p>
        <a:p>
          <a:r>
            <a:rPr lang="en-US" sz="2000">
              <a:solidFill>
                <a:srgbClr val="00206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		</a:t>
          </a:r>
          <a:r>
            <a:rPr lang="en-US" sz="2000" baseline="0">
              <a:solidFill>
                <a:srgbClr val="00206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	  </a:t>
          </a:r>
          <a:r>
            <a:rPr lang="en-US" sz="2000">
              <a:solidFill>
                <a:srgbClr val="00206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– 0.002</a:t>
          </a:r>
          <a:r>
            <a:rPr lang="en-US" sz="2000" i="1">
              <a:solidFill>
                <a:srgbClr val="00206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2000" baseline="30000">
              <a:solidFill>
                <a:srgbClr val="00206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2000">
              <a:solidFill>
                <a:srgbClr val="00206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+ 0.124</a:t>
          </a:r>
          <a:r>
            <a:rPr lang="en-US" sz="2000" i="1">
              <a:solidFill>
                <a:srgbClr val="00206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2000">
              <a:solidFill>
                <a:srgbClr val="00206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+ 0.14 </a:t>
          </a:r>
        </a:p>
        <a:p>
          <a:r>
            <a:rPr lang="en-US" sz="2000">
              <a:solidFill>
                <a:srgbClr val="00206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			  </a:t>
          </a:r>
          <a:r>
            <a:rPr lang="en-US" sz="2000">
              <a:solidFill>
                <a:srgbClr val="00B05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– 0.0321</a:t>
          </a:r>
          <a:r>
            <a:rPr lang="en-US" sz="2000" i="1">
              <a:solidFill>
                <a:srgbClr val="00B05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SS</a:t>
          </a:r>
          <a:r>
            <a:rPr lang="en-US" sz="2000" baseline="30000">
              <a:solidFill>
                <a:srgbClr val="00B05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2000">
              <a:solidFill>
                <a:srgbClr val="00B05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+ 0.706</a:t>
          </a:r>
          <a:r>
            <a:rPr lang="en-US" sz="2000" i="1">
              <a:solidFill>
                <a:srgbClr val="00B05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SS</a:t>
          </a:r>
          <a:r>
            <a:rPr lang="en-US" sz="2000">
              <a:solidFill>
                <a:srgbClr val="00B05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– 0.09</a:t>
          </a:r>
          <a:b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</a:p>
        <a:p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Cost of Ads ($million) = 0.3</a:t>
          </a:r>
          <a:r>
            <a:rPr lang="en-US" sz="2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TV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+ 0.15</a:t>
          </a:r>
          <a:r>
            <a:rPr lang="en-US" sz="2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+ 0.1</a:t>
          </a:r>
          <a:r>
            <a:rPr lang="en-US" sz="2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SS</a:t>
          </a:r>
          <a:b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Planning Cost ($million) = 0.09</a:t>
          </a:r>
          <a:r>
            <a:rPr lang="en-US" sz="2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TV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+ 0.03</a:t>
          </a:r>
          <a:r>
            <a:rPr lang="en-US" sz="2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+ 0.04</a:t>
          </a:r>
          <a:r>
            <a:rPr lang="en-US" sz="2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SS</a:t>
          </a:r>
          <a:b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2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 then</a:t>
          </a:r>
          <a:b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</a:p>
        <a:p>
          <a:r>
            <a:rPr lang="en-US" sz="2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Profit = ($0.75)(Sales) – Cost of Ads – Planning Cost</a:t>
          </a:r>
        </a:p>
        <a:p>
          <a:endParaRPr lang="en-US" sz="2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51521</xdr:colOff>
      <xdr:row>1</xdr:row>
      <xdr:rowOff>40640</xdr:rowOff>
    </xdr:from>
    <xdr:to>
      <xdr:col>13</xdr:col>
      <xdr:colOff>637020</xdr:colOff>
      <xdr:row>8</xdr:row>
      <xdr:rowOff>110589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D839BC-9CFF-E80A-7AF8-9B4004814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4711" y="282174"/>
          <a:ext cx="6499180" cy="132436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133350</xdr:rowOff>
    </xdr:from>
    <xdr:to>
      <xdr:col>4</xdr:col>
      <xdr:colOff>755649</xdr:colOff>
      <xdr:row>15</xdr:row>
      <xdr:rowOff>52917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21A44D-0D9E-EF1A-64EA-80D77B595B42}"/>
            </a:ext>
          </a:extLst>
        </xdr:cNvPr>
        <xdr:cNvSpPr txBox="1"/>
      </xdr:nvSpPr>
      <xdr:spPr>
        <a:xfrm>
          <a:off x="152400" y="133350"/>
          <a:ext cx="3905249" cy="29675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In part </a:t>
          </a:r>
          <a:r>
            <a:rPr lang="en-US" sz="8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d</a:t>
          </a: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8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4.075 TV ads, 3.596 magazine ads, and 11.218 ads </a:t>
          </a: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in Sunday supplements are placed.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In part </a:t>
          </a:r>
          <a:r>
            <a:rPr lang="en-US" sz="8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e</a:t>
          </a: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8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3.563 TV ads, 7.25 magazine ads, and 10 ads </a:t>
          </a: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in Sunday supplements are placed.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In Fig 3.7 (original), </a:t>
          </a:r>
          <a:r>
            <a:rPr lang="en-US" sz="8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 TV ads, 14 magazine ads, and 7.75 ads </a:t>
          </a: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in Sunday supplements are placed.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Unlike the linear programming solution, the nonlinear and separable programs take into account the diminishing returns from repeated advertisements.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Since the solution is fairly different, it certainly appears that it was worthwhile to refine the linear programming model used in Figure 3.7.</a:t>
          </a:r>
        </a:p>
        <a:p>
          <a:endParaRPr lang="en-US" sz="8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4</xdr:col>
      <xdr:colOff>782607</xdr:colOff>
      <xdr:row>0</xdr:row>
      <xdr:rowOff>145190</xdr:rowOff>
    </xdr:from>
    <xdr:to>
      <xdr:col>10</xdr:col>
      <xdr:colOff>547680</xdr:colOff>
      <xdr:row>18</xdr:row>
      <xdr:rowOff>18190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D3F20-B0F9-3B94-DE02-90D51FCBF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4607" y="145190"/>
          <a:ext cx="4718073" cy="3530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afasaboori/Downloads/Ch08_Multiple%20Local%20Maxi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P a"/>
      <sheetName val="NLP b"/>
    </sheetNames>
    <sheetDataSet>
      <sheetData sheetId="0">
        <row r="5">
          <cell r="C5">
            <v>0.37101279965482176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539D-3678-DF49-97B7-4A075099FE1A}">
  <dimension ref="A1:B7"/>
  <sheetViews>
    <sheetView zoomScale="161" zoomScaleNormal="161" workbookViewId="0">
      <selection activeCell="L19" sqref="L19"/>
    </sheetView>
  </sheetViews>
  <sheetFormatPr baseColWidth="10" defaultColWidth="10.6640625" defaultRowHeight="14" x14ac:dyDescent="0.2"/>
  <cols>
    <col min="1" max="2" width="9.6640625" style="1" customWidth="1"/>
    <col min="3" max="16384" width="10.6640625" style="2"/>
  </cols>
  <sheetData>
    <row r="1" spans="1:2" x14ac:dyDescent="0.2">
      <c r="B1" s="1" t="s">
        <v>8</v>
      </c>
    </row>
    <row r="2" spans="1:2" x14ac:dyDescent="0.2">
      <c r="A2" s="1" t="s">
        <v>10</v>
      </c>
      <c r="B2" s="1" t="s">
        <v>6</v>
      </c>
    </row>
    <row r="3" spans="1:2" x14ac:dyDescent="0.2">
      <c r="A3" s="3">
        <v>1</v>
      </c>
      <c r="B3" s="3">
        <v>1</v>
      </c>
    </row>
    <row r="4" spans="1:2" x14ac:dyDescent="0.2">
      <c r="A4" s="3">
        <v>2</v>
      </c>
      <c r="B4" s="3">
        <v>1.75</v>
      </c>
    </row>
    <row r="5" spans="1:2" x14ac:dyDescent="0.2">
      <c r="A5" s="3">
        <v>3</v>
      </c>
      <c r="B5" s="3">
        <v>2.4500000000000002</v>
      </c>
    </row>
    <row r="6" spans="1:2" x14ac:dyDescent="0.2">
      <c r="A6" s="3">
        <v>4</v>
      </c>
      <c r="B6" s="3">
        <v>2.8</v>
      </c>
    </row>
    <row r="7" spans="1:2" x14ac:dyDescent="0.2">
      <c r="A7" s="3">
        <v>5</v>
      </c>
      <c r="B7" s="3">
        <v>3</v>
      </c>
    </row>
  </sheetData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A638-7916-244E-9166-1844417F80AC}">
  <dimension ref="A1:B7"/>
  <sheetViews>
    <sheetView zoomScale="163" workbookViewId="0">
      <selection activeCell="A3" sqref="A3:B7"/>
    </sheetView>
  </sheetViews>
  <sheetFormatPr baseColWidth="10" defaultColWidth="10.6640625" defaultRowHeight="14" x14ac:dyDescent="0.2"/>
  <cols>
    <col min="1" max="1" width="12.1640625" style="1" bestFit="1" customWidth="1"/>
    <col min="2" max="2" width="10.6640625" style="1" customWidth="1"/>
    <col min="3" max="16384" width="10.6640625" style="2"/>
  </cols>
  <sheetData>
    <row r="1" spans="1:2" x14ac:dyDescent="0.2">
      <c r="B1" s="1" t="s">
        <v>8</v>
      </c>
    </row>
    <row r="2" spans="1:2" x14ac:dyDescent="0.2">
      <c r="A2" s="1" t="s">
        <v>11</v>
      </c>
      <c r="B2" s="1" t="s">
        <v>6</v>
      </c>
    </row>
    <row r="3" spans="1:2" x14ac:dyDescent="0.2">
      <c r="A3" s="3">
        <v>5</v>
      </c>
      <c r="B3" s="3">
        <v>0.7</v>
      </c>
    </row>
    <row r="4" spans="1:2" x14ac:dyDescent="0.2">
      <c r="A4" s="3">
        <v>10</v>
      </c>
      <c r="B4" s="3">
        <v>1.2</v>
      </c>
    </row>
    <row r="5" spans="1:2" x14ac:dyDescent="0.2">
      <c r="A5" s="3">
        <v>15</v>
      </c>
      <c r="B5" s="3">
        <v>1.55</v>
      </c>
    </row>
    <row r="6" spans="1:2" x14ac:dyDescent="0.2">
      <c r="A6" s="3">
        <v>20</v>
      </c>
      <c r="B6" s="3">
        <v>1.8</v>
      </c>
    </row>
    <row r="7" spans="1:2" x14ac:dyDescent="0.2">
      <c r="A7" s="3">
        <v>25</v>
      </c>
      <c r="B7" s="3">
        <v>2</v>
      </c>
    </row>
  </sheetData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13C8-B6D1-174F-9417-C5AC5291050D}">
  <dimension ref="A1:B7"/>
  <sheetViews>
    <sheetView zoomScale="164" workbookViewId="0">
      <selection activeCell="B11" sqref="B11"/>
    </sheetView>
  </sheetViews>
  <sheetFormatPr baseColWidth="10" defaultColWidth="10.6640625" defaultRowHeight="14" x14ac:dyDescent="0.2"/>
  <cols>
    <col min="1" max="1" width="12.5" style="1" bestFit="1" customWidth="1"/>
    <col min="2" max="2" width="8.6640625" style="1" customWidth="1"/>
    <col min="3" max="16384" width="10.6640625" style="2"/>
  </cols>
  <sheetData>
    <row r="1" spans="1:2" x14ac:dyDescent="0.2">
      <c r="A1" s="1" t="s">
        <v>9</v>
      </c>
      <c r="B1" s="1" t="s">
        <v>8</v>
      </c>
    </row>
    <row r="2" spans="1:2" x14ac:dyDescent="0.2">
      <c r="A2" s="1" t="s">
        <v>7</v>
      </c>
      <c r="B2" s="1" t="s">
        <v>6</v>
      </c>
    </row>
    <row r="3" spans="1:2" x14ac:dyDescent="0.2">
      <c r="A3" s="3">
        <v>2</v>
      </c>
      <c r="B3" s="3">
        <v>1.2</v>
      </c>
    </row>
    <row r="4" spans="1:2" x14ac:dyDescent="0.2">
      <c r="A4" s="3">
        <v>4</v>
      </c>
      <c r="B4" s="3">
        <v>2.2000000000000002</v>
      </c>
    </row>
    <row r="5" spans="1:2" x14ac:dyDescent="0.2">
      <c r="A5" s="3">
        <v>6</v>
      </c>
      <c r="B5" s="3">
        <v>3</v>
      </c>
    </row>
    <row r="6" spans="1:2" x14ac:dyDescent="0.2">
      <c r="A6" s="3">
        <v>8</v>
      </c>
      <c r="B6" s="3">
        <v>3.5</v>
      </c>
    </row>
    <row r="7" spans="1:2" x14ac:dyDescent="0.2">
      <c r="A7" s="3">
        <v>10</v>
      </c>
      <c r="B7" s="3">
        <v>3.75</v>
      </c>
    </row>
  </sheetData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59A5-CE1A-C54C-97CE-FE7C04A54A88}">
  <dimension ref="A1"/>
  <sheetViews>
    <sheetView workbookViewId="0">
      <selection activeCell="S9" sqref="S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AEC7-E790-354D-921F-B3E8A30A27E3}">
  <sheetPr>
    <pageSetUpPr fitToPage="1"/>
  </sheetPr>
  <dimension ref="A1:K25"/>
  <sheetViews>
    <sheetView zoomScale="172" workbookViewId="0">
      <selection activeCell="F24" sqref="F24"/>
    </sheetView>
  </sheetViews>
  <sheetFormatPr baseColWidth="10" defaultColWidth="10.6640625" defaultRowHeight="14" x14ac:dyDescent="0.2"/>
  <cols>
    <col min="1" max="1" width="2.6640625" style="6" customWidth="1"/>
    <col min="2" max="2" width="31.83203125" style="7" bestFit="1" customWidth="1"/>
    <col min="3" max="3" width="11.1640625" style="6" customWidth="1"/>
    <col min="4" max="4" width="12" style="6" customWidth="1"/>
    <col min="5" max="5" width="11.1640625" style="6" customWidth="1"/>
    <col min="6" max="6" width="13.33203125" style="6" customWidth="1"/>
    <col min="7" max="7" width="2.6640625" style="6" customWidth="1"/>
    <col min="8" max="8" width="16.1640625" style="6" bestFit="1" customWidth="1"/>
    <col min="9" max="9" width="5.6640625" style="6" customWidth="1"/>
    <col min="10" max="10" width="19.6640625" style="6" bestFit="1" customWidth="1"/>
    <col min="11" max="11" width="8" style="6" bestFit="1" customWidth="1"/>
    <col min="12" max="16384" width="10.6640625" style="6"/>
  </cols>
  <sheetData>
    <row r="1" spans="1:11" ht="19" x14ac:dyDescent="0.25">
      <c r="A1" s="4" t="s">
        <v>79</v>
      </c>
      <c r="B1" s="5"/>
    </row>
    <row r="2" spans="1:11" ht="15" thickBot="1" x14ac:dyDescent="0.25"/>
    <row r="3" spans="1:11" ht="15" thickBot="1" x14ac:dyDescent="0.25">
      <c r="B3" s="8" t="s">
        <v>78</v>
      </c>
      <c r="C3" s="9" t="s">
        <v>10</v>
      </c>
      <c r="D3" s="9" t="s">
        <v>11</v>
      </c>
      <c r="E3" s="9" t="s">
        <v>21</v>
      </c>
      <c r="J3" s="10" t="s">
        <v>1</v>
      </c>
      <c r="K3" s="11" t="s">
        <v>77</v>
      </c>
    </row>
    <row r="4" spans="1:11" x14ac:dyDescent="0.2">
      <c r="B4" s="7" t="s">
        <v>76</v>
      </c>
      <c r="C4" s="12">
        <v>-0.1036</v>
      </c>
      <c r="D4" s="13">
        <v>-2E-3</v>
      </c>
      <c r="E4" s="13">
        <v>-3.2099999999999997E-2</v>
      </c>
      <c r="J4" s="14" t="s">
        <v>75</v>
      </c>
      <c r="K4" s="15" t="s">
        <v>74</v>
      </c>
    </row>
    <row r="5" spans="1:11" x14ac:dyDescent="0.2">
      <c r="B5" s="7" t="s">
        <v>73</v>
      </c>
      <c r="C5" s="12">
        <v>1.1264000000000001</v>
      </c>
      <c r="D5" s="13">
        <v>0.124</v>
      </c>
      <c r="E5" s="13">
        <v>0.70599999999999996</v>
      </c>
      <c r="J5" s="16" t="s">
        <v>72</v>
      </c>
      <c r="K5" s="17" t="s">
        <v>71</v>
      </c>
    </row>
    <row r="6" spans="1:11" x14ac:dyDescent="0.2">
      <c r="B6" s="7" t="s">
        <v>70</v>
      </c>
      <c r="C6" s="12">
        <v>-0.04</v>
      </c>
      <c r="D6" s="13">
        <v>0.14000000000000001</v>
      </c>
      <c r="E6" s="13">
        <v>-0.09</v>
      </c>
      <c r="F6" s="9" t="s">
        <v>5</v>
      </c>
      <c r="H6" s="6" t="s">
        <v>69</v>
      </c>
      <c r="J6" s="16" t="s">
        <v>68</v>
      </c>
      <c r="K6" s="17" t="s">
        <v>67</v>
      </c>
    </row>
    <row r="7" spans="1:11" x14ac:dyDescent="0.2">
      <c r="B7" s="7" t="s">
        <v>66</v>
      </c>
      <c r="C7" s="18">
        <f>C4*C22^2+C5*C22+C6</f>
        <v>2.8296040324297707</v>
      </c>
      <c r="D7" s="18">
        <f>D4*D22^2+D5*D22+D6</f>
        <v>0.55998904151157758</v>
      </c>
      <c r="E7" s="18">
        <f>E4*E22^2+E5*E22+E6</f>
        <v>3.7903286113550543</v>
      </c>
      <c r="F7" s="18">
        <f>SUM(SalesGenerated)</f>
        <v>7.179921685296403</v>
      </c>
      <c r="H7" s="19">
        <v>0.75</v>
      </c>
      <c r="J7" s="16" t="s">
        <v>65</v>
      </c>
      <c r="K7" s="17" t="s">
        <v>64</v>
      </c>
    </row>
    <row r="8" spans="1:11" x14ac:dyDescent="0.2">
      <c r="C8" s="9"/>
      <c r="D8" s="9"/>
      <c r="E8" s="9"/>
      <c r="F8" s="9"/>
      <c r="G8" s="9"/>
      <c r="H8" s="9"/>
      <c r="J8" s="16" t="s">
        <v>63</v>
      </c>
      <c r="K8" s="17" t="s">
        <v>62</v>
      </c>
    </row>
    <row r="9" spans="1:11" x14ac:dyDescent="0.2">
      <c r="C9" s="9"/>
      <c r="D9" s="9" t="s">
        <v>61</v>
      </c>
      <c r="E9" s="9"/>
      <c r="F9" s="9" t="s">
        <v>60</v>
      </c>
      <c r="G9" s="9"/>
      <c r="H9" s="9" t="s">
        <v>59</v>
      </c>
      <c r="J9" s="16" t="s">
        <v>58</v>
      </c>
      <c r="K9" s="17" t="s">
        <v>57</v>
      </c>
    </row>
    <row r="10" spans="1:11" x14ac:dyDescent="0.2">
      <c r="B10" s="7" t="s">
        <v>56</v>
      </c>
      <c r="C10" s="13">
        <v>300</v>
      </c>
      <c r="D10" s="13">
        <v>150</v>
      </c>
      <c r="E10" s="13">
        <v>100</v>
      </c>
      <c r="F10" s="20">
        <f>SUMPRODUCT(C10:E10,C22:E22)</f>
        <v>2883.5024293161846</v>
      </c>
      <c r="G10" s="9" t="s">
        <v>2</v>
      </c>
      <c r="H10" s="21">
        <v>4000</v>
      </c>
      <c r="J10" s="16" t="s">
        <v>55</v>
      </c>
      <c r="K10" s="17" t="s">
        <v>54</v>
      </c>
    </row>
    <row r="11" spans="1:11" x14ac:dyDescent="0.2">
      <c r="B11" s="7" t="s">
        <v>53</v>
      </c>
      <c r="C11" s="13">
        <v>90</v>
      </c>
      <c r="D11" s="13">
        <v>30</v>
      </c>
      <c r="E11" s="13">
        <v>40</v>
      </c>
      <c r="F11" s="20">
        <f>SUMPRODUCT(C11:E11,C22:E22)</f>
        <v>923.29951380071077</v>
      </c>
      <c r="G11" s="9" t="s">
        <v>2</v>
      </c>
      <c r="H11" s="21">
        <v>1000</v>
      </c>
      <c r="J11" s="16" t="s">
        <v>52</v>
      </c>
      <c r="K11" s="17" t="s">
        <v>51</v>
      </c>
    </row>
    <row r="12" spans="1:11" x14ac:dyDescent="0.2">
      <c r="C12" s="9"/>
      <c r="D12" s="9"/>
      <c r="E12" s="9"/>
      <c r="F12" s="9"/>
      <c r="G12" s="9"/>
      <c r="H12" s="9"/>
      <c r="J12" s="16" t="s">
        <v>50</v>
      </c>
      <c r="K12" s="17" t="s">
        <v>49</v>
      </c>
    </row>
    <row r="13" spans="1:11" x14ac:dyDescent="0.2">
      <c r="C13" s="9"/>
      <c r="D13" s="9" t="s">
        <v>48</v>
      </c>
      <c r="E13" s="9"/>
      <c r="F13" s="9" t="s">
        <v>47</v>
      </c>
      <c r="G13" s="9"/>
      <c r="H13" s="9" t="s">
        <v>46</v>
      </c>
      <c r="J13" s="16" t="s">
        <v>45</v>
      </c>
      <c r="K13" s="17" t="s">
        <v>44</v>
      </c>
    </row>
    <row r="14" spans="1:11" x14ac:dyDescent="0.2">
      <c r="B14" s="7" t="s">
        <v>43</v>
      </c>
      <c r="C14" s="13">
        <v>1.2</v>
      </c>
      <c r="D14" s="13">
        <v>0.1</v>
      </c>
      <c r="E14" s="13">
        <v>0</v>
      </c>
      <c r="F14" s="22">
        <f>SUMPRODUCT(C14:E14,C22:E22)</f>
        <v>5.2489854173818449</v>
      </c>
      <c r="G14" s="9" t="s">
        <v>39</v>
      </c>
      <c r="H14" s="13">
        <v>5</v>
      </c>
      <c r="J14" s="16" t="s">
        <v>42</v>
      </c>
      <c r="K14" s="17" t="s">
        <v>41</v>
      </c>
    </row>
    <row r="15" spans="1:11" x14ac:dyDescent="0.2">
      <c r="B15" s="7" t="s">
        <v>40</v>
      </c>
      <c r="C15" s="13">
        <v>0.5</v>
      </c>
      <c r="D15" s="13">
        <v>0.2</v>
      </c>
      <c r="E15" s="13">
        <v>0.2</v>
      </c>
      <c r="F15" s="22">
        <f>SUMPRODUCT(C15:E15,C22:E22)</f>
        <v>4.9999999988798258</v>
      </c>
      <c r="G15" s="9" t="s">
        <v>39</v>
      </c>
      <c r="H15" s="13">
        <v>5</v>
      </c>
      <c r="J15" s="16" t="s">
        <v>38</v>
      </c>
      <c r="K15" s="17" t="s">
        <v>37</v>
      </c>
    </row>
    <row r="16" spans="1:11" x14ac:dyDescent="0.2">
      <c r="C16" s="9"/>
      <c r="D16" s="9"/>
      <c r="E16" s="9"/>
      <c r="F16" s="9"/>
      <c r="G16" s="9"/>
      <c r="H16" s="9"/>
      <c r="J16" s="16" t="s">
        <v>36</v>
      </c>
      <c r="K16" s="17" t="s">
        <v>35</v>
      </c>
    </row>
    <row r="17" spans="2:11" x14ac:dyDescent="0.2">
      <c r="C17" s="9" t="s">
        <v>10</v>
      </c>
      <c r="D17" s="9" t="s">
        <v>11</v>
      </c>
      <c r="E17" s="9" t="s">
        <v>21</v>
      </c>
      <c r="F17" s="9" t="s">
        <v>34</v>
      </c>
      <c r="G17" s="9"/>
      <c r="H17" s="9" t="s">
        <v>33</v>
      </c>
      <c r="J17" s="16" t="s">
        <v>32</v>
      </c>
      <c r="K17" s="17" t="s">
        <v>31</v>
      </c>
    </row>
    <row r="18" spans="2:11" x14ac:dyDescent="0.2">
      <c r="B18" s="7" t="s">
        <v>30</v>
      </c>
      <c r="C18" s="13">
        <v>0</v>
      </c>
      <c r="D18" s="13">
        <v>40</v>
      </c>
      <c r="E18" s="13">
        <v>120</v>
      </c>
      <c r="F18" s="20">
        <f>SUMPRODUCT(CouponRedemptionPerAd,C22:E22)</f>
        <v>1490.0000000000002</v>
      </c>
      <c r="G18" s="9" t="s">
        <v>29</v>
      </c>
      <c r="H18" s="21">
        <v>1490</v>
      </c>
      <c r="J18" s="16" t="s">
        <v>4</v>
      </c>
      <c r="K18" s="17" t="s">
        <v>28</v>
      </c>
    </row>
    <row r="19" spans="2:11" x14ac:dyDescent="0.2">
      <c r="B19" s="7" t="s">
        <v>27</v>
      </c>
      <c r="C19" s="9"/>
      <c r="D19" s="9"/>
      <c r="E19" s="9"/>
      <c r="F19" s="9"/>
      <c r="G19" s="9"/>
      <c r="H19" s="9"/>
      <c r="J19" s="16" t="s">
        <v>26</v>
      </c>
      <c r="K19" s="17" t="s">
        <v>25</v>
      </c>
    </row>
    <row r="20" spans="2:11" x14ac:dyDescent="0.2">
      <c r="G20" s="7" t="s">
        <v>24</v>
      </c>
      <c r="H20" s="23">
        <f>GrossProfitPerSale*TotalSales</f>
        <v>5.3849412639723022</v>
      </c>
      <c r="J20" s="16" t="s">
        <v>23</v>
      </c>
      <c r="K20" s="17" t="s">
        <v>22</v>
      </c>
    </row>
    <row r="21" spans="2:11" x14ac:dyDescent="0.2">
      <c r="C21" s="9" t="s">
        <v>10</v>
      </c>
      <c r="D21" s="9" t="s">
        <v>11</v>
      </c>
      <c r="E21" s="9" t="s">
        <v>21</v>
      </c>
      <c r="G21" s="7" t="s">
        <v>20</v>
      </c>
      <c r="H21" s="24">
        <f>F10/1000</f>
        <v>2.8835024293161844</v>
      </c>
      <c r="J21" s="16" t="s">
        <v>19</v>
      </c>
      <c r="K21" s="17" t="s">
        <v>18</v>
      </c>
    </row>
    <row r="22" spans="2:11" ht="15" thickBot="1" x14ac:dyDescent="0.25">
      <c r="B22" s="7" t="s">
        <v>17</v>
      </c>
      <c r="C22" s="25">
        <v>4.0745277796630015</v>
      </c>
      <c r="D22" s="26">
        <v>3.5955208178624343</v>
      </c>
      <c r="E22" s="27">
        <v>11.218159727379192</v>
      </c>
      <c r="G22" s="7" t="s">
        <v>16</v>
      </c>
      <c r="H22" s="24">
        <f>F11/1000</f>
        <v>0.92329951380071074</v>
      </c>
      <c r="J22" s="28" t="s">
        <v>15</v>
      </c>
      <c r="K22" s="29" t="s">
        <v>14</v>
      </c>
    </row>
    <row r="23" spans="2:11" ht="15" thickBot="1" x14ac:dyDescent="0.25">
      <c r="C23" s="9" t="s">
        <v>2</v>
      </c>
      <c r="G23" s="7" t="s">
        <v>4</v>
      </c>
      <c r="H23" s="30">
        <f>H20-H21-H22</f>
        <v>1.5781393208554071</v>
      </c>
    </row>
    <row r="24" spans="2:11" x14ac:dyDescent="0.2">
      <c r="B24" s="7" t="s">
        <v>13</v>
      </c>
      <c r="C24" s="13">
        <v>5</v>
      </c>
      <c r="H24" s="9" t="s">
        <v>12</v>
      </c>
    </row>
    <row r="25" spans="2:11" x14ac:dyDescent="0.2">
      <c r="H25" s="31"/>
    </row>
  </sheetData>
  <printOptions headings="1" gridLines="1"/>
  <pageMargins left="0.75" right="0.75" top="1" bottom="1" header="0.5" footer="0.5"/>
  <pageSetup paperSize="0" scale="78" orientation="landscape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F805-B269-E848-A3B3-20C35A0503FF}">
  <sheetPr>
    <pageSetUpPr fitToPage="1"/>
  </sheetPr>
  <dimension ref="A1:I37"/>
  <sheetViews>
    <sheetView zoomScale="141" workbookViewId="0">
      <selection activeCell="H36" sqref="H36"/>
    </sheetView>
  </sheetViews>
  <sheetFormatPr baseColWidth="10" defaultColWidth="10.6640625" defaultRowHeight="14" x14ac:dyDescent="0.2"/>
  <cols>
    <col min="1" max="1" width="2.6640625" style="6" customWidth="1"/>
    <col min="2" max="2" width="21" style="7" bestFit="1" customWidth="1"/>
    <col min="3" max="3" width="11.1640625" style="6" customWidth="1"/>
    <col min="4" max="4" width="11.83203125" style="6" customWidth="1"/>
    <col min="5" max="5" width="10.6640625" style="6" customWidth="1"/>
    <col min="6" max="6" width="13.1640625" style="6" customWidth="1"/>
    <col min="7" max="7" width="7.1640625" style="6" customWidth="1"/>
    <col min="8" max="8" width="12.83203125" style="6" customWidth="1"/>
    <col min="9" max="9" width="6.83203125" style="6" customWidth="1"/>
    <col min="10" max="10" width="5.6640625" style="6" customWidth="1"/>
    <col min="11" max="16384" width="10.6640625" style="6"/>
  </cols>
  <sheetData>
    <row r="1" spans="1:8" ht="19" x14ac:dyDescent="0.25">
      <c r="A1" s="4" t="s">
        <v>79</v>
      </c>
      <c r="B1" s="5"/>
    </row>
    <row r="3" spans="1:8" x14ac:dyDescent="0.2">
      <c r="B3" s="32" t="s">
        <v>89</v>
      </c>
      <c r="C3" s="9" t="s">
        <v>10</v>
      </c>
      <c r="D3" s="9" t="s">
        <v>11</v>
      </c>
      <c r="E3" s="9" t="s">
        <v>21</v>
      </c>
    </row>
    <row r="4" spans="1:8" x14ac:dyDescent="0.2">
      <c r="B4" s="7" t="s">
        <v>85</v>
      </c>
      <c r="C4" s="13">
        <v>1</v>
      </c>
      <c r="D4" s="13">
        <f>0.7/5</f>
        <v>0.13999999999999999</v>
      </c>
      <c r="E4" s="13">
        <f>1.2/2</f>
        <v>0.6</v>
      </c>
    </row>
    <row r="5" spans="1:8" x14ac:dyDescent="0.2">
      <c r="B5" s="7" t="s">
        <v>84</v>
      </c>
      <c r="C5" s="13">
        <v>0.75</v>
      </c>
      <c r="D5" s="13">
        <f>0.5/5</f>
        <v>0.1</v>
      </c>
      <c r="E5" s="13">
        <f>1/2</f>
        <v>0.5</v>
      </c>
    </row>
    <row r="6" spans="1:8" x14ac:dyDescent="0.2">
      <c r="B6" s="7" t="s">
        <v>83</v>
      </c>
      <c r="C6" s="13">
        <v>0.7</v>
      </c>
      <c r="D6" s="13">
        <f>0.35/5</f>
        <v>6.9999999999999993E-2</v>
      </c>
      <c r="E6" s="13">
        <f>0.8/2</f>
        <v>0.4</v>
      </c>
    </row>
    <row r="7" spans="1:8" x14ac:dyDescent="0.2">
      <c r="B7" s="7" t="s">
        <v>82</v>
      </c>
      <c r="C7" s="13">
        <v>0.35</v>
      </c>
      <c r="D7" s="13">
        <f>0.25/5</f>
        <v>0.05</v>
      </c>
      <c r="E7" s="13">
        <f>0.5/2</f>
        <v>0.25</v>
      </c>
    </row>
    <row r="8" spans="1:8" x14ac:dyDescent="0.2">
      <c r="B8" s="7" t="s">
        <v>81</v>
      </c>
      <c r="C8" s="13">
        <v>0.2</v>
      </c>
      <c r="D8" s="13">
        <f>0.2/5</f>
        <v>0.04</v>
      </c>
      <c r="E8" s="13">
        <f>0.25/2</f>
        <v>0.125</v>
      </c>
    </row>
    <row r="9" spans="1:8" x14ac:dyDescent="0.2">
      <c r="C9" s="18"/>
      <c r="D9" s="18"/>
      <c r="E9" s="18"/>
    </row>
    <row r="10" spans="1:8" x14ac:dyDescent="0.2">
      <c r="C10" s="9"/>
      <c r="D10" s="9"/>
      <c r="E10" s="9"/>
      <c r="F10" s="9"/>
      <c r="G10" s="9"/>
      <c r="H10" s="9" t="s">
        <v>88</v>
      </c>
    </row>
    <row r="11" spans="1:8" x14ac:dyDescent="0.2">
      <c r="C11" s="9"/>
      <c r="D11" s="9" t="s">
        <v>61</v>
      </c>
      <c r="E11" s="9"/>
      <c r="F11" s="9" t="s">
        <v>60</v>
      </c>
      <c r="G11" s="9"/>
      <c r="H11" s="9" t="s">
        <v>3</v>
      </c>
    </row>
    <row r="12" spans="1:8" x14ac:dyDescent="0.2">
      <c r="B12" s="7" t="s">
        <v>56</v>
      </c>
      <c r="C12" s="13">
        <v>300</v>
      </c>
      <c r="D12" s="13">
        <v>150</v>
      </c>
      <c r="E12" s="13">
        <v>100</v>
      </c>
      <c r="F12" s="20">
        <f>SUMPRODUCT(C12:E12,TotalAds)</f>
        <v>3156.25</v>
      </c>
      <c r="G12" s="9" t="s">
        <v>2</v>
      </c>
      <c r="H12" s="21">
        <v>4000</v>
      </c>
    </row>
    <row r="13" spans="1:8" x14ac:dyDescent="0.2">
      <c r="B13" s="7" t="s">
        <v>53</v>
      </c>
      <c r="C13" s="13">
        <v>90</v>
      </c>
      <c r="D13" s="13">
        <v>30</v>
      </c>
      <c r="E13" s="13">
        <v>40</v>
      </c>
      <c r="F13" s="20">
        <f>SUMPRODUCT(C13:E13,TotalAds)</f>
        <v>938.125</v>
      </c>
      <c r="G13" s="9" t="s">
        <v>2</v>
      </c>
      <c r="H13" s="21">
        <v>1000</v>
      </c>
    </row>
    <row r="14" spans="1:8" x14ac:dyDescent="0.2">
      <c r="C14" s="9"/>
      <c r="D14" s="9"/>
      <c r="E14" s="9"/>
      <c r="F14" s="9"/>
      <c r="G14" s="9"/>
      <c r="H14" s="9"/>
    </row>
    <row r="15" spans="1:8" x14ac:dyDescent="0.2">
      <c r="C15" s="9"/>
      <c r="D15" s="9" t="s">
        <v>48</v>
      </c>
      <c r="E15" s="9"/>
      <c r="F15" s="9" t="s">
        <v>47</v>
      </c>
      <c r="G15" s="9"/>
      <c r="H15" s="9" t="s">
        <v>87</v>
      </c>
    </row>
    <row r="16" spans="1:8" x14ac:dyDescent="0.2">
      <c r="B16" s="7" t="s">
        <v>43</v>
      </c>
      <c r="C16" s="13">
        <v>1.2</v>
      </c>
      <c r="D16" s="13">
        <v>0.1</v>
      </c>
      <c r="E16" s="13">
        <v>0</v>
      </c>
      <c r="F16" s="22">
        <f>SUMPRODUCT(C16:E16,TotalAds)</f>
        <v>4.9999999999999982</v>
      </c>
      <c r="G16" s="9" t="s">
        <v>39</v>
      </c>
      <c r="H16" s="13">
        <v>5</v>
      </c>
    </row>
    <row r="17" spans="2:9" x14ac:dyDescent="0.2">
      <c r="B17" s="7" t="s">
        <v>40</v>
      </c>
      <c r="C17" s="13">
        <v>0.5</v>
      </c>
      <c r="D17" s="13">
        <v>0.2</v>
      </c>
      <c r="E17" s="13">
        <v>0.2</v>
      </c>
      <c r="F17" s="22">
        <f>SUMPRODUCT(C17:E17,TotalAds)</f>
        <v>5.2312499999999993</v>
      </c>
      <c r="G17" s="9" t="s">
        <v>39</v>
      </c>
      <c r="H17" s="13">
        <v>5</v>
      </c>
    </row>
    <row r="18" spans="2:9" x14ac:dyDescent="0.2">
      <c r="C18" s="9"/>
      <c r="D18" s="9"/>
      <c r="E18" s="9"/>
      <c r="F18" s="9"/>
      <c r="G18" s="9"/>
      <c r="H18" s="9"/>
    </row>
    <row r="19" spans="2:9" x14ac:dyDescent="0.2">
      <c r="C19" s="9" t="s">
        <v>10</v>
      </c>
      <c r="D19" s="9" t="s">
        <v>11</v>
      </c>
      <c r="E19" s="9" t="s">
        <v>21</v>
      </c>
      <c r="F19" s="9" t="s">
        <v>34</v>
      </c>
      <c r="G19" s="9"/>
      <c r="H19" s="9" t="s">
        <v>86</v>
      </c>
    </row>
    <row r="20" spans="2:9" x14ac:dyDescent="0.2">
      <c r="B20" s="7" t="s">
        <v>30</v>
      </c>
      <c r="C20" s="13">
        <v>0</v>
      </c>
      <c r="D20" s="13">
        <v>40</v>
      </c>
      <c r="E20" s="13">
        <v>120</v>
      </c>
      <c r="F20" s="20">
        <f>SUMPRODUCT(CouponRedemptionPerAd,TotalAds)</f>
        <v>1490</v>
      </c>
      <c r="G20" s="9" t="s">
        <v>29</v>
      </c>
      <c r="H20" s="21">
        <v>1490</v>
      </c>
    </row>
    <row r="21" spans="2:9" x14ac:dyDescent="0.2">
      <c r="B21" s="7" t="s">
        <v>27</v>
      </c>
      <c r="C21" s="9"/>
      <c r="D21" s="9"/>
      <c r="E21" s="9"/>
      <c r="F21" s="9"/>
      <c r="G21" s="9"/>
      <c r="H21" s="9"/>
    </row>
    <row r="22" spans="2:9" x14ac:dyDescent="0.2">
      <c r="G22" s="9"/>
      <c r="H22" s="9" t="s">
        <v>0</v>
      </c>
      <c r="I22" s="9"/>
    </row>
    <row r="23" spans="2:9" x14ac:dyDescent="0.2">
      <c r="B23" s="5" t="s">
        <v>17</v>
      </c>
      <c r="C23" s="9" t="s">
        <v>10</v>
      </c>
      <c r="D23" s="9" t="s">
        <v>11</v>
      </c>
      <c r="E23" s="9" t="s">
        <v>21</v>
      </c>
      <c r="G23" s="9" t="s">
        <v>10</v>
      </c>
      <c r="H23" s="9" t="s">
        <v>11</v>
      </c>
      <c r="I23" s="9" t="s">
        <v>21</v>
      </c>
    </row>
    <row r="24" spans="2:9" x14ac:dyDescent="0.2">
      <c r="B24" s="7" t="s">
        <v>85</v>
      </c>
      <c r="C24" s="33">
        <v>1</v>
      </c>
      <c r="D24" s="34">
        <v>5</v>
      </c>
      <c r="E24" s="35">
        <v>2</v>
      </c>
      <c r="F24" s="9" t="s">
        <v>2</v>
      </c>
      <c r="G24" s="13">
        <v>1</v>
      </c>
      <c r="H24" s="13">
        <v>5</v>
      </c>
      <c r="I24" s="13">
        <v>2</v>
      </c>
    </row>
    <row r="25" spans="2:9" x14ac:dyDescent="0.2">
      <c r="B25" s="7" t="s">
        <v>84</v>
      </c>
      <c r="C25" s="36">
        <v>1</v>
      </c>
      <c r="D25" s="37">
        <v>2.25</v>
      </c>
      <c r="E25" s="38">
        <v>2</v>
      </c>
      <c r="F25" s="9" t="s">
        <v>2</v>
      </c>
      <c r="G25" s="13">
        <v>1</v>
      </c>
      <c r="H25" s="13">
        <v>5</v>
      </c>
      <c r="I25" s="13">
        <v>2</v>
      </c>
    </row>
    <row r="26" spans="2:9" x14ac:dyDescent="0.2">
      <c r="B26" s="7" t="s">
        <v>83</v>
      </c>
      <c r="C26" s="36">
        <v>1</v>
      </c>
      <c r="D26" s="37">
        <v>0</v>
      </c>
      <c r="E26" s="38">
        <v>2</v>
      </c>
      <c r="F26" s="9" t="s">
        <v>2</v>
      </c>
      <c r="G26" s="13">
        <v>1</v>
      </c>
      <c r="H26" s="13">
        <v>5</v>
      </c>
      <c r="I26" s="13">
        <v>2</v>
      </c>
    </row>
    <row r="27" spans="2:9" x14ac:dyDescent="0.2">
      <c r="B27" s="7" t="s">
        <v>82</v>
      </c>
      <c r="C27" s="36">
        <v>0.56249999999999933</v>
      </c>
      <c r="D27" s="37">
        <v>0</v>
      </c>
      <c r="E27" s="38">
        <v>2</v>
      </c>
      <c r="F27" s="9" t="s">
        <v>2</v>
      </c>
      <c r="G27" s="13">
        <v>1</v>
      </c>
      <c r="H27" s="13">
        <v>5</v>
      </c>
      <c r="I27" s="13">
        <v>2</v>
      </c>
    </row>
    <row r="28" spans="2:9" x14ac:dyDescent="0.2">
      <c r="B28" s="7" t="s">
        <v>81</v>
      </c>
      <c r="C28" s="39">
        <v>0</v>
      </c>
      <c r="D28" s="40">
        <v>0</v>
      </c>
      <c r="E28" s="41">
        <v>2</v>
      </c>
      <c r="F28" s="9" t="s">
        <v>2</v>
      </c>
      <c r="G28" s="13">
        <v>1</v>
      </c>
      <c r="H28" s="13">
        <v>5</v>
      </c>
      <c r="I28" s="13">
        <v>2</v>
      </c>
    </row>
    <row r="29" spans="2:9" x14ac:dyDescent="0.2">
      <c r="B29" s="7" t="s">
        <v>5</v>
      </c>
      <c r="C29" s="23">
        <f>SUM(C24:C28)</f>
        <v>3.5624999999999991</v>
      </c>
      <c r="D29" s="23">
        <f>SUM(D24:D28)</f>
        <v>7.25</v>
      </c>
      <c r="E29" s="23">
        <f>SUM(E24:E28)</f>
        <v>10</v>
      </c>
    </row>
    <row r="30" spans="2:9" x14ac:dyDescent="0.2">
      <c r="C30" s="9" t="s">
        <v>2</v>
      </c>
      <c r="G30" s="7" t="s">
        <v>80</v>
      </c>
      <c r="H30" s="18">
        <f>SUMPRODUCT(SalesPerAd,NumberOfAds)</f>
        <v>7.3218749999999995</v>
      </c>
    </row>
    <row r="31" spans="2:9" x14ac:dyDescent="0.2">
      <c r="B31" s="7" t="s">
        <v>13</v>
      </c>
      <c r="C31" s="13">
        <v>5</v>
      </c>
      <c r="G31" s="7" t="s">
        <v>69</v>
      </c>
      <c r="H31" s="19">
        <v>0.75</v>
      </c>
    </row>
    <row r="33" spans="7:8" x14ac:dyDescent="0.2">
      <c r="G33" s="7" t="s">
        <v>24</v>
      </c>
      <c r="H33" s="23">
        <f>GrossProfitPerSale*TotalSales</f>
        <v>5.4914062499999998</v>
      </c>
    </row>
    <row r="34" spans="7:8" x14ac:dyDescent="0.2">
      <c r="G34" s="7" t="s">
        <v>20</v>
      </c>
      <c r="H34" s="24">
        <f>F12/1000</f>
        <v>3.15625</v>
      </c>
    </row>
    <row r="35" spans="7:8" ht="15" thickBot="1" x14ac:dyDescent="0.25">
      <c r="G35" s="7" t="s">
        <v>16</v>
      </c>
      <c r="H35" s="24">
        <f>F13/1000</f>
        <v>0.93812499999999999</v>
      </c>
    </row>
    <row r="36" spans="7:8" ht="15" thickBot="1" x14ac:dyDescent="0.25">
      <c r="G36" s="7" t="s">
        <v>4</v>
      </c>
      <c r="H36" s="30">
        <f>H33-H34-H35</f>
        <v>1.3970312499999999</v>
      </c>
    </row>
    <row r="37" spans="7:8" x14ac:dyDescent="0.2">
      <c r="H37" s="9" t="s">
        <v>12</v>
      </c>
    </row>
  </sheetData>
  <printOptions headings="1" gridLines="1"/>
  <pageMargins left="0.75" right="0.75" top="1" bottom="1" header="0.5" footer="0.5"/>
  <pageSetup paperSize="0" scale="76" orientation="landscape" horizontalDpi="4294967292" verticalDpi="4294967292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EB31-4A22-8944-A087-CA247DFAA683}">
  <dimension ref="A1"/>
  <sheetViews>
    <sheetView tabSelected="1" zoomScale="200" workbookViewId="0">
      <selection activeCell="D17" sqref="D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35</vt:i4>
      </vt:variant>
    </vt:vector>
  </HeadingPairs>
  <TitlesOfParts>
    <vt:vector size="42" baseType="lpstr">
      <vt:lpstr>Case 8-1a,b (TV Spots)</vt:lpstr>
      <vt:lpstr>Case 8-1a,b (Magazine Ads)</vt:lpstr>
      <vt:lpstr>Case 8-1a, (Sunday Supplements)</vt:lpstr>
      <vt:lpstr>case 8-1c</vt:lpstr>
      <vt:lpstr>Case 8-1 d (Quadratic)</vt:lpstr>
      <vt:lpstr>Case 8-1 e (Seperable)</vt:lpstr>
      <vt:lpstr>Case 8-1 f</vt:lpstr>
      <vt:lpstr>'Case 8-1 e (Seperable)'!BudgetAvailable</vt:lpstr>
      <vt:lpstr>BudgetAvailable</vt:lpstr>
      <vt:lpstr>'Case 8-1 e (Seperable)'!BudgetSpent</vt:lpstr>
      <vt:lpstr>BudgetSpent</vt:lpstr>
      <vt:lpstr>'Case 8-1 e (Seperable)'!CostPerAd</vt:lpstr>
      <vt:lpstr>CostPerAd</vt:lpstr>
      <vt:lpstr>'Case 8-1 e (Seperable)'!CouponRedemptionPerAd</vt:lpstr>
      <vt:lpstr>CouponRedemptionPerAd</vt:lpstr>
      <vt:lpstr>'Case 8-1 e (Seperable)'!GrossProfitPerSale</vt:lpstr>
      <vt:lpstr>GrossProfitPerSale</vt:lpstr>
      <vt:lpstr>'Case 8-1 d (Quadratic)'!Maximum</vt:lpstr>
      <vt:lpstr>'Case 8-1 e (Seperable)'!Maximum</vt:lpstr>
      <vt:lpstr>'Case 8-1a, (Sunday Supplements)'!Maximum</vt:lpstr>
      <vt:lpstr>'Case 8-1a,b (Magazine Ads)'!Maximum</vt:lpstr>
      <vt:lpstr>'Case 8-1a,b (TV Spots)'!Maximum</vt:lpstr>
      <vt:lpstr>'Case 8-1 e (Seperable)'!MaxTVSpots</vt:lpstr>
      <vt:lpstr>MaxTVSpots</vt:lpstr>
      <vt:lpstr>'Case 8-1 e (Seperable)'!MinimumAcceptable</vt:lpstr>
      <vt:lpstr>MinimumAcceptable</vt:lpstr>
      <vt:lpstr>'Case 8-1 e (Seperable)'!NumberOfAds</vt:lpstr>
      <vt:lpstr>NumberReachedPerAd</vt:lpstr>
      <vt:lpstr>'Case 8-1 e (Seperable)'!RequiredAmount</vt:lpstr>
      <vt:lpstr>RequiredAmount</vt:lpstr>
      <vt:lpstr>SalesGenerated</vt:lpstr>
      <vt:lpstr>SalesPerAd</vt:lpstr>
      <vt:lpstr>TotalAds</vt:lpstr>
      <vt:lpstr>'Case 8-1 e (Seperable)'!TotalProfit</vt:lpstr>
      <vt:lpstr>TotalProfit</vt:lpstr>
      <vt:lpstr>'Case 8-1 e (Seperable)'!TotalReached</vt:lpstr>
      <vt:lpstr>TotalReached</vt:lpstr>
      <vt:lpstr>'Case 8-1 e (Seperable)'!TotalRedeemed</vt:lpstr>
      <vt:lpstr>TotalRedeemed</vt:lpstr>
      <vt:lpstr>'Case 8-1 e (Seperable)'!TotalSales</vt:lpstr>
      <vt:lpstr>TotalSales</vt:lpstr>
      <vt:lpstr>'Case 8-1 e (Seperable)'!TVSpots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Saboorideilami, Vafa</cp:lastModifiedBy>
  <dcterms:created xsi:type="dcterms:W3CDTF">2021-06-09T23:16:10Z</dcterms:created>
  <dcterms:modified xsi:type="dcterms:W3CDTF">2025-06-26T03:18:06Z</dcterms:modified>
</cp:coreProperties>
</file>