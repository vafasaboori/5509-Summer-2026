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7B055EBF-98F1-1640-8599-1FD0890B4C5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Wyndor" sheetId="7" r:id="rId1"/>
  </sheets>
  <definedNames>
    <definedName name="HoursAvailable">Wyndor!$G$11:$G$13</definedName>
    <definedName name="HoursUsed">Wyndor!$E$11:$E$13</definedName>
    <definedName name="HoursUsedPerUnitProduced">Wyndor!$C$11:$D$13</definedName>
    <definedName name="Maximum">Wyndor!$F$17:$G$20</definedName>
    <definedName name="solver_adj" localSheetId="0" hidden="1">Wyndor!$C$17:$D$20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Wyndor!$E$11:$E$13</definedName>
    <definedName name="solver_lhs2" localSheetId="0" hidden="1">Wyndor!$C$17:$D$20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Wyndor!$D$23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HoursAvailable</definedName>
    <definedName name="solver_rhs2" localSheetId="0" hidden="1">Maximum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Produced">Wyndor!$C$21:$D$21</definedName>
    <definedName name="TotalProfit">Wyndor!$D$23</definedName>
    <definedName name="UnitProfit">Wyndor!$C$4:$D$7</definedName>
    <definedName name="UnitsProduced">Wyndor!$C$17:$D$20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1" i="7" l="1"/>
  <c r="C21" i="7"/>
  <c r="E13" i="7" s="1"/>
  <c r="D23" i="7"/>
  <c r="E11" i="7" l="1"/>
  <c r="E12" i="7"/>
</calcChain>
</file>

<file path=xl/sharedStrings.xml><?xml version="1.0" encoding="utf-8"?>
<sst xmlns="http://schemas.openxmlformats.org/spreadsheetml/2006/main" count="35" uniqueCount="20">
  <si>
    <t>Available</t>
  </si>
  <si>
    <t>Plant 1</t>
  </si>
  <si>
    <t>Plant 2</t>
  </si>
  <si>
    <t>Plant 3</t>
  </si>
  <si>
    <t>Hours</t>
  </si>
  <si>
    <t>Doors</t>
  </si>
  <si>
    <t>Windows</t>
  </si>
  <si>
    <t>Hours Used Per Unit Produced</t>
  </si>
  <si>
    <t>Units Produced</t>
  </si>
  <si>
    <t>Used</t>
  </si>
  <si>
    <t>Total Profit</t>
  </si>
  <si>
    <t>Overtime</t>
  </si>
  <si>
    <t>Total Produced</t>
  </si>
  <si>
    <t>Maximum</t>
  </si>
  <si>
    <t>Regular (0-1)</t>
  </si>
  <si>
    <t>Regular (1-2)</t>
  </si>
  <si>
    <t>Regular (2-3)</t>
  </si>
  <si>
    <t>Wyndor with Overtime and Marketing Costs (Separable)</t>
  </si>
  <si>
    <t>&lt;=</t>
  </si>
  <si>
    <t>Incremental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</si>
</sst>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7" x14ac:knownFonts="1">
    <font>
      <sz val="10"/>
      <name val="Geneva"/>
    </font>
    <font>
      <sz val="10"/>
      <name val="Geneva"/>
      <family val="2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  <font>
      <sz val="10"/>
      <color rgb="FFFF0000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165" fontId="4" fillId="3" borderId="0" xfId="2" applyNumberFormat="1" applyFont="1" applyFill="1" applyAlignment="1">
      <alignment horizontal="center"/>
    </xf>
    <xf numFmtId="165" fontId="6" fillId="3" borderId="0" xfId="2" applyNumberFormat="1" applyFont="1" applyFill="1" applyAlignment="1">
      <alignment horizontal="center"/>
    </xf>
    <xf numFmtId="0" fontId="4" fillId="0" borderId="0" xfId="0" applyFont="1" applyAlignment="1">
      <alignment horizontal="centerContinuous"/>
    </xf>
    <xf numFmtId="0" fontId="4" fillId="3" borderId="0" xfId="2" applyFont="1" applyFill="1" applyAlignment="1">
      <alignment horizontal="center"/>
    </xf>
    <xf numFmtId="0" fontId="4" fillId="0" borderId="0" xfId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164" fontId="4" fillId="2" borderId="7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1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3" xfId="2" xr:uid="{5C051399-5878-2240-B4ED-B42D48FF576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168160</xdr:colOff>
      <xdr:row>24</xdr:row>
      <xdr:rowOff>145739</xdr:rowOff>
    </xdr:from>
    <xdr:to>
      <xdr:col>12</xdr:col>
      <xdr:colOff>518440</xdr:colOff>
      <xdr:row>62</xdr:row>
      <xdr:rowOff>55199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B6F8C3-725B-3E06-FF7E-58F072BA3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5209" y="4330493"/>
          <a:ext cx="5471919" cy="6844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287866</xdr:colOff>
      <xdr:row>13</xdr:row>
      <xdr:rowOff>17104</xdr:rowOff>
    </xdr:from>
    <xdr:to>
      <xdr:col>13</xdr:col>
      <xdr:colOff>135467</xdr:colOff>
      <xdr:row>22</xdr:row>
      <xdr:rowOff>118534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D7E110BA-7E2A-E430-34AE-46093B2B7880}"/>
            </a:ext>
          </a:extLst>
        </xdr:cNvPr>
        <xdr:cNvGrpSpPr/>
      </xdr:nvGrpSpPr>
      <xdr:grpSpPr>
        <a:xfrm>
          <a:off x="6223940" y="2406585"/>
          <a:ext cx="5924786" cy="1719505"/>
          <a:chOff x="6019799" y="2303104"/>
          <a:chExt cx="5943601" cy="164236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501D8E9A-A0E0-09CC-732C-685963070F9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19799" y="2303104"/>
            <a:ext cx="5418762" cy="16423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E37CFD12-817E-8C11-427C-B1744C59AAD4}"/>
              </a:ext>
            </a:extLst>
          </xdr:cNvPr>
          <xdr:cNvSpPr/>
        </xdr:nvSpPr>
        <xdr:spPr>
          <a:xfrm>
            <a:off x="10388599" y="3293533"/>
            <a:ext cx="651933" cy="465667"/>
          </a:xfrm>
          <a:prstGeom prst="round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975533D-1DB7-EB28-1D2D-00F84535014B}"/>
              </a:ext>
            </a:extLst>
          </xdr:cNvPr>
          <xdr:cNvSpPr txBox="1"/>
        </xdr:nvSpPr>
        <xdr:spPr>
          <a:xfrm>
            <a:off x="11006667" y="3369733"/>
            <a:ext cx="956733" cy="2963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solidFill>
                  <a:srgbClr val="FF0000"/>
                </a:solidFill>
              </a:rPr>
              <a:t>Avg. = -300</a:t>
            </a:r>
          </a:p>
        </xdr:txBody>
      </xdr:sp>
    </xdr:grpSp>
    <xdr:clientData/>
  </xdr:twoCellAnchor>
  <xdr:twoCellAnchor>
    <xdr:from>
      <xdr:col>11</xdr:col>
      <xdr:colOff>633306</xdr:colOff>
      <xdr:row>34</xdr:row>
      <xdr:rowOff>52267</xdr:rowOff>
    </xdr:from>
    <xdr:to>
      <xdr:col>16</xdr:col>
      <xdr:colOff>213753</xdr:colOff>
      <xdr:row>37</xdr:row>
      <xdr:rowOff>97624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3C9F68-2D16-9D47-96F8-AC771F9C857B}"/>
            </a:ext>
          </a:extLst>
        </xdr:cNvPr>
        <xdr:cNvSpPr txBox="1"/>
      </xdr:nvSpPr>
      <xdr:spPr>
        <a:xfrm>
          <a:off x="10709438" y="6246512"/>
          <a:ext cx="4372900" cy="5845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Avg. = -300</a:t>
          </a:r>
        </a:p>
        <a:p>
          <a:r>
            <a:rPr lang="en-US">
              <a:solidFill>
                <a:srgbClr val="FF0000"/>
              </a:solidFill>
            </a:rPr>
            <a:t>This slope of −$300 is the average of the last three incremental profits.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</xdr:col>
      <xdr:colOff>260803</xdr:colOff>
      <xdr:row>4</xdr:row>
      <xdr:rowOff>1353</xdr:rowOff>
    </xdr:from>
    <xdr:to>
      <xdr:col>12</xdr:col>
      <xdr:colOff>867681</xdr:colOff>
      <xdr:row>12</xdr:row>
      <xdr:rowOff>42473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8308846-03A5-501D-F9DC-50596BB214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882"/>
        <a:stretch/>
      </xdr:blipFill>
      <xdr:spPr bwMode="auto">
        <a:xfrm>
          <a:off x="6174833" y="778517"/>
          <a:ext cx="5753221" cy="1481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357989</xdr:colOff>
      <xdr:row>5</xdr:row>
      <xdr:rowOff>24895</xdr:rowOff>
    </xdr:from>
    <xdr:to>
      <xdr:col>12</xdr:col>
      <xdr:colOff>662270</xdr:colOff>
      <xdr:row>6</xdr:row>
      <xdr:rowOff>104254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A490A0EB-D5D9-5C45-B1FA-05E5A65AB71E}"/>
            </a:ext>
          </a:extLst>
        </xdr:cNvPr>
        <xdr:cNvSpPr/>
      </xdr:nvSpPr>
      <xdr:spPr>
        <a:xfrm>
          <a:off x="10461123" y="982134"/>
          <a:ext cx="1261520" cy="259433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544261</xdr:colOff>
      <xdr:row>2</xdr:row>
      <xdr:rowOff>16175</xdr:rowOff>
    </xdr:from>
    <xdr:to>
      <xdr:col>12</xdr:col>
      <xdr:colOff>31510</xdr:colOff>
      <xdr:row>5</xdr:row>
      <xdr:rowOff>24895</xdr:rowOff>
    </xdr:to>
    <xdr:cxnSp macro="">
      <xdr:nvCxnSpPr>
        <xdr:cNvPr id="11" name="Curved Connector 10">
          <a:extLst>
            <a:ext uri="{FF2B5EF4-FFF2-40B4-BE49-F238E27FC236}">
              <a16:creationId xmlns:a16="http://schemas.microsoft.com/office/drawing/2014/main" id="{5D48E52C-9437-8A3F-1FF7-4203DFD5928A}"/>
            </a:ext>
          </a:extLst>
        </xdr:cNvPr>
        <xdr:cNvCxnSpPr>
          <a:stCxn id="9" idx="0"/>
          <a:endCxn id="12" idx="0"/>
        </xdr:cNvCxnSpPr>
      </xdr:nvCxnSpPr>
      <xdr:spPr>
        <a:xfrm rot="16200000" flipV="1">
          <a:off x="6330242" y="-3779507"/>
          <a:ext cx="548944" cy="8974338"/>
        </a:xfrm>
        <a:prstGeom prst="curvedConnector3">
          <a:avLst>
            <a:gd name="adj1" fmla="val 146329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1325463</xdr:colOff>
      <xdr:row>2</xdr:row>
      <xdr:rowOff>16175</xdr:rowOff>
    </xdr:from>
    <xdr:to>
      <xdr:col>2</xdr:col>
      <xdr:colOff>1099403</xdr:colOff>
      <xdr:row>3</xdr:row>
      <xdr:rowOff>18955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B5913369-198F-CD46-8F18-98DC085F4789}"/>
            </a:ext>
          </a:extLst>
        </xdr:cNvPr>
        <xdr:cNvSpPr/>
      </xdr:nvSpPr>
      <xdr:spPr>
        <a:xfrm>
          <a:off x="1562403" y="433190"/>
          <a:ext cx="1110284" cy="18285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37266</xdr:colOff>
      <xdr:row>2</xdr:row>
      <xdr:rowOff>16933</xdr:rowOff>
    </xdr:from>
    <xdr:to>
      <xdr:col>4</xdr:col>
      <xdr:colOff>9478</xdr:colOff>
      <xdr:row>3</xdr:row>
      <xdr:rowOff>18955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63224218-A04A-534F-81F2-36735290125D}"/>
            </a:ext>
          </a:extLst>
        </xdr:cNvPr>
        <xdr:cNvSpPr/>
      </xdr:nvSpPr>
      <xdr:spPr>
        <a:xfrm>
          <a:off x="2728908" y="433948"/>
          <a:ext cx="1090570" cy="182097"/>
        </a:xfrm>
        <a:prstGeom prst="round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131285</xdr:colOff>
      <xdr:row>13</xdr:row>
      <xdr:rowOff>158340</xdr:rowOff>
    </xdr:from>
    <xdr:to>
      <xdr:col>12</xdr:col>
      <xdr:colOff>435566</xdr:colOff>
      <xdr:row>15</xdr:row>
      <xdr:rowOff>57624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3921DF11-4EC4-B64B-8367-BC8905224D2D}"/>
            </a:ext>
          </a:extLst>
        </xdr:cNvPr>
        <xdr:cNvSpPr/>
      </xdr:nvSpPr>
      <xdr:spPr>
        <a:xfrm>
          <a:off x="10234419" y="2556176"/>
          <a:ext cx="1261520" cy="259433"/>
        </a:xfrm>
        <a:prstGeom prst="roundRect">
          <a:avLst/>
        </a:prstGeom>
        <a:noFill/>
        <a:ln w="285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582551</xdr:colOff>
      <xdr:row>2</xdr:row>
      <xdr:rowOff>16933</xdr:rowOff>
    </xdr:from>
    <xdr:to>
      <xdr:col>11</xdr:col>
      <xdr:colOff>762045</xdr:colOff>
      <xdr:row>13</xdr:row>
      <xdr:rowOff>158340</xdr:rowOff>
    </xdr:to>
    <xdr:cxnSp macro="">
      <xdr:nvCxnSpPr>
        <xdr:cNvPr id="22" name="Curved Connector 21">
          <a:extLst>
            <a:ext uri="{FF2B5EF4-FFF2-40B4-BE49-F238E27FC236}">
              <a16:creationId xmlns:a16="http://schemas.microsoft.com/office/drawing/2014/main" id="{DCBB690F-C46D-3441-9B4B-3FFB73455C21}"/>
            </a:ext>
          </a:extLst>
        </xdr:cNvPr>
        <xdr:cNvCxnSpPr>
          <a:stCxn id="21" idx="0"/>
          <a:endCxn id="20" idx="0"/>
        </xdr:cNvCxnSpPr>
      </xdr:nvCxnSpPr>
      <xdr:spPr>
        <a:xfrm rot="16200000" flipV="1">
          <a:off x="6008572" y="-2300431"/>
          <a:ext cx="2122228" cy="7590986"/>
        </a:xfrm>
        <a:prstGeom prst="curvedConnector3">
          <a:avLst>
            <a:gd name="adj1" fmla="val 108753"/>
          </a:avLst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861255</xdr:colOff>
      <xdr:row>23</xdr:row>
      <xdr:rowOff>144491</xdr:rowOff>
    </xdr:from>
    <xdr:to>
      <xdr:col>8</xdr:col>
      <xdr:colOff>1802640</xdr:colOff>
      <xdr:row>29</xdr:row>
      <xdr:rowOff>120950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74C0037-AA99-CC36-5DFC-68EB18552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0667" y="4347942"/>
          <a:ext cx="4676679" cy="1052224"/>
        </a:xfrm>
        <a:prstGeom prst="rect">
          <a:avLst/>
        </a:prstGeom>
      </xdr:spPr>
    </xdr:pic>
    <xdr:clientData/>
  </xdr:twoCellAnchor>
  <xdr:twoCellAnchor>
    <xdr:from>
      <xdr:col>3</xdr:col>
      <xdr:colOff>920179</xdr:colOff>
      <xdr:row>27</xdr:row>
      <xdr:rowOff>84667</xdr:rowOff>
    </xdr:from>
    <xdr:to>
      <xdr:col>6</xdr:col>
      <xdr:colOff>707245</xdr:colOff>
      <xdr:row>28</xdr:row>
      <xdr:rowOff>19921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573DC9F1-0DE8-ED4D-89CD-FC6831B12A96}"/>
            </a:ext>
          </a:extLst>
        </xdr:cNvPr>
        <xdr:cNvSpPr/>
      </xdr:nvSpPr>
      <xdr:spPr>
        <a:xfrm>
          <a:off x="3609591" y="5005294"/>
          <a:ext cx="2227458" cy="114549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631501</xdr:colOff>
      <xdr:row>15</xdr:row>
      <xdr:rowOff>7909</xdr:rowOff>
    </xdr:from>
    <xdr:to>
      <xdr:col>5</xdr:col>
      <xdr:colOff>676827</xdr:colOff>
      <xdr:row>19</xdr:row>
      <xdr:rowOff>174909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9B468023-4B10-7343-B18D-F465DF913BD7}"/>
            </a:ext>
          </a:extLst>
        </xdr:cNvPr>
        <xdr:cNvSpPr/>
      </xdr:nvSpPr>
      <xdr:spPr>
        <a:xfrm>
          <a:off x="4441501" y="2700005"/>
          <a:ext cx="684128" cy="866641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920179</xdr:colOff>
      <xdr:row>17</xdr:row>
      <xdr:rowOff>91410</xdr:rowOff>
    </xdr:from>
    <xdr:to>
      <xdr:col>4</xdr:col>
      <xdr:colOff>631501</xdr:colOff>
      <xdr:row>27</xdr:row>
      <xdr:rowOff>141943</xdr:rowOff>
    </xdr:to>
    <xdr:cxnSp macro="">
      <xdr:nvCxnSpPr>
        <xdr:cNvPr id="34" name="Curved Connector 33">
          <a:extLst>
            <a:ext uri="{FF2B5EF4-FFF2-40B4-BE49-F238E27FC236}">
              <a16:creationId xmlns:a16="http://schemas.microsoft.com/office/drawing/2014/main" id="{9A9B0E89-B4D5-E94B-92F9-6156B2FCBE7B}"/>
            </a:ext>
          </a:extLst>
        </xdr:cNvPr>
        <xdr:cNvCxnSpPr>
          <a:stCxn id="28" idx="1"/>
          <a:endCxn id="33" idx="1"/>
        </xdr:cNvCxnSpPr>
      </xdr:nvCxnSpPr>
      <xdr:spPr>
        <a:xfrm rot="10800000" flipH="1">
          <a:off x="3609591" y="3199175"/>
          <a:ext cx="826930" cy="1863395"/>
        </a:xfrm>
        <a:prstGeom prst="curvedConnector3">
          <a:avLst>
            <a:gd name="adj1" fmla="val -55716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927844</xdr:colOff>
      <xdr:row>28</xdr:row>
      <xdr:rowOff>44823</xdr:rowOff>
    </xdr:from>
    <xdr:to>
      <xdr:col>6</xdr:col>
      <xdr:colOff>714910</xdr:colOff>
      <xdr:row>28</xdr:row>
      <xdr:rowOff>159372</xdr:rowOff>
    </xdr:to>
    <xdr:sp macro="" textlink="">
      <xdr:nvSpPr>
        <xdr:cNvPr id="37" name="Rounded Rectangle 36">
          <a:extLst>
            <a:ext uri="{FF2B5EF4-FFF2-40B4-BE49-F238E27FC236}">
              <a16:creationId xmlns:a16="http://schemas.microsoft.com/office/drawing/2014/main" id="{33584883-13F0-E440-A0C3-C3B96036B821}"/>
            </a:ext>
          </a:extLst>
        </xdr:cNvPr>
        <xdr:cNvSpPr/>
      </xdr:nvSpPr>
      <xdr:spPr>
        <a:xfrm>
          <a:off x="3617256" y="5144745"/>
          <a:ext cx="2227458" cy="114549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714910</xdr:colOff>
      <xdr:row>17</xdr:row>
      <xdr:rowOff>84133</xdr:rowOff>
    </xdr:from>
    <xdr:to>
      <xdr:col>6</xdr:col>
      <xdr:colOff>786901</xdr:colOff>
      <xdr:row>28</xdr:row>
      <xdr:rowOff>102098</xdr:rowOff>
    </xdr:to>
    <xdr:cxnSp macro="">
      <xdr:nvCxnSpPr>
        <xdr:cNvPr id="42" name="Curved Connector 41">
          <a:extLst>
            <a:ext uri="{FF2B5EF4-FFF2-40B4-BE49-F238E27FC236}">
              <a16:creationId xmlns:a16="http://schemas.microsoft.com/office/drawing/2014/main" id="{321A44A5-1C22-9049-822A-0F1524B158DF}"/>
            </a:ext>
          </a:extLst>
        </xdr:cNvPr>
        <xdr:cNvCxnSpPr>
          <a:stCxn id="37" idx="3"/>
          <a:endCxn id="44" idx="3"/>
        </xdr:cNvCxnSpPr>
      </xdr:nvCxnSpPr>
      <xdr:spPr>
        <a:xfrm flipV="1">
          <a:off x="5844714" y="3191898"/>
          <a:ext cx="71991" cy="2010122"/>
        </a:xfrm>
        <a:prstGeom prst="curvedConnector3">
          <a:avLst>
            <a:gd name="adj1" fmla="val 709818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18912</xdr:colOff>
      <xdr:row>15</xdr:row>
      <xdr:rowOff>633</xdr:rowOff>
    </xdr:from>
    <xdr:to>
      <xdr:col>6</xdr:col>
      <xdr:colOff>786901</xdr:colOff>
      <xdr:row>19</xdr:row>
      <xdr:rowOff>167633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3ADB09CF-632F-6A4A-BF49-DFC31AE9737D}"/>
            </a:ext>
          </a:extLst>
        </xdr:cNvPr>
        <xdr:cNvSpPr/>
      </xdr:nvSpPr>
      <xdr:spPr>
        <a:xfrm>
          <a:off x="5148716" y="2749809"/>
          <a:ext cx="767989" cy="884177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897469</xdr:colOff>
      <xdr:row>6</xdr:row>
      <xdr:rowOff>84667</xdr:rowOff>
    </xdr:from>
    <xdr:to>
      <xdr:col>11</xdr:col>
      <xdr:colOff>800101</xdr:colOff>
      <xdr:row>18</xdr:row>
      <xdr:rowOff>164486</xdr:rowOff>
    </xdr:to>
    <xdr:cxnSp macro="">
      <xdr:nvCxnSpPr>
        <xdr:cNvPr id="10" name="Curved Connector 9">
          <a:extLst>
            <a:ext uri="{FF2B5EF4-FFF2-40B4-BE49-F238E27FC236}">
              <a16:creationId xmlns:a16="http://schemas.microsoft.com/office/drawing/2014/main" id="{5E6F175E-99A3-0F4F-9EDF-10D9A70F36B7}"/>
            </a:ext>
          </a:extLst>
        </xdr:cNvPr>
        <xdr:cNvCxnSpPr>
          <a:stCxn id="3" idx="0"/>
        </xdr:cNvCxnSpPr>
      </xdr:nvCxnSpPr>
      <xdr:spPr>
        <a:xfrm rot="16200000" flipV="1">
          <a:off x="6147109" y="-1329573"/>
          <a:ext cx="2213419" cy="7310965"/>
        </a:xfrm>
        <a:prstGeom prst="curved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826700</xdr:colOff>
      <xdr:row>21</xdr:row>
      <xdr:rowOff>131794</xdr:rowOff>
    </xdr:from>
    <xdr:to>
      <xdr:col>11</xdr:col>
      <xdr:colOff>838679</xdr:colOff>
      <xdr:row>34</xdr:row>
      <xdr:rowOff>23962</xdr:rowOff>
    </xdr:to>
    <xdr:cxnSp macro="">
      <xdr:nvCxnSpPr>
        <xdr:cNvPr id="23" name="Curved Connector 22">
          <a:extLst>
            <a:ext uri="{FF2B5EF4-FFF2-40B4-BE49-F238E27FC236}">
              <a16:creationId xmlns:a16="http://schemas.microsoft.com/office/drawing/2014/main" id="{4CF842F9-DFAD-8741-A399-E6C8AD53692E}"/>
            </a:ext>
          </a:extLst>
        </xdr:cNvPr>
        <xdr:cNvCxnSpPr/>
      </xdr:nvCxnSpPr>
      <xdr:spPr>
        <a:xfrm rot="16200000" flipH="1">
          <a:off x="9782596" y="5085992"/>
          <a:ext cx="2252451" cy="11979"/>
        </a:xfrm>
        <a:prstGeom prst="curved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zoomScale="135" zoomScaleNormal="167" workbookViewId="0">
      <selection activeCell="D21" sqref="D21"/>
    </sheetView>
  </sheetViews>
  <sheetFormatPr baseColWidth="10" defaultColWidth="10.7109375" defaultRowHeight="14" x14ac:dyDescent="0.2"/>
  <cols>
    <col min="1" max="1" width="2.7109375" style="2" customWidth="1"/>
    <col min="2" max="2" width="15" style="2" bestFit="1" customWidth="1"/>
    <col min="3" max="4" width="12.5703125" style="2" customWidth="1"/>
    <col min="5" max="5" width="7.140625" style="2" customWidth="1"/>
    <col min="6" max="6" width="7.7109375" style="2" customWidth="1"/>
    <col min="7" max="7" width="8.85546875" style="2" customWidth="1"/>
    <col min="8" max="8" width="5.7109375" style="2" customWidth="1"/>
    <col min="9" max="9" width="22.5703125" style="2" bestFit="1" customWidth="1"/>
    <col min="10" max="10" width="8" style="2" bestFit="1" customWidth="1"/>
    <col min="11" max="16384" width="10.7109375" style="2"/>
  </cols>
  <sheetData>
    <row r="1" spans="1:12" ht="19" x14ac:dyDescent="0.25">
      <c r="A1" s="1" t="s">
        <v>17</v>
      </c>
    </row>
    <row r="3" spans="1:12" x14ac:dyDescent="0.2">
      <c r="B3" s="3" t="s">
        <v>19</v>
      </c>
      <c r="C3" s="2" t="s">
        <v>5</v>
      </c>
      <c r="D3" s="2" t="s">
        <v>6</v>
      </c>
      <c r="I3" s="4"/>
      <c r="J3" s="4"/>
    </row>
    <row r="4" spans="1:12" x14ac:dyDescent="0.2">
      <c r="B4" s="5" t="s">
        <v>14</v>
      </c>
      <c r="C4" s="6">
        <v>350</v>
      </c>
      <c r="D4" s="6">
        <v>633.33000000000004</v>
      </c>
      <c r="I4" s="4"/>
      <c r="J4" s="4"/>
    </row>
    <row r="5" spans="1:12" x14ac:dyDescent="0.2">
      <c r="B5" s="5" t="s">
        <v>15</v>
      </c>
      <c r="C5" s="6">
        <v>300</v>
      </c>
      <c r="D5" s="6">
        <v>500</v>
      </c>
      <c r="I5" s="4"/>
      <c r="J5" s="4"/>
    </row>
    <row r="6" spans="1:12" x14ac:dyDescent="0.2">
      <c r="B6" s="5" t="s">
        <v>16</v>
      </c>
      <c r="C6" s="6">
        <v>250</v>
      </c>
      <c r="D6" s="6">
        <v>366.67</v>
      </c>
      <c r="I6" s="4"/>
      <c r="J6" s="4"/>
    </row>
    <row r="7" spans="1:12" x14ac:dyDescent="0.2">
      <c r="B7" s="5" t="s">
        <v>11</v>
      </c>
      <c r="C7" s="6">
        <v>100</v>
      </c>
      <c r="D7" s="7">
        <v>-300</v>
      </c>
      <c r="I7" s="4"/>
      <c r="J7" s="4"/>
    </row>
    <row r="8" spans="1:12" x14ac:dyDescent="0.2">
      <c r="I8" s="4"/>
      <c r="J8" s="4"/>
    </row>
    <row r="9" spans="1:12" x14ac:dyDescent="0.2">
      <c r="D9" s="8"/>
      <c r="E9" s="2" t="s">
        <v>4</v>
      </c>
      <c r="G9" s="2" t="s">
        <v>4</v>
      </c>
      <c r="I9" s="4"/>
      <c r="J9" s="4"/>
      <c r="L9" s="4"/>
    </row>
    <row r="10" spans="1:12" x14ac:dyDescent="0.2">
      <c r="C10" s="19" t="s">
        <v>7</v>
      </c>
      <c r="D10" s="19"/>
      <c r="E10" s="2" t="s">
        <v>9</v>
      </c>
      <c r="G10" s="2" t="s">
        <v>0</v>
      </c>
      <c r="I10" s="4"/>
      <c r="J10" s="4"/>
    </row>
    <row r="11" spans="1:12" x14ac:dyDescent="0.2">
      <c r="B11" s="5" t="s">
        <v>1</v>
      </c>
      <c r="C11" s="9">
        <v>1</v>
      </c>
      <c r="D11" s="9">
        <v>0</v>
      </c>
      <c r="E11" s="2">
        <f>SUMPRODUCT(C11:D11,TotalProduced)</f>
        <v>4</v>
      </c>
      <c r="F11" s="2" t="s">
        <v>18</v>
      </c>
      <c r="G11" s="9">
        <v>4</v>
      </c>
      <c r="I11" s="4"/>
      <c r="J11" s="4"/>
    </row>
    <row r="12" spans="1:12" x14ac:dyDescent="0.2">
      <c r="B12" s="5" t="s">
        <v>2</v>
      </c>
      <c r="C12" s="9">
        <v>0</v>
      </c>
      <c r="D12" s="9">
        <v>2</v>
      </c>
      <c r="E12" s="2">
        <f>SUMPRODUCT(C12:D12,TotalProduced)</f>
        <v>6</v>
      </c>
      <c r="F12" s="2" t="s">
        <v>18</v>
      </c>
      <c r="G12" s="9">
        <v>12</v>
      </c>
    </row>
    <row r="13" spans="1:12" x14ac:dyDescent="0.2">
      <c r="B13" s="5" t="s">
        <v>3</v>
      </c>
      <c r="C13" s="9">
        <v>3</v>
      </c>
      <c r="D13" s="9">
        <v>2</v>
      </c>
      <c r="E13" s="2">
        <f>SUMPRODUCT(C13:D13,TotalProduced)</f>
        <v>18</v>
      </c>
      <c r="F13" s="2" t="s">
        <v>18</v>
      </c>
      <c r="G13" s="9">
        <v>18</v>
      </c>
    </row>
    <row r="14" spans="1:12" x14ac:dyDescent="0.2">
      <c r="B14" s="5"/>
      <c r="F14" s="10"/>
    </row>
    <row r="15" spans="1:12" x14ac:dyDescent="0.2">
      <c r="B15" s="5"/>
      <c r="C15" s="19" t="s">
        <v>8</v>
      </c>
      <c r="D15" s="19"/>
      <c r="F15" s="20" t="s">
        <v>13</v>
      </c>
      <c r="G15" s="19"/>
      <c r="I15" s="4"/>
    </row>
    <row r="16" spans="1:12" x14ac:dyDescent="0.2">
      <c r="B16" s="5"/>
      <c r="C16" s="2" t="s">
        <v>5</v>
      </c>
      <c r="D16" s="2" t="s">
        <v>6</v>
      </c>
      <c r="F16" s="2" t="s">
        <v>5</v>
      </c>
      <c r="G16" s="2" t="s">
        <v>6</v>
      </c>
    </row>
    <row r="17" spans="2:9" x14ac:dyDescent="0.2">
      <c r="B17" s="5" t="s">
        <v>14</v>
      </c>
      <c r="C17" s="11">
        <v>1</v>
      </c>
      <c r="D17" s="12">
        <v>1</v>
      </c>
      <c r="E17" s="2" t="s">
        <v>18</v>
      </c>
      <c r="F17" s="9">
        <v>1</v>
      </c>
      <c r="G17" s="9">
        <v>1</v>
      </c>
    </row>
    <row r="18" spans="2:9" x14ac:dyDescent="0.2">
      <c r="B18" s="5" t="s">
        <v>15</v>
      </c>
      <c r="C18" s="13">
        <v>1</v>
      </c>
      <c r="D18" s="14">
        <v>1</v>
      </c>
      <c r="E18" s="2" t="s">
        <v>18</v>
      </c>
      <c r="F18" s="9">
        <v>1</v>
      </c>
      <c r="G18" s="9">
        <v>1</v>
      </c>
    </row>
    <row r="19" spans="2:9" x14ac:dyDescent="0.2">
      <c r="B19" s="5" t="s">
        <v>16</v>
      </c>
      <c r="C19" s="13">
        <v>1</v>
      </c>
      <c r="D19" s="14">
        <v>1</v>
      </c>
      <c r="E19" s="2" t="s">
        <v>18</v>
      </c>
      <c r="F19" s="9">
        <v>1</v>
      </c>
      <c r="G19" s="9">
        <v>1</v>
      </c>
    </row>
    <row r="20" spans="2:9" x14ac:dyDescent="0.2">
      <c r="B20" s="5" t="s">
        <v>11</v>
      </c>
      <c r="C20" s="15">
        <v>1</v>
      </c>
      <c r="D20" s="16">
        <v>0</v>
      </c>
      <c r="E20" s="2" t="s">
        <v>18</v>
      </c>
      <c r="F20" s="9">
        <v>1</v>
      </c>
      <c r="G20" s="17">
        <v>3</v>
      </c>
    </row>
    <row r="21" spans="2:9" x14ac:dyDescent="0.2">
      <c r="B21" s="5" t="s">
        <v>12</v>
      </c>
      <c r="C21" s="2">
        <f>SUM(C17:C20)</f>
        <v>4</v>
      </c>
      <c r="D21" s="2">
        <f>SUM(D17:D20)</f>
        <v>3</v>
      </c>
    </row>
    <row r="22" spans="2:9" ht="15" thickBot="1" x14ac:dyDescent="0.25"/>
    <row r="23" spans="2:9" ht="15" thickBot="1" x14ac:dyDescent="0.25">
      <c r="C23" s="2" t="s">
        <v>10</v>
      </c>
      <c r="D23" s="18">
        <f>SUMPRODUCT(UnitProfit,UnitsProduced)</f>
        <v>2500</v>
      </c>
    </row>
    <row r="30" spans="2:9" x14ac:dyDescent="0.2">
      <c r="I30" s="4"/>
    </row>
  </sheetData>
  <mergeCells count="3">
    <mergeCell ref="C10:D10"/>
    <mergeCell ref="F15:G15"/>
    <mergeCell ref="C15:D15"/>
  </mergeCells>
  <phoneticPr fontId="2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Wyndor</vt:lpstr>
      <vt:lpstr>HoursAvailable</vt:lpstr>
      <vt:lpstr>HoursUsed</vt:lpstr>
      <vt:lpstr>HoursUsedPerUnitProduced</vt:lpstr>
      <vt:lpstr>Maximum</vt:lpstr>
      <vt:lpstr>TotalProduced</vt:lpstr>
      <vt:lpstr>TotalProfit</vt:lpstr>
      <vt:lpstr>UnitProfit</vt:lpstr>
      <vt:lpstr>UnitsProduced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2025-06-21T21:44:54Z</dcterms:modified>
</cp:coreProperties>
</file>