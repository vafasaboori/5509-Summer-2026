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28" codeName="{643B0D74-A683-FBA9-23B4-8A0AA6E0B6B9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/Users/vafa.saboorideilami/Documents/5509 Summer 2026/Chapter 12/"/>
    </mc:Choice>
  </mc:AlternateContent>
  <xr:revisionPtr revIDLastSave="0" documentId="13_ncr:1_{4BF0F4D1-04EF-6D4D-942B-DE27BFB515E8}" xr6:coauthVersionLast="47" xr6:coauthVersionMax="47" xr10:uidLastSave="{00000000-0000-0000-0000-000000000000}"/>
  <bookViews>
    <workbookView xWindow="0" yWindow="660" windowWidth="29400" windowHeight="18460" xr2:uid="{00000000-000D-0000-FFFF-FFFF00000000}"/>
  </bookViews>
  <sheets>
    <sheet name="Coin Flipping Game" sheetId="12" r:id="rId1"/>
    <sheet name="Heavy Duty Co." sheetId="16" r:id="rId2"/>
    <sheet name="Replace After 4" sheetId="17" r:id="rId3"/>
    <sheet name="Replace After 5" sheetId="18" r:id="rId4"/>
    <sheet name="Normal Distribution" sheetId="23" r:id="rId5"/>
    <sheet name="Herr Cutter" sheetId="19" r:id="rId6"/>
    <sheet name="Queuing Simulator w1" sheetId="20" r:id="rId7"/>
    <sheet name="Queuing Simulator w2" sheetId="25" r:id="rId8"/>
  </sheets>
  <functionGroups builtInGroupCount="19"/>
  <definedNames>
    <definedName name="AverageCostPerDay" localSheetId="2">'Replace After 4'!$L$34</definedName>
    <definedName name="AverageCostPerDay" localSheetId="3">'Replace After 5'!$L$34</definedName>
    <definedName name="AverageCostPerDay">#REF!</definedName>
    <definedName name="AverageTimeInLine">'Herr Cutter'!$D$10</definedName>
    <definedName name="AverageTimeInSystem">'Herr Cutter'!$D$11</definedName>
    <definedName name="beta">#REF!</definedName>
    <definedName name="Breakdown" localSheetId="1">'Heavy Duty Co.'!$B$5:$B$34</definedName>
    <definedName name="Breakdown" localSheetId="2">'Heavy Duty Co.'!$B$5:$B$34</definedName>
    <definedName name="Breakdown" localSheetId="3">'Heavy Duty Co.'!$B$5:$B$34</definedName>
    <definedName name="Breakdown">#REF!</definedName>
    <definedName name="BreakdownCost" localSheetId="1">'Heavy Duty Co.'!$J$11</definedName>
    <definedName name="BreakdownCost" localSheetId="2">'Replace After 4'!$L$11</definedName>
    <definedName name="BreakdownCost" localSheetId="3">'Replace After 5'!$L$11</definedName>
    <definedName name="BreakdownCost">#REF!</definedName>
    <definedName name="CashAtEndOfGame">'Coin Flipping Game'!$D$4</definedName>
    <definedName name="Cost" localSheetId="1">'Heavy Duty Co.'!$F$5:$F$34</definedName>
    <definedName name="Cost" localSheetId="2">'Replace After 4'!$H$5:$H$34</definedName>
    <definedName name="Cost" localSheetId="3">'Replace After 5'!$H$5:$H$34</definedName>
    <definedName name="Cost">#REF!</definedName>
    <definedName name="CumulativeCost" localSheetId="1">'Heavy Duty Co.'!$G$5:$G$34</definedName>
    <definedName name="CumulativeCost" localSheetId="2">'Replace After 4'!$I$5:$I$34</definedName>
    <definedName name="CumulativeCost" localSheetId="3">'Replace After 5'!$I$5:$I$34</definedName>
    <definedName name="CumulativeCost">#REF!</definedName>
    <definedName name="CumulativeDay" localSheetId="1">'Heavy Duty Co.'!$E$5:$E$34</definedName>
    <definedName name="CumulativeDay" localSheetId="2">'Replace After 4'!$G$5:$G$34</definedName>
    <definedName name="CumulativeDay" localSheetId="3">'Replace After 5'!$G$5:$G$34</definedName>
    <definedName name="CumulativeDay">#REF!</definedName>
    <definedName name="Cycle" localSheetId="2">'Replace After 4'!$B$5:$B$34</definedName>
    <definedName name="Cycle" localSheetId="3">'Replace After 4'!$B$5:$B$34</definedName>
    <definedName name="Cycle">#REF!</definedName>
    <definedName name="Event" localSheetId="2">'Replace After 4'!$F$5:$F$34</definedName>
    <definedName name="Event">'Replace After 5'!$F$5:$F$34</definedName>
    <definedName name="Flip">'Coin Flipping Game'!$B$13:$B$62</definedName>
    <definedName name="InitialTrend">#REF!</definedName>
    <definedName name="InterarrivalTime">'Herr Cutter'!$C$16:$C$115</definedName>
    <definedName name="L">#REF!</definedName>
    <definedName name="Lambda">#REF!</definedName>
    <definedName name="Lq">#REF!</definedName>
    <definedName name="MaxServiceTime">'Herr Cutter'!$D$8</definedName>
    <definedName name="MeanInterarrivalTime">'Herr Cutter'!$D$4</definedName>
    <definedName name="MinServiceTime">'Herr Cutter'!$D$7</definedName>
    <definedName name="NumberOfFlips">'Coin Flipping Game'!$D$7</definedName>
    <definedName name="OneOverMu">#REF!</definedName>
    <definedName name="RandomNumber" localSheetId="1">'Heavy Duty Co.'!$C$5:$C$34</definedName>
    <definedName name="RandomNumber" localSheetId="2">'Replace After 4'!$C$5:$C$34</definedName>
    <definedName name="RandomNumber" localSheetId="3">'Replace After 5'!$C$5:$C$34</definedName>
    <definedName name="RandomNumber">'Coin Flipping Game'!$C$13:$C$62</definedName>
    <definedName name="ReplaceAfter" localSheetId="2">'Replace After 4'!$L$14</definedName>
    <definedName name="ReplaceAfter">'Replace After 5'!$L$14</definedName>
    <definedName name="ReplacementCost" localSheetId="2">'Replace After 4'!$L$12</definedName>
    <definedName name="ReplacementCost">'Replace After 5'!$L$12</definedName>
    <definedName name="RequiredDifference">'Coin Flipping Game'!$D$3</definedName>
    <definedName name="Result">'Coin Flipping Game'!$D$13:$D$62</definedName>
    <definedName name="Rho">#REF!</definedName>
    <definedName name="s">#REF!</definedName>
    <definedName name="ScheduledTimeUntilReplacement" localSheetId="2">'Replace After 4'!$E$5:$E$34</definedName>
    <definedName name="ScheduledTimeUntilReplacement">'Replace After 5'!$E$5:$E$34</definedName>
    <definedName name="sencount" hidden="1">4</definedName>
    <definedName name="sencount2" hidden="1">3</definedName>
    <definedName name="ServiceTime">'Herr Cutter'!$F$16:$F$115</definedName>
    <definedName name="Sigma">#REF!</definedName>
    <definedName name="Stop?">'Coin Flipping Game'!$G$13:$G$62</definedName>
    <definedName name="TimeInLine">'Herr Cutter'!$H$16:$H$115</definedName>
    <definedName name="TimeInSystem">'Herr Cutter'!$I$16:$I$115</definedName>
    <definedName name="TimeOfArrival">'Herr Cutter'!$D$16:$D$115</definedName>
    <definedName name="TimeServiceBegins">'Herr Cutter'!$E$16:$E$115</definedName>
    <definedName name="TimeServiceEnds">'Herr Cutter'!$G$16:$G$115</definedName>
    <definedName name="TimeSinceLastBreakdown" localSheetId="1">'Heavy Duty Co.'!$D$5:$D$34</definedName>
    <definedName name="TimeSinceLastBreakdown" localSheetId="2">'Heavy Duty Co.'!$D$5:$D$34</definedName>
    <definedName name="TimeSinceLastBreakdown" localSheetId="3">'Heavy Duty Co.'!$D$5:$D$34</definedName>
    <definedName name="TimeSinceLastBreakdown">#REF!</definedName>
    <definedName name="TimeUntilBreakdown" localSheetId="2">'Replace After 4'!$D$5:$D$34</definedName>
    <definedName name="TimeUntilBreakdown">'Replace After 5'!$D$5:$D$34</definedName>
    <definedName name="TotalHeads">'Coin Flipping Game'!$E$13:$E$62</definedName>
    <definedName name="TotalTails">'Coin Flipping Game'!$F$13:$F$62</definedName>
    <definedName name="W">#REF!</definedName>
    <definedName name="Winnings">'Coin Flipping Game'!$D$8</definedName>
    <definedName name="Wq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3" i="12" l="1"/>
  <c r="B14" i="25"/>
  <c r="B13" i="25"/>
  <c r="B9" i="25"/>
  <c r="B8" i="25"/>
  <c r="B13" i="23"/>
  <c r="B14" i="23"/>
  <c r="B15" i="23"/>
  <c r="B16" i="23"/>
  <c r="B17" i="23"/>
  <c r="B18" i="23"/>
  <c r="B19" i="23"/>
  <c r="B20" i="23"/>
  <c r="B21" i="23"/>
  <c r="B22" i="23"/>
  <c r="B23" i="23"/>
  <c r="B24" i="23"/>
  <c r="B12" i="23"/>
  <c r="F5" i="16"/>
  <c r="E7" i="12"/>
  <c r="E8" i="12"/>
  <c r="C12" i="23"/>
  <c r="E5" i="17" l="1"/>
  <c r="B8" i="20" l="1"/>
  <c r="B9" i="20"/>
  <c r="B13" i="20"/>
  <c r="B14" i="20"/>
  <c r="F17" i="19" l="1"/>
  <c r="F18" i="19"/>
  <c r="F16" i="19"/>
  <c r="C16" i="19"/>
  <c r="D16" i="19" s="1"/>
  <c r="E16" i="19" s="1"/>
  <c r="C17" i="19"/>
  <c r="C18" i="19"/>
  <c r="C19" i="19"/>
  <c r="F19" i="19"/>
  <c r="C20" i="19"/>
  <c r="F20" i="19"/>
  <c r="C21" i="19"/>
  <c r="F21" i="19"/>
  <c r="C22" i="19"/>
  <c r="F22" i="19"/>
  <c r="C23" i="19"/>
  <c r="F23" i="19"/>
  <c r="C24" i="19"/>
  <c r="F24" i="19"/>
  <c r="C25" i="19"/>
  <c r="F25" i="19"/>
  <c r="C26" i="19"/>
  <c r="F26" i="19"/>
  <c r="C27" i="19"/>
  <c r="F27" i="19"/>
  <c r="C28" i="19"/>
  <c r="F28" i="19"/>
  <c r="C29" i="19"/>
  <c r="F29" i="19"/>
  <c r="C30" i="19"/>
  <c r="F30" i="19"/>
  <c r="C31" i="19"/>
  <c r="F31" i="19"/>
  <c r="C32" i="19"/>
  <c r="F32" i="19"/>
  <c r="C33" i="19"/>
  <c r="F33" i="19"/>
  <c r="C34" i="19"/>
  <c r="F34" i="19"/>
  <c r="C35" i="19"/>
  <c r="F35" i="19"/>
  <c r="C36" i="19"/>
  <c r="F36" i="19"/>
  <c r="C37" i="19"/>
  <c r="F37" i="19"/>
  <c r="C38" i="19"/>
  <c r="F38" i="19"/>
  <c r="C39" i="19"/>
  <c r="F39" i="19"/>
  <c r="C40" i="19"/>
  <c r="F40" i="19"/>
  <c r="C41" i="19"/>
  <c r="F41" i="19"/>
  <c r="C42" i="19"/>
  <c r="F42" i="19"/>
  <c r="C43" i="19"/>
  <c r="F43" i="19"/>
  <c r="C44" i="19"/>
  <c r="F44" i="19"/>
  <c r="C45" i="19"/>
  <c r="F45" i="19"/>
  <c r="C46" i="19"/>
  <c r="F46" i="19"/>
  <c r="C47" i="19"/>
  <c r="F47" i="19"/>
  <c r="C48" i="19"/>
  <c r="F48" i="19"/>
  <c r="C49" i="19"/>
  <c r="F49" i="19"/>
  <c r="C50" i="19"/>
  <c r="F50" i="19"/>
  <c r="C51" i="19"/>
  <c r="F51" i="19"/>
  <c r="C52" i="19"/>
  <c r="F52" i="19"/>
  <c r="C53" i="19"/>
  <c r="F53" i="19"/>
  <c r="C54" i="19"/>
  <c r="F54" i="19"/>
  <c r="C55" i="19"/>
  <c r="F55" i="19"/>
  <c r="C56" i="19"/>
  <c r="F56" i="19"/>
  <c r="C57" i="19"/>
  <c r="F57" i="19"/>
  <c r="C58" i="19"/>
  <c r="F58" i="19"/>
  <c r="C59" i="19"/>
  <c r="F59" i="19"/>
  <c r="C60" i="19"/>
  <c r="F60" i="19"/>
  <c r="C61" i="19"/>
  <c r="F61" i="19"/>
  <c r="C62" i="19"/>
  <c r="F62" i="19"/>
  <c r="C63" i="19"/>
  <c r="F63" i="19"/>
  <c r="C64" i="19"/>
  <c r="F64" i="19"/>
  <c r="C65" i="19"/>
  <c r="F65" i="19"/>
  <c r="C66" i="19"/>
  <c r="F66" i="19"/>
  <c r="C67" i="19"/>
  <c r="F67" i="19"/>
  <c r="C68" i="19"/>
  <c r="F68" i="19"/>
  <c r="C69" i="19"/>
  <c r="F69" i="19"/>
  <c r="C70" i="19"/>
  <c r="F70" i="19"/>
  <c r="C71" i="19"/>
  <c r="F71" i="19"/>
  <c r="C72" i="19"/>
  <c r="F72" i="19"/>
  <c r="C73" i="19"/>
  <c r="F73" i="19"/>
  <c r="C74" i="19"/>
  <c r="F74" i="19"/>
  <c r="C75" i="19"/>
  <c r="F75" i="19"/>
  <c r="C76" i="19"/>
  <c r="F76" i="19"/>
  <c r="C77" i="19"/>
  <c r="F77" i="19"/>
  <c r="C78" i="19"/>
  <c r="F78" i="19"/>
  <c r="C79" i="19"/>
  <c r="F79" i="19"/>
  <c r="C80" i="19"/>
  <c r="F80" i="19"/>
  <c r="C81" i="19"/>
  <c r="F81" i="19"/>
  <c r="C82" i="19"/>
  <c r="F82" i="19"/>
  <c r="C83" i="19"/>
  <c r="F83" i="19"/>
  <c r="C84" i="19"/>
  <c r="F84" i="19"/>
  <c r="C85" i="19"/>
  <c r="F85" i="19"/>
  <c r="C86" i="19"/>
  <c r="F86" i="19"/>
  <c r="C87" i="19"/>
  <c r="F87" i="19"/>
  <c r="C88" i="19"/>
  <c r="F88" i="19"/>
  <c r="C89" i="19"/>
  <c r="F89" i="19"/>
  <c r="C90" i="19"/>
  <c r="F90" i="19"/>
  <c r="C91" i="19"/>
  <c r="F91" i="19"/>
  <c r="C92" i="19"/>
  <c r="F92" i="19"/>
  <c r="C93" i="19"/>
  <c r="F93" i="19"/>
  <c r="C94" i="19"/>
  <c r="F94" i="19"/>
  <c r="C95" i="19"/>
  <c r="F95" i="19"/>
  <c r="C96" i="19"/>
  <c r="F96" i="19"/>
  <c r="C97" i="19"/>
  <c r="F97" i="19"/>
  <c r="C98" i="19"/>
  <c r="F98" i="19"/>
  <c r="C99" i="19"/>
  <c r="F99" i="19"/>
  <c r="C100" i="19"/>
  <c r="F100" i="19"/>
  <c r="C101" i="19"/>
  <c r="F101" i="19"/>
  <c r="C102" i="19"/>
  <c r="F102" i="19"/>
  <c r="C103" i="19"/>
  <c r="F103" i="19"/>
  <c r="C104" i="19"/>
  <c r="F104" i="19"/>
  <c r="C105" i="19"/>
  <c r="F105" i="19"/>
  <c r="C106" i="19"/>
  <c r="F106" i="19"/>
  <c r="C107" i="19"/>
  <c r="F107" i="19"/>
  <c r="C108" i="19"/>
  <c r="F108" i="19"/>
  <c r="C109" i="19"/>
  <c r="F109" i="19"/>
  <c r="C110" i="19"/>
  <c r="F110" i="19"/>
  <c r="C111" i="19"/>
  <c r="F111" i="19"/>
  <c r="C112" i="19"/>
  <c r="F112" i="19"/>
  <c r="C113" i="19"/>
  <c r="F113" i="19"/>
  <c r="C114" i="19"/>
  <c r="F114" i="19"/>
  <c r="C115" i="19"/>
  <c r="F115" i="19"/>
  <c r="G16" i="19" l="1"/>
  <c r="H16" i="19"/>
  <c r="D17" i="19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5" i="19" s="1"/>
  <c r="D86" i="19" s="1"/>
  <c r="D87" i="19" s="1"/>
  <c r="D88" i="19" s="1"/>
  <c r="D89" i="19" s="1"/>
  <c r="D90" i="19" s="1"/>
  <c r="D91" i="19" s="1"/>
  <c r="D92" i="19" s="1"/>
  <c r="D93" i="19" s="1"/>
  <c r="D94" i="19" s="1"/>
  <c r="D95" i="19" s="1"/>
  <c r="D96" i="19" s="1"/>
  <c r="D97" i="19" s="1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C5" i="16"/>
  <c r="D5" i="16" s="1"/>
  <c r="G5" i="16"/>
  <c r="C5" i="18"/>
  <c r="D5" i="18" s="1"/>
  <c r="E5" i="18"/>
  <c r="C6" i="18"/>
  <c r="D6" i="18" s="1"/>
  <c r="F6" i="18" s="1"/>
  <c r="H6" i="18" s="1"/>
  <c r="E6" i="18"/>
  <c r="C7" i="18"/>
  <c r="D7" i="18" s="1"/>
  <c r="E7" i="18"/>
  <c r="C8" i="18"/>
  <c r="E8" i="18"/>
  <c r="C9" i="18"/>
  <c r="D9" i="18" s="1"/>
  <c r="E9" i="18"/>
  <c r="C10" i="18"/>
  <c r="D10" i="18" s="1"/>
  <c r="F10" i="18" s="1"/>
  <c r="H10" i="18" s="1"/>
  <c r="E10" i="18"/>
  <c r="C11" i="18"/>
  <c r="D11" i="18" s="1"/>
  <c r="E11" i="18"/>
  <c r="C12" i="18"/>
  <c r="D12" i="18" s="1"/>
  <c r="E12" i="18"/>
  <c r="C13" i="18"/>
  <c r="D13" i="18" s="1"/>
  <c r="E13" i="18"/>
  <c r="C14" i="18"/>
  <c r="D14" i="18" s="1"/>
  <c r="F14" i="18" s="1"/>
  <c r="H14" i="18" s="1"/>
  <c r="E14" i="18"/>
  <c r="C15" i="18"/>
  <c r="D15" i="18" s="1"/>
  <c r="E15" i="18"/>
  <c r="C16" i="18"/>
  <c r="D16" i="18" s="1"/>
  <c r="E16" i="18"/>
  <c r="C17" i="18"/>
  <c r="D17" i="18" s="1"/>
  <c r="E17" i="18"/>
  <c r="C18" i="18"/>
  <c r="D18" i="18" s="1"/>
  <c r="F18" i="18" s="1"/>
  <c r="H18" i="18" s="1"/>
  <c r="E18" i="18"/>
  <c r="C19" i="18"/>
  <c r="D19" i="18" s="1"/>
  <c r="E19" i="18"/>
  <c r="C20" i="18"/>
  <c r="D20" i="18" s="1"/>
  <c r="E20" i="18"/>
  <c r="C21" i="18"/>
  <c r="D21" i="18" s="1"/>
  <c r="E21" i="18"/>
  <c r="C22" i="18"/>
  <c r="D22" i="18" s="1"/>
  <c r="F22" i="18" s="1"/>
  <c r="H22" i="18" s="1"/>
  <c r="E22" i="18"/>
  <c r="C23" i="18"/>
  <c r="D23" i="18" s="1"/>
  <c r="E23" i="18"/>
  <c r="C24" i="18"/>
  <c r="D24" i="18" s="1"/>
  <c r="E24" i="18"/>
  <c r="C25" i="18"/>
  <c r="D25" i="18" s="1"/>
  <c r="E25" i="18"/>
  <c r="C26" i="18"/>
  <c r="D26" i="18" s="1"/>
  <c r="F26" i="18" s="1"/>
  <c r="H26" i="18" s="1"/>
  <c r="E26" i="18"/>
  <c r="C27" i="18"/>
  <c r="D27" i="18" s="1"/>
  <c r="E27" i="18"/>
  <c r="C28" i="18"/>
  <c r="D28" i="18" s="1"/>
  <c r="E28" i="18"/>
  <c r="C29" i="18"/>
  <c r="D29" i="18" s="1"/>
  <c r="E29" i="18"/>
  <c r="C30" i="18"/>
  <c r="D30" i="18" s="1"/>
  <c r="F30" i="18" s="1"/>
  <c r="H30" i="18" s="1"/>
  <c r="E30" i="18"/>
  <c r="C31" i="18"/>
  <c r="D31" i="18" s="1"/>
  <c r="E31" i="18"/>
  <c r="C32" i="18"/>
  <c r="D32" i="18" s="1"/>
  <c r="E32" i="18"/>
  <c r="C33" i="18"/>
  <c r="D33" i="18" s="1"/>
  <c r="E33" i="18"/>
  <c r="C34" i="18"/>
  <c r="D34" i="18" s="1"/>
  <c r="F34" i="18" s="1"/>
  <c r="H34" i="18" s="1"/>
  <c r="E34" i="18"/>
  <c r="C5" i="17"/>
  <c r="D5" i="17" s="1"/>
  <c r="F5" i="17" s="1"/>
  <c r="C6" i="17"/>
  <c r="D6" i="17" s="1"/>
  <c r="E6" i="17"/>
  <c r="C7" i="17"/>
  <c r="D7" i="17" s="1"/>
  <c r="E7" i="17"/>
  <c r="C8" i="17"/>
  <c r="D8" i="17" s="1"/>
  <c r="E8" i="17"/>
  <c r="C9" i="17"/>
  <c r="D9" i="17" s="1"/>
  <c r="E9" i="17"/>
  <c r="C10" i="17"/>
  <c r="D10" i="17" s="1"/>
  <c r="E10" i="17"/>
  <c r="C11" i="17"/>
  <c r="D11" i="17" s="1"/>
  <c r="E11" i="17"/>
  <c r="C12" i="17"/>
  <c r="D12" i="17" s="1"/>
  <c r="E12" i="17"/>
  <c r="C13" i="17"/>
  <c r="D13" i="17" s="1"/>
  <c r="E13" i="17"/>
  <c r="C14" i="17"/>
  <c r="E14" i="17"/>
  <c r="C15" i="17"/>
  <c r="D15" i="17" s="1"/>
  <c r="E15" i="17"/>
  <c r="C16" i="17"/>
  <c r="D16" i="17" s="1"/>
  <c r="E16" i="17"/>
  <c r="C17" i="17"/>
  <c r="D17" i="17" s="1"/>
  <c r="E17" i="17"/>
  <c r="C18" i="17"/>
  <c r="D18" i="17" s="1"/>
  <c r="E18" i="17"/>
  <c r="C19" i="17"/>
  <c r="D19" i="17" s="1"/>
  <c r="E19" i="17"/>
  <c r="C20" i="17"/>
  <c r="D20" i="17" s="1"/>
  <c r="E20" i="17"/>
  <c r="C21" i="17"/>
  <c r="D21" i="17" s="1"/>
  <c r="E21" i="17"/>
  <c r="C22" i="17"/>
  <c r="D22" i="17" s="1"/>
  <c r="E22" i="17"/>
  <c r="C23" i="17"/>
  <c r="D23" i="17" s="1"/>
  <c r="E23" i="17"/>
  <c r="C24" i="17"/>
  <c r="D24" i="17" s="1"/>
  <c r="E24" i="17"/>
  <c r="C25" i="17"/>
  <c r="D25" i="17" s="1"/>
  <c r="E25" i="17"/>
  <c r="C26" i="17"/>
  <c r="D26" i="17" s="1"/>
  <c r="E26" i="17"/>
  <c r="C27" i="17"/>
  <c r="D27" i="17" s="1"/>
  <c r="E27" i="17"/>
  <c r="C28" i="17"/>
  <c r="D28" i="17" s="1"/>
  <c r="E28" i="17"/>
  <c r="C29" i="17"/>
  <c r="D29" i="17" s="1"/>
  <c r="E29" i="17"/>
  <c r="C30" i="17"/>
  <c r="E30" i="17"/>
  <c r="C31" i="17"/>
  <c r="D31" i="17" s="1"/>
  <c r="E31" i="17"/>
  <c r="C32" i="17"/>
  <c r="D32" i="17" s="1"/>
  <c r="E32" i="17"/>
  <c r="C33" i="17"/>
  <c r="D33" i="17" s="1"/>
  <c r="E33" i="17"/>
  <c r="C34" i="17"/>
  <c r="D34" i="17" s="1"/>
  <c r="E34" i="17"/>
  <c r="C6" i="16"/>
  <c r="D6" i="16" s="1"/>
  <c r="F6" i="16"/>
  <c r="C7" i="16"/>
  <c r="D7" i="16" s="1"/>
  <c r="F7" i="16"/>
  <c r="C8" i="16"/>
  <c r="D8" i="16" s="1"/>
  <c r="F8" i="16"/>
  <c r="C9" i="16"/>
  <c r="D9" i="16" s="1"/>
  <c r="F9" i="16"/>
  <c r="C10" i="16"/>
  <c r="D10" i="16" s="1"/>
  <c r="F10" i="16"/>
  <c r="C11" i="16"/>
  <c r="D11" i="16" s="1"/>
  <c r="F11" i="16"/>
  <c r="C12" i="16"/>
  <c r="D12" i="16" s="1"/>
  <c r="F12" i="16"/>
  <c r="C13" i="16"/>
  <c r="D13" i="16" s="1"/>
  <c r="F13" i="16"/>
  <c r="C14" i="16"/>
  <c r="D14" i="16" s="1"/>
  <c r="F14" i="16"/>
  <c r="C15" i="16"/>
  <c r="D15" i="16" s="1"/>
  <c r="F15" i="16"/>
  <c r="C16" i="16"/>
  <c r="D16" i="16" s="1"/>
  <c r="F16" i="16"/>
  <c r="C17" i="16"/>
  <c r="D17" i="16" s="1"/>
  <c r="F17" i="16"/>
  <c r="C18" i="16"/>
  <c r="D18" i="16" s="1"/>
  <c r="F18" i="16"/>
  <c r="C19" i="16"/>
  <c r="D19" i="16" s="1"/>
  <c r="F19" i="16"/>
  <c r="C20" i="16"/>
  <c r="D20" i="16" s="1"/>
  <c r="F20" i="16"/>
  <c r="C21" i="16"/>
  <c r="D21" i="16" s="1"/>
  <c r="F21" i="16"/>
  <c r="C22" i="16"/>
  <c r="D22" i="16" s="1"/>
  <c r="F22" i="16"/>
  <c r="C23" i="16"/>
  <c r="D23" i="16" s="1"/>
  <c r="F23" i="16"/>
  <c r="C24" i="16"/>
  <c r="D24" i="16" s="1"/>
  <c r="F24" i="16"/>
  <c r="C25" i="16"/>
  <c r="D25" i="16" s="1"/>
  <c r="F25" i="16"/>
  <c r="C26" i="16"/>
  <c r="D26" i="16" s="1"/>
  <c r="F26" i="16"/>
  <c r="C27" i="16"/>
  <c r="D27" i="16" s="1"/>
  <c r="F27" i="16"/>
  <c r="C28" i="16"/>
  <c r="D28" i="16" s="1"/>
  <c r="F28" i="16"/>
  <c r="C29" i="16"/>
  <c r="D29" i="16" s="1"/>
  <c r="F29" i="16"/>
  <c r="C30" i="16"/>
  <c r="D30" i="16" s="1"/>
  <c r="F30" i="16"/>
  <c r="C31" i="16"/>
  <c r="D31" i="16" s="1"/>
  <c r="F31" i="16"/>
  <c r="C32" i="16"/>
  <c r="D32" i="16" s="1"/>
  <c r="F32" i="16"/>
  <c r="C33" i="16"/>
  <c r="D33" i="16" s="1"/>
  <c r="F33" i="16"/>
  <c r="C34" i="16"/>
  <c r="D34" i="16" s="1"/>
  <c r="F34" i="16"/>
  <c r="F32" i="17" l="1"/>
  <c r="H32" i="17" s="1"/>
  <c r="F28" i="17"/>
  <c r="H28" i="17" s="1"/>
  <c r="F24" i="17"/>
  <c r="H24" i="17" s="1"/>
  <c r="F20" i="17"/>
  <c r="H20" i="17" s="1"/>
  <c r="F16" i="17"/>
  <c r="H16" i="17" s="1"/>
  <c r="F12" i="17"/>
  <c r="H12" i="17" s="1"/>
  <c r="F8" i="17"/>
  <c r="H8" i="17" s="1"/>
  <c r="E17" i="19"/>
  <c r="H5" i="17"/>
  <c r="I5" i="17" s="1"/>
  <c r="G5" i="17"/>
  <c r="G6" i="17" s="1"/>
  <c r="G7" i="17" s="1"/>
  <c r="G8" i="17" s="1"/>
  <c r="G9" i="17" s="1"/>
  <c r="G10" i="17" s="1"/>
  <c r="G11" i="17" s="1"/>
  <c r="G12" i="17" s="1"/>
  <c r="G13" i="17" s="1"/>
  <c r="F34" i="17"/>
  <c r="H34" i="17" s="1"/>
  <c r="F26" i="17"/>
  <c r="H26" i="17" s="1"/>
  <c r="F22" i="17"/>
  <c r="H22" i="17" s="1"/>
  <c r="F18" i="17"/>
  <c r="H18" i="17" s="1"/>
  <c r="F10" i="17"/>
  <c r="H10" i="17" s="1"/>
  <c r="F6" i="17"/>
  <c r="H6" i="17" s="1"/>
  <c r="F32" i="18"/>
  <c r="H32" i="18" s="1"/>
  <c r="F28" i="18"/>
  <c r="H28" i="18" s="1"/>
  <c r="F24" i="18"/>
  <c r="H24" i="18" s="1"/>
  <c r="F20" i="18"/>
  <c r="H20" i="18" s="1"/>
  <c r="F16" i="18"/>
  <c r="H16" i="18" s="1"/>
  <c r="F12" i="18"/>
  <c r="H12" i="18" s="1"/>
  <c r="I16" i="19"/>
  <c r="F31" i="17"/>
  <c r="H31" i="17" s="1"/>
  <c r="F23" i="17"/>
  <c r="H23" i="17" s="1"/>
  <c r="F15" i="17"/>
  <c r="H15" i="17" s="1"/>
  <c r="F11" i="17"/>
  <c r="H11" i="17" s="1"/>
  <c r="F33" i="18"/>
  <c r="H33" i="18" s="1"/>
  <c r="F29" i="18"/>
  <c r="H29" i="18" s="1"/>
  <c r="F25" i="18"/>
  <c r="H25" i="18" s="1"/>
  <c r="F21" i="18"/>
  <c r="H21" i="18" s="1"/>
  <c r="F17" i="18"/>
  <c r="H17" i="18" s="1"/>
  <c r="F13" i="18"/>
  <c r="H13" i="18" s="1"/>
  <c r="F9" i="18"/>
  <c r="H9" i="18" s="1"/>
  <c r="F5" i="18"/>
  <c r="H5" i="18" s="1"/>
  <c r="I5" i="18" s="1"/>
  <c r="I6" i="18" s="1"/>
  <c r="F27" i="17"/>
  <c r="H27" i="17" s="1"/>
  <c r="F19" i="17"/>
  <c r="H19" i="17" s="1"/>
  <c r="F7" i="17"/>
  <c r="H7" i="17" s="1"/>
  <c r="G6" i="16"/>
  <c r="G7" i="16" s="1"/>
  <c r="G8" i="16" s="1"/>
  <c r="G9" i="16" s="1"/>
  <c r="G10" i="16" s="1"/>
  <c r="G11" i="16" s="1"/>
  <c r="G12" i="16" s="1"/>
  <c r="G13" i="16" s="1"/>
  <c r="G14" i="16" s="1"/>
  <c r="G15" i="16" s="1"/>
  <c r="G16" i="16" s="1"/>
  <c r="G17" i="16" s="1"/>
  <c r="G18" i="16" s="1"/>
  <c r="G19" i="16" s="1"/>
  <c r="G20" i="16" s="1"/>
  <c r="G21" i="16" s="1"/>
  <c r="G22" i="16" s="1"/>
  <c r="G23" i="16" s="1"/>
  <c r="G24" i="16" s="1"/>
  <c r="G25" i="16" s="1"/>
  <c r="G26" i="16" s="1"/>
  <c r="G27" i="16" s="1"/>
  <c r="G28" i="16" s="1"/>
  <c r="G29" i="16" s="1"/>
  <c r="G30" i="16" s="1"/>
  <c r="G31" i="16" s="1"/>
  <c r="G32" i="16" s="1"/>
  <c r="G33" i="16" s="1"/>
  <c r="G34" i="16" s="1"/>
  <c r="F33" i="17"/>
  <c r="H33" i="17" s="1"/>
  <c r="F29" i="17"/>
  <c r="H29" i="17" s="1"/>
  <c r="F25" i="17"/>
  <c r="H25" i="17" s="1"/>
  <c r="F21" i="17"/>
  <c r="H21" i="17" s="1"/>
  <c r="F17" i="17"/>
  <c r="H17" i="17" s="1"/>
  <c r="F13" i="17"/>
  <c r="H13" i="17" s="1"/>
  <c r="F9" i="17"/>
  <c r="H9" i="17" s="1"/>
  <c r="F31" i="18"/>
  <c r="H31" i="18" s="1"/>
  <c r="F27" i="18"/>
  <c r="H27" i="18" s="1"/>
  <c r="F23" i="18"/>
  <c r="H23" i="18" s="1"/>
  <c r="F19" i="18"/>
  <c r="H19" i="18" s="1"/>
  <c r="F15" i="18"/>
  <c r="H15" i="18" s="1"/>
  <c r="F11" i="18"/>
  <c r="H11" i="18" s="1"/>
  <c r="F7" i="18"/>
  <c r="H7" i="18" s="1"/>
  <c r="D8" i="18"/>
  <c r="D30" i="17"/>
  <c r="D14" i="17"/>
  <c r="E5" i="16"/>
  <c r="E6" i="16" s="1"/>
  <c r="E7" i="16" s="1"/>
  <c r="E8" i="16" s="1"/>
  <c r="E9" i="16" s="1"/>
  <c r="E10" i="16" s="1"/>
  <c r="E11" i="16" s="1"/>
  <c r="E12" i="16" s="1"/>
  <c r="E13" i="16" s="1"/>
  <c r="E14" i="16" s="1"/>
  <c r="E15" i="16" s="1"/>
  <c r="E16" i="16" s="1"/>
  <c r="E17" i="16" s="1"/>
  <c r="E18" i="16" s="1"/>
  <c r="E19" i="16" s="1"/>
  <c r="E20" i="16" s="1"/>
  <c r="E21" i="16" s="1"/>
  <c r="E22" i="16" s="1"/>
  <c r="E23" i="16" s="1"/>
  <c r="E24" i="16" s="1"/>
  <c r="E25" i="16" s="1"/>
  <c r="E26" i="16" s="1"/>
  <c r="E27" i="16" s="1"/>
  <c r="E28" i="16" s="1"/>
  <c r="E29" i="16" s="1"/>
  <c r="E30" i="16" s="1"/>
  <c r="E31" i="16" s="1"/>
  <c r="E32" i="16" s="1"/>
  <c r="E33" i="16" s="1"/>
  <c r="E34" i="16" s="1"/>
  <c r="G5" i="18"/>
  <c r="G6" i="18" s="1"/>
  <c r="G7" i="18" s="1"/>
  <c r="J34" i="16" l="1"/>
  <c r="I6" i="17"/>
  <c r="I7" i="17" s="1"/>
  <c r="I8" i="17" s="1"/>
  <c r="I9" i="17" s="1"/>
  <c r="I10" i="17" s="1"/>
  <c r="I11" i="17" s="1"/>
  <c r="I12" i="17" s="1"/>
  <c r="I13" i="17" s="1"/>
  <c r="G17" i="19"/>
  <c r="I17" i="19" s="1"/>
  <c r="H17" i="19"/>
  <c r="I7" i="18"/>
  <c r="G8" i="18"/>
  <c r="G9" i="18" s="1"/>
  <c r="G10" i="18" s="1"/>
  <c r="G11" i="18" s="1"/>
  <c r="G12" i="18" s="1"/>
  <c r="G13" i="18" s="1"/>
  <c r="G14" i="18" s="1"/>
  <c r="G15" i="18" s="1"/>
  <c r="G16" i="18" s="1"/>
  <c r="G17" i="18" s="1"/>
  <c r="G18" i="18" s="1"/>
  <c r="G19" i="18" s="1"/>
  <c r="G20" i="18" s="1"/>
  <c r="G21" i="18" s="1"/>
  <c r="G22" i="18" s="1"/>
  <c r="G23" i="18" s="1"/>
  <c r="G24" i="18" s="1"/>
  <c r="G25" i="18" s="1"/>
  <c r="G26" i="18" s="1"/>
  <c r="G27" i="18" s="1"/>
  <c r="G28" i="18" s="1"/>
  <c r="G29" i="18" s="1"/>
  <c r="G30" i="18" s="1"/>
  <c r="G31" i="18" s="1"/>
  <c r="G32" i="18" s="1"/>
  <c r="G33" i="18" s="1"/>
  <c r="G34" i="18" s="1"/>
  <c r="F8" i="18"/>
  <c r="H8" i="18" s="1"/>
  <c r="F30" i="17"/>
  <c r="H30" i="17" s="1"/>
  <c r="F14" i="17"/>
  <c r="H14" i="17" s="1"/>
  <c r="G14" i="17"/>
  <c r="G15" i="17" s="1"/>
  <c r="G16" i="17" s="1"/>
  <c r="G17" i="17" s="1"/>
  <c r="G18" i="17" s="1"/>
  <c r="G19" i="17" s="1"/>
  <c r="G20" i="17" s="1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I8" i="18" l="1"/>
  <c r="I9" i="18" s="1"/>
  <c r="I10" i="18" s="1"/>
  <c r="I11" i="18" s="1"/>
  <c r="I12" i="18" s="1"/>
  <c r="I13" i="18" s="1"/>
  <c r="I14" i="18" s="1"/>
  <c r="I15" i="18" s="1"/>
  <c r="I16" i="18" s="1"/>
  <c r="I17" i="18" s="1"/>
  <c r="I18" i="18" s="1"/>
  <c r="I19" i="18" s="1"/>
  <c r="I20" i="18" s="1"/>
  <c r="I21" i="18" s="1"/>
  <c r="I22" i="18" s="1"/>
  <c r="I23" i="18" s="1"/>
  <c r="I24" i="18" s="1"/>
  <c r="I25" i="18" s="1"/>
  <c r="I26" i="18" s="1"/>
  <c r="I27" i="18" s="1"/>
  <c r="I28" i="18" s="1"/>
  <c r="I29" i="18" s="1"/>
  <c r="I30" i="18" s="1"/>
  <c r="I31" i="18" s="1"/>
  <c r="I32" i="18" s="1"/>
  <c r="I33" i="18" s="1"/>
  <c r="I34" i="18" s="1"/>
  <c r="L34" i="18" s="1"/>
  <c r="I14" i="17"/>
  <c r="I15" i="17" s="1"/>
  <c r="I16" i="17" s="1"/>
  <c r="I17" i="17" s="1"/>
  <c r="I18" i="17" s="1"/>
  <c r="I19" i="17" s="1"/>
  <c r="I20" i="17" s="1"/>
  <c r="I21" i="17" s="1"/>
  <c r="I22" i="17" s="1"/>
  <c r="I23" i="17" s="1"/>
  <c r="I24" i="17" s="1"/>
  <c r="I25" i="17" s="1"/>
  <c r="I26" i="17" s="1"/>
  <c r="I27" i="17" s="1"/>
  <c r="I28" i="17" s="1"/>
  <c r="I29" i="17" s="1"/>
  <c r="I30" i="17" s="1"/>
  <c r="I31" i="17" s="1"/>
  <c r="I32" i="17" s="1"/>
  <c r="I33" i="17" s="1"/>
  <c r="I34" i="17" s="1"/>
  <c r="L34" i="17" s="1"/>
  <c r="C15" i="12"/>
  <c r="D15" i="12" s="1"/>
  <c r="C16" i="12"/>
  <c r="D16" i="12" s="1"/>
  <c r="C17" i="12"/>
  <c r="D17" i="12" s="1"/>
  <c r="C18" i="12"/>
  <c r="D18" i="12" s="1"/>
  <c r="C19" i="12"/>
  <c r="D19" i="12" s="1"/>
  <c r="C20" i="12"/>
  <c r="D20" i="12" s="1"/>
  <c r="C21" i="12"/>
  <c r="D21" i="12" s="1"/>
  <c r="C22" i="12"/>
  <c r="D22" i="12" s="1"/>
  <c r="C23" i="12"/>
  <c r="D23" i="12" s="1"/>
  <c r="C24" i="12"/>
  <c r="D24" i="12" s="1"/>
  <c r="C25" i="12"/>
  <c r="D25" i="12" s="1"/>
  <c r="C26" i="12"/>
  <c r="D26" i="12" s="1"/>
  <c r="C27" i="12"/>
  <c r="D27" i="12" s="1"/>
  <c r="C28" i="12"/>
  <c r="D28" i="12" s="1"/>
  <c r="C29" i="12"/>
  <c r="D29" i="12" s="1"/>
  <c r="C30" i="12"/>
  <c r="D30" i="12" s="1"/>
  <c r="C31" i="12"/>
  <c r="D31" i="12" s="1"/>
  <c r="C32" i="12"/>
  <c r="D32" i="12" s="1"/>
  <c r="C33" i="12"/>
  <c r="D33" i="12" s="1"/>
  <c r="C34" i="12"/>
  <c r="D34" i="12" s="1"/>
  <c r="C35" i="12"/>
  <c r="D35" i="12" s="1"/>
  <c r="C36" i="12"/>
  <c r="D36" i="12" s="1"/>
  <c r="C37" i="12"/>
  <c r="D37" i="12" s="1"/>
  <c r="C38" i="12"/>
  <c r="D38" i="12" s="1"/>
  <c r="C39" i="12"/>
  <c r="D39" i="12" s="1"/>
  <c r="C40" i="12"/>
  <c r="D40" i="12" s="1"/>
  <c r="C41" i="12"/>
  <c r="D41" i="12" s="1"/>
  <c r="C42" i="12"/>
  <c r="D42" i="12" s="1"/>
  <c r="C43" i="12"/>
  <c r="D43" i="12" s="1"/>
  <c r="C44" i="12"/>
  <c r="D44" i="12" s="1"/>
  <c r="C45" i="12"/>
  <c r="D45" i="12" s="1"/>
  <c r="C46" i="12"/>
  <c r="D46" i="12" s="1"/>
  <c r="C47" i="12"/>
  <c r="D47" i="12" s="1"/>
  <c r="C48" i="12"/>
  <c r="D48" i="12" s="1"/>
  <c r="C49" i="12"/>
  <c r="D49" i="12" s="1"/>
  <c r="C50" i="12"/>
  <c r="D50" i="12" s="1"/>
  <c r="C51" i="12"/>
  <c r="D51" i="12" s="1"/>
  <c r="C52" i="12"/>
  <c r="D52" i="12" s="1"/>
  <c r="C53" i="12"/>
  <c r="D53" i="12" s="1"/>
  <c r="C54" i="12"/>
  <c r="D54" i="12" s="1"/>
  <c r="C55" i="12"/>
  <c r="D55" i="12" s="1"/>
  <c r="C56" i="12"/>
  <c r="D56" i="12" s="1"/>
  <c r="C57" i="12"/>
  <c r="D57" i="12" s="1"/>
  <c r="C58" i="12"/>
  <c r="D58" i="12" s="1"/>
  <c r="C59" i="12"/>
  <c r="D59" i="12" s="1"/>
  <c r="C60" i="12"/>
  <c r="D60" i="12" s="1"/>
  <c r="C61" i="12"/>
  <c r="D61" i="12" s="1"/>
  <c r="C62" i="12"/>
  <c r="D62" i="12" s="1"/>
  <c r="C14" i="12"/>
  <c r="D14" i="12" s="1"/>
  <c r="D13" i="12" l="1"/>
  <c r="E13" i="12" s="1"/>
  <c r="F13" i="12" s="1"/>
  <c r="E18" i="19"/>
  <c r="E14" i="12" l="1"/>
  <c r="G18" i="19"/>
  <c r="I18" i="19" s="1"/>
  <c r="H18" i="19"/>
  <c r="E15" i="12" l="1"/>
  <c r="F14" i="12"/>
  <c r="E19" i="19"/>
  <c r="E16" i="12" l="1"/>
  <c r="F15" i="12"/>
  <c r="G15" i="12" s="1"/>
  <c r="G19" i="19"/>
  <c r="I19" i="19" s="1"/>
  <c r="H19" i="19"/>
  <c r="E17" i="12" l="1"/>
  <c r="F16" i="12"/>
  <c r="G16" i="12" s="1"/>
  <c r="E20" i="19"/>
  <c r="E18" i="12" l="1"/>
  <c r="F17" i="12"/>
  <c r="G17" i="12" s="1"/>
  <c r="G20" i="19"/>
  <c r="H20" i="19"/>
  <c r="E19" i="12" l="1"/>
  <c r="F18" i="12"/>
  <c r="G18" i="12" s="1"/>
  <c r="I20" i="19"/>
  <c r="E21" i="19"/>
  <c r="E20" i="12" l="1"/>
  <c r="F19" i="12"/>
  <c r="G19" i="12" s="1"/>
  <c r="G21" i="19"/>
  <c r="I21" i="19" s="1"/>
  <c r="H21" i="19"/>
  <c r="E21" i="12" l="1"/>
  <c r="F20" i="12"/>
  <c r="G20" i="12" s="1"/>
  <c r="E22" i="19"/>
  <c r="E22" i="12" l="1"/>
  <c r="F21" i="12"/>
  <c r="G21" i="12" s="1"/>
  <c r="G22" i="19"/>
  <c r="I22" i="19" s="1"/>
  <c r="H22" i="19"/>
  <c r="E23" i="12" l="1"/>
  <c r="F22" i="12"/>
  <c r="G22" i="12" s="1"/>
  <c r="E23" i="19"/>
  <c r="E24" i="12" l="1"/>
  <c r="F23" i="12"/>
  <c r="G23" i="12" s="1"/>
  <c r="G23" i="19"/>
  <c r="I23" i="19" s="1"/>
  <c r="H23" i="19"/>
  <c r="E25" i="12" l="1"/>
  <c r="F24" i="12"/>
  <c r="G24" i="12" s="1"/>
  <c r="E24" i="19"/>
  <c r="E26" i="12" l="1"/>
  <c r="F25" i="12"/>
  <c r="G25" i="12" s="1"/>
  <c r="G24" i="19"/>
  <c r="I24" i="19" s="1"/>
  <c r="H24" i="19"/>
  <c r="E27" i="12" l="1"/>
  <c r="F26" i="12"/>
  <c r="G26" i="12" s="1"/>
  <c r="E25" i="19"/>
  <c r="E28" i="12" l="1"/>
  <c r="F27" i="12"/>
  <c r="G27" i="12" s="1"/>
  <c r="G25" i="19"/>
  <c r="I25" i="19" s="1"/>
  <c r="H25" i="19"/>
  <c r="E29" i="12" l="1"/>
  <c r="F28" i="12"/>
  <c r="G28" i="12" s="1"/>
  <c r="E26" i="19"/>
  <c r="E30" i="12" l="1"/>
  <c r="F29" i="12"/>
  <c r="G29" i="12" s="1"/>
  <c r="G26" i="19"/>
  <c r="I26" i="19" s="1"/>
  <c r="H26" i="19"/>
  <c r="E31" i="12" l="1"/>
  <c r="F30" i="12"/>
  <c r="G30" i="12" s="1"/>
  <c r="E27" i="19"/>
  <c r="E32" i="12" l="1"/>
  <c r="F31" i="12"/>
  <c r="G31" i="12" s="1"/>
  <c r="G27" i="19"/>
  <c r="I27" i="19" s="1"/>
  <c r="H27" i="19"/>
  <c r="E33" i="12" l="1"/>
  <c r="F32" i="12"/>
  <c r="G32" i="12" s="1"/>
  <c r="E28" i="19"/>
  <c r="E34" i="12" l="1"/>
  <c r="F33" i="12"/>
  <c r="G33" i="12" s="1"/>
  <c r="G28" i="19"/>
  <c r="I28" i="19" s="1"/>
  <c r="H28" i="19"/>
  <c r="E35" i="12" l="1"/>
  <c r="F34" i="12"/>
  <c r="G34" i="12" s="1"/>
  <c r="E29" i="19"/>
  <c r="E36" i="12" l="1"/>
  <c r="F35" i="12"/>
  <c r="G35" i="12" s="1"/>
  <c r="G29" i="19"/>
  <c r="I29" i="19" s="1"/>
  <c r="H29" i="19"/>
  <c r="E37" i="12" l="1"/>
  <c r="F36" i="12"/>
  <c r="G36" i="12" s="1"/>
  <c r="E30" i="19"/>
  <c r="E38" i="12" l="1"/>
  <c r="F37" i="12"/>
  <c r="G37" i="12" s="1"/>
  <c r="G30" i="19"/>
  <c r="I30" i="19" s="1"/>
  <c r="H30" i="19"/>
  <c r="E39" i="12" l="1"/>
  <c r="F38" i="12"/>
  <c r="G38" i="12" s="1"/>
  <c r="E31" i="19"/>
  <c r="E40" i="12" l="1"/>
  <c r="F39" i="12"/>
  <c r="G39" i="12" s="1"/>
  <c r="G31" i="19"/>
  <c r="I31" i="19" s="1"/>
  <c r="H31" i="19"/>
  <c r="E41" i="12" l="1"/>
  <c r="F40" i="12"/>
  <c r="G40" i="12" s="1"/>
  <c r="E32" i="19"/>
  <c r="E42" i="12" l="1"/>
  <c r="F41" i="12"/>
  <c r="G41" i="12" s="1"/>
  <c r="G32" i="19"/>
  <c r="I32" i="19" s="1"/>
  <c r="H32" i="19"/>
  <c r="E43" i="12" l="1"/>
  <c r="F42" i="12"/>
  <c r="G42" i="12" s="1"/>
  <c r="E33" i="19"/>
  <c r="E44" i="12" l="1"/>
  <c r="F43" i="12"/>
  <c r="G43" i="12" s="1"/>
  <c r="G33" i="19"/>
  <c r="I33" i="19" s="1"/>
  <c r="H33" i="19"/>
  <c r="E45" i="12" l="1"/>
  <c r="F44" i="12"/>
  <c r="G44" i="12" s="1"/>
  <c r="E34" i="19"/>
  <c r="E46" i="12" l="1"/>
  <c r="F45" i="12"/>
  <c r="G45" i="12" s="1"/>
  <c r="G34" i="19"/>
  <c r="I34" i="19" s="1"/>
  <c r="H34" i="19"/>
  <c r="E47" i="12" l="1"/>
  <c r="F46" i="12"/>
  <c r="G46" i="12" s="1"/>
  <c r="E35" i="19"/>
  <c r="E48" i="12" l="1"/>
  <c r="F47" i="12"/>
  <c r="G47" i="12" s="1"/>
  <c r="G35" i="19"/>
  <c r="I35" i="19" s="1"/>
  <c r="H35" i="19"/>
  <c r="E49" i="12" l="1"/>
  <c r="F48" i="12"/>
  <c r="G48" i="12" s="1"/>
  <c r="E36" i="19"/>
  <c r="E50" i="12" l="1"/>
  <c r="F49" i="12"/>
  <c r="G49" i="12" s="1"/>
  <c r="G36" i="19"/>
  <c r="I36" i="19" s="1"/>
  <c r="H36" i="19"/>
  <c r="E51" i="12" l="1"/>
  <c r="F50" i="12"/>
  <c r="G50" i="12" s="1"/>
  <c r="E37" i="19"/>
  <c r="E52" i="12" l="1"/>
  <c r="F51" i="12"/>
  <c r="G51" i="12" s="1"/>
  <c r="G37" i="19"/>
  <c r="I37" i="19" s="1"/>
  <c r="H37" i="19"/>
  <c r="E53" i="12" l="1"/>
  <c r="F52" i="12"/>
  <c r="G52" i="12" s="1"/>
  <c r="E38" i="19"/>
  <c r="E54" i="12" l="1"/>
  <c r="F53" i="12"/>
  <c r="G53" i="12" s="1"/>
  <c r="G38" i="19"/>
  <c r="I38" i="19" s="1"/>
  <c r="H38" i="19"/>
  <c r="E55" i="12" l="1"/>
  <c r="F54" i="12"/>
  <c r="G54" i="12" s="1"/>
  <c r="E39" i="19"/>
  <c r="E56" i="12" l="1"/>
  <c r="F55" i="12"/>
  <c r="G55" i="12" s="1"/>
  <c r="G39" i="19"/>
  <c r="I39" i="19" s="1"/>
  <c r="H39" i="19"/>
  <c r="E57" i="12" l="1"/>
  <c r="F56" i="12"/>
  <c r="G56" i="12" s="1"/>
  <c r="E40" i="19"/>
  <c r="E58" i="12" l="1"/>
  <c r="F57" i="12"/>
  <c r="G57" i="12" s="1"/>
  <c r="G40" i="19"/>
  <c r="I40" i="19" s="1"/>
  <c r="H40" i="19"/>
  <c r="E59" i="12" l="1"/>
  <c r="F58" i="12"/>
  <c r="G58" i="12" s="1"/>
  <c r="E41" i="19"/>
  <c r="E60" i="12" l="1"/>
  <c r="F59" i="12"/>
  <c r="G59" i="12" s="1"/>
  <c r="G41" i="19"/>
  <c r="I41" i="19" s="1"/>
  <c r="H41" i="19"/>
  <c r="E61" i="12" l="1"/>
  <c r="F60" i="12"/>
  <c r="G60" i="12" s="1"/>
  <c r="E42" i="19"/>
  <c r="E62" i="12" l="1"/>
  <c r="F62" i="12" s="1"/>
  <c r="F61" i="12"/>
  <c r="G61" i="12" s="1"/>
  <c r="G42" i="19"/>
  <c r="I42" i="19" s="1"/>
  <c r="H42" i="19"/>
  <c r="G62" i="12" l="1"/>
  <c r="E43" i="19"/>
  <c r="D7" i="12" l="1"/>
  <c r="D8" i="12" s="1"/>
  <c r="L3" i="12" s="1"/>
  <c r="L18" i="12" s="1"/>
  <c r="G43" i="19"/>
  <c r="I43" i="19" s="1"/>
  <c r="H43" i="19"/>
  <c r="K3" i="12" l="1"/>
  <c r="K18" i="12" s="1"/>
  <c r="E44" i="19"/>
  <c r="G44" i="19" s="1"/>
  <c r="H44" i="19" l="1"/>
  <c r="I44" i="19"/>
  <c r="E45" i="19"/>
  <c r="H45" i="19" s="1"/>
  <c r="G45" i="19" l="1"/>
  <c r="I45" i="19" s="1"/>
  <c r="E46" i="19" l="1"/>
  <c r="G46" i="19" s="1"/>
  <c r="I46" i="19" s="1"/>
  <c r="E47" i="19" l="1"/>
  <c r="G47" i="19" s="1"/>
  <c r="I47" i="19" s="1"/>
  <c r="H46" i="19"/>
  <c r="E48" i="19" l="1"/>
  <c r="G48" i="19" s="1"/>
  <c r="I48" i="19" s="1"/>
  <c r="H47" i="19"/>
  <c r="H48" i="19" l="1"/>
  <c r="E49" i="19"/>
  <c r="G49" i="19" s="1"/>
  <c r="I49" i="19" s="1"/>
  <c r="E50" i="19" l="1"/>
  <c r="G50" i="19" s="1"/>
  <c r="I50" i="19" s="1"/>
  <c r="H49" i="19"/>
  <c r="E51" i="19" l="1"/>
  <c r="G51" i="19" s="1"/>
  <c r="I51" i="19" s="1"/>
  <c r="H50" i="19"/>
  <c r="H51" i="19" l="1"/>
  <c r="E52" i="19"/>
  <c r="H52" i="19" s="1"/>
  <c r="G52" i="19" l="1"/>
  <c r="I52" i="19" s="1"/>
  <c r="E53" i="19" l="1"/>
  <c r="H53" i="19" s="1"/>
  <c r="G53" i="19" l="1"/>
  <c r="I53" i="19" s="1"/>
  <c r="E54" i="19" l="1"/>
  <c r="G54" i="19" s="1"/>
  <c r="H54" i="19" l="1"/>
  <c r="I54" i="19"/>
  <c r="E55" i="19"/>
  <c r="H55" i="19" l="1"/>
  <c r="G55" i="19"/>
  <c r="I55" i="19" l="1"/>
  <c r="E56" i="19"/>
  <c r="G56" i="19" l="1"/>
  <c r="H56" i="19"/>
  <c r="E57" i="19" l="1"/>
  <c r="I56" i="19"/>
  <c r="G57" i="19" l="1"/>
  <c r="H57" i="19"/>
  <c r="I57" i="19" l="1"/>
  <c r="E58" i="19"/>
  <c r="H58" i="19" l="1"/>
  <c r="G58" i="19"/>
  <c r="I58" i="19" l="1"/>
  <c r="E59" i="19"/>
  <c r="G59" i="19" l="1"/>
  <c r="H59" i="19"/>
  <c r="I59" i="19" l="1"/>
  <c r="E60" i="19"/>
  <c r="G60" i="19" l="1"/>
  <c r="H60" i="19"/>
  <c r="I60" i="19" l="1"/>
  <c r="E61" i="19"/>
  <c r="G61" i="19" l="1"/>
  <c r="H61" i="19"/>
  <c r="E62" i="19" l="1"/>
  <c r="I61" i="19"/>
  <c r="H62" i="19" l="1"/>
  <c r="G62" i="19"/>
  <c r="I62" i="19" l="1"/>
  <c r="E63" i="19"/>
  <c r="G63" i="19" l="1"/>
  <c r="H63" i="19"/>
  <c r="I63" i="19" l="1"/>
  <c r="E64" i="19"/>
  <c r="G64" i="19" l="1"/>
  <c r="H64" i="19"/>
  <c r="I64" i="19" l="1"/>
  <c r="E65" i="19"/>
  <c r="G65" i="19" l="1"/>
  <c r="H65" i="19"/>
  <c r="I65" i="19" l="1"/>
  <c r="E66" i="19"/>
  <c r="G66" i="19" l="1"/>
  <c r="H66" i="19"/>
  <c r="I66" i="19" l="1"/>
  <c r="E67" i="19"/>
  <c r="G67" i="19" l="1"/>
  <c r="H67" i="19"/>
  <c r="E68" i="19" l="1"/>
  <c r="I67" i="19"/>
  <c r="G68" i="19" l="1"/>
  <c r="H68" i="19"/>
  <c r="I68" i="19" l="1"/>
  <c r="E69" i="19"/>
  <c r="G69" i="19" l="1"/>
  <c r="H69" i="19"/>
  <c r="I69" i="19" l="1"/>
  <c r="E70" i="19"/>
  <c r="G70" i="19" l="1"/>
  <c r="H70" i="19"/>
  <c r="I70" i="19" l="1"/>
  <c r="E71" i="19"/>
  <c r="G71" i="19" l="1"/>
  <c r="H71" i="19"/>
  <c r="I71" i="19" l="1"/>
  <c r="E72" i="19"/>
  <c r="G72" i="19" l="1"/>
  <c r="H72" i="19"/>
  <c r="I72" i="19" l="1"/>
  <c r="E73" i="19"/>
  <c r="G73" i="19" l="1"/>
  <c r="H73" i="19"/>
  <c r="I73" i="19" l="1"/>
  <c r="E74" i="19"/>
  <c r="H74" i="19" l="1"/>
  <c r="G74" i="19"/>
  <c r="I74" i="19" l="1"/>
  <c r="E75" i="19"/>
  <c r="G75" i="19" l="1"/>
  <c r="H75" i="19"/>
  <c r="I75" i="19" l="1"/>
  <c r="E76" i="19"/>
  <c r="G76" i="19" l="1"/>
  <c r="H76" i="19"/>
  <c r="E77" i="19" l="1"/>
  <c r="I76" i="19"/>
  <c r="H77" i="19" l="1"/>
  <c r="G77" i="19"/>
  <c r="I77" i="19" l="1"/>
  <c r="E78" i="19"/>
  <c r="G78" i="19" l="1"/>
  <c r="H78" i="19"/>
  <c r="I78" i="19" l="1"/>
  <c r="E79" i="19"/>
  <c r="G79" i="19" l="1"/>
  <c r="H79" i="19"/>
  <c r="I79" i="19" l="1"/>
  <c r="E80" i="19"/>
  <c r="G80" i="19" l="1"/>
  <c r="H80" i="19"/>
  <c r="I80" i="19" l="1"/>
  <c r="E81" i="19"/>
  <c r="G81" i="19" l="1"/>
  <c r="H81" i="19"/>
  <c r="I81" i="19" l="1"/>
  <c r="E82" i="19"/>
  <c r="G82" i="19" l="1"/>
  <c r="H82" i="19"/>
  <c r="I82" i="19" l="1"/>
  <c r="E83" i="19"/>
  <c r="G83" i="19" l="1"/>
  <c r="H83" i="19"/>
  <c r="I83" i="19" l="1"/>
  <c r="E84" i="19"/>
  <c r="H84" i="19" l="1"/>
  <c r="G84" i="19"/>
  <c r="I84" i="19" l="1"/>
  <c r="E85" i="19"/>
  <c r="G85" i="19" l="1"/>
  <c r="H85" i="19"/>
  <c r="I85" i="19" l="1"/>
  <c r="E86" i="19"/>
  <c r="G86" i="19" l="1"/>
  <c r="H86" i="19"/>
  <c r="E87" i="19" l="1"/>
  <c r="I86" i="19"/>
  <c r="G87" i="19" l="1"/>
  <c r="H87" i="19"/>
  <c r="I87" i="19" l="1"/>
  <c r="E88" i="19"/>
  <c r="H88" i="19" l="1"/>
  <c r="G88" i="19"/>
  <c r="I88" i="19" l="1"/>
  <c r="E89" i="19"/>
  <c r="G89" i="19" l="1"/>
  <c r="H89" i="19"/>
  <c r="I89" i="19" l="1"/>
  <c r="E90" i="19"/>
  <c r="G90" i="19" l="1"/>
  <c r="H90" i="19"/>
  <c r="I90" i="19" l="1"/>
  <c r="E91" i="19"/>
  <c r="G91" i="19" l="1"/>
  <c r="H91" i="19"/>
  <c r="I91" i="19" l="1"/>
  <c r="E92" i="19"/>
  <c r="G92" i="19" l="1"/>
  <c r="H92" i="19"/>
  <c r="I92" i="19" l="1"/>
  <c r="E93" i="19"/>
  <c r="G93" i="19" l="1"/>
  <c r="H93" i="19"/>
  <c r="I93" i="19" l="1"/>
  <c r="E94" i="19"/>
  <c r="G94" i="19" l="1"/>
  <c r="H94" i="19"/>
  <c r="E95" i="19" l="1"/>
  <c r="I94" i="19"/>
  <c r="G95" i="19" l="1"/>
  <c r="H95" i="19"/>
  <c r="I95" i="19" l="1"/>
  <c r="E96" i="19"/>
  <c r="G96" i="19" l="1"/>
  <c r="H96" i="19"/>
  <c r="E97" i="19" l="1"/>
  <c r="I96" i="19"/>
  <c r="G97" i="19" l="1"/>
  <c r="H97" i="19"/>
  <c r="I97" i="19" l="1"/>
  <c r="E98" i="19"/>
  <c r="G98" i="19" l="1"/>
  <c r="H98" i="19"/>
  <c r="E99" i="19" l="1"/>
  <c r="I98" i="19"/>
  <c r="H99" i="19" l="1"/>
  <c r="G99" i="19"/>
  <c r="I99" i="19" l="1"/>
  <c r="E100" i="19"/>
  <c r="H100" i="19" l="1"/>
  <c r="G100" i="19"/>
  <c r="I100" i="19" l="1"/>
  <c r="E101" i="19"/>
  <c r="G101" i="19" l="1"/>
  <c r="H101" i="19"/>
  <c r="I101" i="19" l="1"/>
  <c r="E102" i="19"/>
  <c r="G102" i="19" l="1"/>
  <c r="H102" i="19"/>
  <c r="I102" i="19" l="1"/>
  <c r="E103" i="19"/>
  <c r="G103" i="19" l="1"/>
  <c r="H103" i="19"/>
  <c r="I103" i="19" l="1"/>
  <c r="E104" i="19"/>
  <c r="G104" i="19" l="1"/>
  <c r="H104" i="19"/>
  <c r="E105" i="19" l="1"/>
  <c r="I104" i="19"/>
  <c r="H105" i="19" l="1"/>
  <c r="G105" i="19"/>
  <c r="I105" i="19" l="1"/>
  <c r="E106" i="19"/>
  <c r="G106" i="19" l="1"/>
  <c r="H106" i="19"/>
  <c r="I106" i="19" l="1"/>
  <c r="E107" i="19"/>
  <c r="H107" i="19" l="1"/>
  <c r="G107" i="19"/>
  <c r="I107" i="19" l="1"/>
  <c r="E108" i="19"/>
  <c r="H108" i="19" l="1"/>
  <c r="G108" i="19"/>
  <c r="I108" i="19" l="1"/>
  <c r="E109" i="19"/>
  <c r="G109" i="19" l="1"/>
  <c r="H109" i="19"/>
  <c r="E110" i="19" l="1"/>
  <c r="I109" i="19"/>
  <c r="G110" i="19" l="1"/>
  <c r="H110" i="19"/>
  <c r="I110" i="19" l="1"/>
  <c r="E111" i="19"/>
  <c r="G111" i="19" l="1"/>
  <c r="H111" i="19"/>
  <c r="I111" i="19" l="1"/>
  <c r="E112" i="19"/>
  <c r="G112" i="19" l="1"/>
  <c r="H112" i="19"/>
  <c r="I112" i="19" l="1"/>
  <c r="E113" i="19"/>
  <c r="H113" i="19" l="1"/>
  <c r="G113" i="19"/>
  <c r="E114" i="19" l="1"/>
  <c r="I113" i="19"/>
  <c r="G114" i="19" l="1"/>
  <c r="H114" i="19"/>
  <c r="E115" i="19" l="1"/>
  <c r="I114" i="19"/>
  <c r="H115" i="19" l="1"/>
  <c r="D10" i="19" s="1"/>
  <c r="G115" i="19"/>
  <c r="I115" i="19" s="1"/>
  <c r="D11" i="19" s="1"/>
</calcChain>
</file>

<file path=xl/sharedStrings.xml><?xml version="1.0" encoding="utf-8"?>
<sst xmlns="http://schemas.openxmlformats.org/spreadsheetml/2006/main" count="246" uniqueCount="123">
  <si>
    <t>Summary of Game</t>
  </si>
  <si>
    <t>Result</t>
  </si>
  <si>
    <t>Total</t>
  </si>
  <si>
    <t>Flip</t>
  </si>
  <si>
    <t>Heads</t>
  </si>
  <si>
    <t>Tails</t>
  </si>
  <si>
    <t>Stop?</t>
  </si>
  <si>
    <t>Number</t>
  </si>
  <si>
    <t>Random</t>
  </si>
  <si>
    <t>Coin-Flipping Game</t>
  </si>
  <si>
    <t>Winnings</t>
  </si>
  <si>
    <t>Number of Flips</t>
  </si>
  <si>
    <t>Required Difference</t>
  </si>
  <si>
    <t>Cash At End of Game</t>
  </si>
  <si>
    <t>Range Name</t>
  </si>
  <si>
    <t>Cells</t>
  </si>
  <si>
    <t>RandomNumber</t>
  </si>
  <si>
    <t>Play</t>
  </si>
  <si>
    <t># Flips</t>
  </si>
  <si>
    <t>Winning</t>
  </si>
  <si>
    <t>Average</t>
  </si>
  <si>
    <t>Average Cost per Day</t>
  </si>
  <si>
    <t>D5:D34</t>
  </si>
  <si>
    <t>Breakdown Cost</t>
  </si>
  <si>
    <t>C5:C34</t>
  </si>
  <si>
    <t>E5:E34</t>
  </si>
  <si>
    <t>CumulativeDay</t>
  </si>
  <si>
    <t>G5:G34</t>
  </si>
  <si>
    <t>CumulativeCost</t>
  </si>
  <si>
    <t>F5:F34</t>
  </si>
  <si>
    <t>Cost</t>
  </si>
  <si>
    <t>of Days</t>
  </si>
  <si>
    <t>Cumulative</t>
  </si>
  <si>
    <t>Probability</t>
  </si>
  <si>
    <t>B5:B34</t>
  </si>
  <si>
    <t>Breakdown</t>
  </si>
  <si>
    <t>AverageCostPerDay</t>
  </si>
  <si>
    <t>Time Between Breakdowns</t>
  </si>
  <si>
    <t>Day</t>
  </si>
  <si>
    <t xml:space="preserve">Distribution of </t>
  </si>
  <si>
    <t>Time Since Last</t>
  </si>
  <si>
    <t>TimeUntilBreakdown</t>
  </si>
  <si>
    <t>ScheduledTimeUntilReplacement</t>
  </si>
  <si>
    <t>days</t>
  </si>
  <si>
    <t>Replace After</t>
  </si>
  <si>
    <t>L12</t>
  </si>
  <si>
    <t>ReplacementCost</t>
  </si>
  <si>
    <t>L14</t>
  </si>
  <si>
    <t>ReplaceAfter</t>
  </si>
  <si>
    <t>Replacement Cost</t>
  </si>
  <si>
    <t>Event</t>
  </si>
  <si>
    <t>I5:I34</t>
  </si>
  <si>
    <t>Cycle</t>
  </si>
  <si>
    <t>H5:H34</t>
  </si>
  <si>
    <t>L11</t>
  </si>
  <si>
    <t>BreakdownCost</t>
  </si>
  <si>
    <t>L34</t>
  </si>
  <si>
    <t>Concludes Cycle</t>
  </si>
  <si>
    <t>Until Replacement</t>
  </si>
  <si>
    <t>Event That</t>
  </si>
  <si>
    <t>Scheduled Time</t>
  </si>
  <si>
    <t>Time Until</t>
  </si>
  <si>
    <t>System</t>
  </si>
  <si>
    <t>Line</t>
  </si>
  <si>
    <t>Ends</t>
  </si>
  <si>
    <t>Time</t>
  </si>
  <si>
    <t>Begins</t>
  </si>
  <si>
    <t>Arrival</t>
  </si>
  <si>
    <t>in</t>
  </si>
  <si>
    <t>Service</t>
  </si>
  <si>
    <t>of</t>
  </si>
  <si>
    <t>Interarrival</t>
  </si>
  <si>
    <t>Customer</t>
  </si>
  <si>
    <t>minutes</t>
  </si>
  <si>
    <t>Average Time in System (W)</t>
  </si>
  <si>
    <t>Average Time in Line (Wq)</t>
  </si>
  <si>
    <t>Max Service Time</t>
  </si>
  <si>
    <t>Min Service Time</t>
  </si>
  <si>
    <t>(uniform)</t>
  </si>
  <si>
    <t>Mean Interarrival Time</t>
  </si>
  <si>
    <t>(exponential)</t>
  </si>
  <si>
    <t>Herr Cutter's Barber Shop</t>
  </si>
  <si>
    <t>https://youtu.be/OyREtbNfi5w</t>
  </si>
  <si>
    <t>Number of Arrivals =</t>
  </si>
  <si>
    <t>Length of Simulation Run</t>
  </si>
  <si>
    <t>Distribution =</t>
  </si>
  <si>
    <t>Service Times</t>
  </si>
  <si>
    <t>W =</t>
  </si>
  <si>
    <t>L =</t>
  </si>
  <si>
    <t>Interarrival Times</t>
  </si>
  <si>
    <t>High</t>
  </si>
  <si>
    <t>Low</t>
  </si>
  <si>
    <t>Estimate</t>
  </si>
  <si>
    <t>95% Confidence Interval</t>
  </si>
  <si>
    <t>Point</t>
  </si>
  <si>
    <t>Number of Servers =</t>
  </si>
  <si>
    <t>Results</t>
  </si>
  <si>
    <t>Data</t>
  </si>
  <si>
    <t>Exponential</t>
  </si>
  <si>
    <t>Uniform</t>
  </si>
  <si>
    <t>https://istats.shinyapps.io/NormalDist/</t>
  </si>
  <si>
    <t>Normal Dist.</t>
  </si>
  <si>
    <t>Mean</t>
  </si>
  <si>
    <t>SD</t>
  </si>
  <si>
    <t>Simulated Distribution</t>
  </si>
  <si>
    <r>
      <t xml:space="preserve">Heavy Duty Company </t>
    </r>
    <r>
      <rPr>
        <b/>
        <sz val="14"/>
        <color rgb="FFFF0000"/>
        <rFont val="Consolas"/>
        <family val="2"/>
      </rPr>
      <t>Corrective</t>
    </r>
    <r>
      <rPr>
        <b/>
        <sz val="14"/>
        <rFont val="Consolas"/>
        <family val="2"/>
      </rPr>
      <t xml:space="preserve"> Maintenance Simulation</t>
    </r>
  </si>
  <si>
    <r>
      <t xml:space="preserve">Heavy Duty Company </t>
    </r>
    <r>
      <rPr>
        <b/>
        <sz val="14"/>
        <color rgb="FFFF0000"/>
        <rFont val="Consolas"/>
        <family val="2"/>
      </rPr>
      <t>Preventive</t>
    </r>
    <r>
      <rPr>
        <b/>
        <sz val="14"/>
        <rFont val="Consolas"/>
        <family val="2"/>
      </rPr>
      <t xml:space="preserve"> Maintenance Simulation (Replace After </t>
    </r>
    <r>
      <rPr>
        <b/>
        <sz val="14"/>
        <color rgb="FFFF0000"/>
        <rFont val="Consolas"/>
        <family val="2"/>
      </rPr>
      <t>5 Days</t>
    </r>
    <r>
      <rPr>
        <b/>
        <sz val="14"/>
        <rFont val="Consolas"/>
        <family val="2"/>
      </rPr>
      <t>)</t>
    </r>
  </si>
  <si>
    <r>
      <t xml:space="preserve">Heavy Duty Company </t>
    </r>
    <r>
      <rPr>
        <b/>
        <sz val="14"/>
        <color rgb="FFFF0000"/>
        <rFont val="Consolas"/>
        <family val="2"/>
      </rPr>
      <t>Preventive</t>
    </r>
    <r>
      <rPr>
        <b/>
        <sz val="14"/>
        <rFont val="Consolas"/>
        <family val="2"/>
      </rPr>
      <t xml:space="preserve"> Maintenance Simulation (Replace After </t>
    </r>
    <r>
      <rPr>
        <b/>
        <sz val="14"/>
        <color rgb="FFFF0000"/>
        <rFont val="Consolas"/>
        <family val="2"/>
      </rPr>
      <t>4 Days</t>
    </r>
    <r>
      <rPr>
        <b/>
        <sz val="14"/>
        <rFont val="Consolas"/>
        <family val="2"/>
      </rPr>
      <t>)</t>
    </r>
  </si>
  <si>
    <r>
      <t>L</t>
    </r>
    <r>
      <rPr>
        <vertAlign val="subscript"/>
        <sz val="10"/>
        <rFont val="Consolas"/>
        <family val="2"/>
      </rPr>
      <t>q</t>
    </r>
    <r>
      <rPr>
        <sz val="10"/>
        <rFont val="Consolas"/>
        <family val="2"/>
      </rPr>
      <t xml:space="preserve"> =</t>
    </r>
  </si>
  <si>
    <r>
      <t>W</t>
    </r>
    <r>
      <rPr>
        <vertAlign val="subscript"/>
        <sz val="10"/>
        <color rgb="FFFF0000"/>
        <rFont val="Consolas"/>
        <family val="2"/>
      </rPr>
      <t>q</t>
    </r>
    <r>
      <rPr>
        <sz val="10"/>
        <color rgb="FFFF000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</si>
  <si>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0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</si>
  <si>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1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</si>
  <si>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2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</si>
  <si>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3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</si>
  <si>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4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</si>
  <si>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5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</si>
  <si>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6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</si>
  <si>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 xml:space="preserve">7 </t>
    </r>
    <r>
      <rPr>
        <sz val="10"/>
        <rFont val="Consolas"/>
        <family val="2"/>
      </rPr>
      <t>=</t>
    </r>
  </si>
  <si>
    <r>
      <t>P</t>
    </r>
    <r>
      <rPr>
        <vertAlign val="subscript"/>
        <sz val="10"/>
        <rFont val="Consolas"/>
        <family val="2"/>
      </rPr>
      <t>8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</si>
  <si>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9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</si>
  <si>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10</t>
    </r>
    <r>
      <rPr>
        <sz val="10"/>
        <rFont val="Consolas"/>
        <family val="2"/>
      </rPr>
      <t xml:space="preserve"> =</t>
    </r>
  </si>
  <si>
    <r>
      <t xml:space="preserve">Queueing Simulation </t>
    </r>
    <r>
      <rPr>
        <b/>
        <sz val="14"/>
        <color rgb="FFFF0000"/>
        <rFont val="Consolas"/>
        <family val="2"/>
      </rPr>
      <t>(No Associate)</t>
    </r>
  </si>
  <si>
    <r>
      <t xml:space="preserve">Queueing Simulation </t>
    </r>
    <r>
      <rPr>
        <b/>
        <sz val="14"/>
        <color rgb="FFFF0000"/>
        <rFont val="Consolas"/>
        <family val="2"/>
      </rPr>
      <t>(With Associate)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</si>
</sst>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"/>
    <numFmt numFmtId="165" formatCode="&quot;$&quot;#,##0.00"/>
    <numFmt numFmtId="166" formatCode="0.0000"/>
    <numFmt numFmtId="167" formatCode="0.0"/>
    <numFmt numFmtId="168" formatCode="#,##0.0"/>
  </numFmts>
  <fonts count="16" x14ac:knownFonts="1">
    <font>
      <sz val="9"/>
      <name val="Geneva"/>
    </font>
    <font>
      <sz val="8"/>
      <name val="Geneva"/>
      <family val="2"/>
    </font>
    <font>
      <sz val="9"/>
      <name val="Geneva"/>
      <family val="2"/>
    </font>
    <font>
      <u/>
      <sz val="9"/>
      <color theme="10"/>
      <name val="Geneva"/>
      <family val="2"/>
    </font>
    <font>
      <sz val="10"/>
      <name val="Geneva"/>
      <family val="2"/>
    </font>
    <font>
      <b/>
      <sz val="12"/>
      <name val="Consolas"/>
      <family val="2"/>
    </font>
    <font>
      <sz val="10"/>
      <name val="Consolas"/>
      <family val="2"/>
    </font>
    <font>
      <b/>
      <sz val="10"/>
      <name val="Consolas"/>
      <family val="2"/>
    </font>
    <font>
      <b/>
      <sz val="14"/>
      <name val="Consolas"/>
      <family val="2"/>
    </font>
    <font>
      <b/>
      <sz val="14"/>
      <color rgb="FFFF0000"/>
      <name val="Consolas"/>
      <family val="2"/>
    </font>
    <font>
      <sz val="9"/>
      <name val="Consolas"/>
      <family val="2"/>
    </font>
    <font>
      <sz val="8"/>
      <name val="Consolas"/>
      <family val="2"/>
    </font>
    <font>
      <sz val="10"/>
      <color rgb="FFFF0000"/>
      <name val="Consolas"/>
      <family val="2"/>
    </font>
    <font>
      <u/>
      <sz val="9"/>
      <color theme="10"/>
      <name val="Consolas"/>
      <family val="2"/>
    </font>
    <font>
      <vertAlign val="subscript"/>
      <sz val="10"/>
      <name val="Consolas"/>
      <family val="2"/>
    </font>
    <font>
      <vertAlign val="subscript"/>
      <sz val="10"/>
      <color rgb="FFFF0000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4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87">
    <xf numFmtId="0" fontId="0" fillId="0" borderId="0" xfId="0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6" fillId="3" borderId="0" xfId="0" applyFont="1" applyFill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164" fontId="6" fillId="3" borderId="0" xfId="0" applyNumberFormat="1" applyFont="1" applyFill="1" applyAlignment="1">
      <alignment horizontal="center"/>
    </xf>
    <xf numFmtId="0" fontId="7" fillId="0" borderId="0" xfId="0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6" fillId="6" borderId="0" xfId="0" applyFont="1" applyFill="1" applyAlignment="1">
      <alignment horizontal="left"/>
    </xf>
    <xf numFmtId="0" fontId="6" fillId="6" borderId="0" xfId="0" applyFont="1" applyFill="1" applyAlignment="1">
      <alignment horizontal="center"/>
    </xf>
    <xf numFmtId="164" fontId="6" fillId="4" borderId="9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166" fontId="6" fillId="0" borderId="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166" fontId="6" fillId="0" borderId="0" xfId="0" applyNumberFormat="1" applyFont="1"/>
    <xf numFmtId="0" fontId="8" fillId="0" borderId="0" xfId="1" applyFont="1"/>
    <xf numFmtId="0" fontId="6" fillId="0" borderId="0" xfId="1" applyFont="1" applyAlignment="1">
      <alignment horizontal="center"/>
    </xf>
    <xf numFmtId="0" fontId="6" fillId="0" borderId="0" xfId="1" applyFont="1"/>
    <xf numFmtId="0" fontId="7" fillId="0" borderId="0" xfId="1" applyFont="1" applyAlignment="1">
      <alignment horizontal="left"/>
    </xf>
    <xf numFmtId="0" fontId="6" fillId="0" borderId="5" xfId="1" applyFont="1" applyBorder="1" applyAlignment="1">
      <alignment horizontal="center"/>
    </xf>
    <xf numFmtId="166" fontId="6" fillId="0" borderId="0" xfId="1" applyNumberFormat="1" applyFont="1" applyAlignment="1">
      <alignment horizontal="center"/>
    </xf>
    <xf numFmtId="164" fontId="6" fillId="0" borderId="0" xfId="1" applyNumberFormat="1" applyFont="1" applyAlignment="1">
      <alignment horizontal="center"/>
    </xf>
    <xf numFmtId="0" fontId="6" fillId="3" borderId="0" xfId="1" applyFont="1" applyFill="1" applyAlignment="1">
      <alignment horizontal="center"/>
    </xf>
    <xf numFmtId="164" fontId="6" fillId="3" borderId="0" xfId="1" applyNumberFormat="1" applyFont="1" applyFill="1" applyAlignment="1">
      <alignment horizontal="center"/>
    </xf>
    <xf numFmtId="164" fontId="6" fillId="4" borderId="15" xfId="1" applyNumberFormat="1" applyFont="1" applyFill="1" applyBorder="1" applyAlignment="1">
      <alignment horizontal="center"/>
    </xf>
    <xf numFmtId="165" fontId="6" fillId="0" borderId="0" xfId="1" applyNumberFormat="1" applyFont="1" applyAlignment="1">
      <alignment horizontal="center"/>
    </xf>
    <xf numFmtId="0" fontId="7" fillId="2" borderId="1" xfId="1" applyFont="1" applyFill="1" applyBorder="1" applyAlignment="1">
      <alignment horizontal="left"/>
    </xf>
    <xf numFmtId="0" fontId="7" fillId="2" borderId="2" xfId="1" applyFont="1" applyFill="1" applyBorder="1" applyAlignment="1">
      <alignment horizontal="left"/>
    </xf>
    <xf numFmtId="0" fontId="6" fillId="2" borderId="1" xfId="1" applyFont="1" applyFill="1" applyBorder="1"/>
    <xf numFmtId="0" fontId="6" fillId="2" borderId="2" xfId="1" applyFont="1" applyFill="1" applyBorder="1"/>
    <xf numFmtId="0" fontId="6" fillId="2" borderId="3" xfId="1" applyFont="1" applyFill="1" applyBorder="1"/>
    <xf numFmtId="0" fontId="6" fillId="2" borderId="4" xfId="1" applyFont="1" applyFill="1" applyBorder="1"/>
    <xf numFmtId="0" fontId="6" fillId="2" borderId="6" xfId="1" applyFont="1" applyFill="1" applyBorder="1"/>
    <xf numFmtId="0" fontId="6" fillId="2" borderId="7" xfId="1" applyFont="1" applyFill="1" applyBorder="1"/>
    <xf numFmtId="0" fontId="10" fillId="0" borderId="0" xfId="0" applyFont="1"/>
    <xf numFmtId="0" fontId="11" fillId="0" borderId="0" xfId="0" applyFont="1"/>
    <xf numFmtId="0" fontId="11" fillId="5" borderId="0" xfId="0" applyFont="1" applyFill="1"/>
    <xf numFmtId="0" fontId="7" fillId="0" borderId="0" xfId="1" applyFont="1"/>
    <xf numFmtId="0" fontId="12" fillId="0" borderId="0" xfId="1" applyFont="1" applyAlignment="1">
      <alignment horizontal="center"/>
    </xf>
    <xf numFmtId="0" fontId="6" fillId="0" borderId="0" xfId="1" applyFont="1" applyAlignment="1">
      <alignment horizontal="right"/>
    </xf>
    <xf numFmtId="0" fontId="6" fillId="0" borderId="0" xfId="1" applyFont="1" applyAlignment="1">
      <alignment horizontal="left"/>
    </xf>
    <xf numFmtId="167" fontId="6" fillId="4" borderId="8" xfId="1" applyNumberFormat="1" applyFont="1" applyFill="1" applyBorder="1" applyAlignment="1">
      <alignment horizontal="center"/>
    </xf>
    <xf numFmtId="167" fontId="6" fillId="4" borderId="9" xfId="1" applyNumberFormat="1" applyFont="1" applyFill="1" applyBorder="1" applyAlignment="1">
      <alignment horizontal="center"/>
    </xf>
    <xf numFmtId="0" fontId="6" fillId="0" borderId="3" xfId="1" applyFont="1" applyBorder="1" applyAlignment="1">
      <alignment horizontal="center"/>
    </xf>
    <xf numFmtId="0" fontId="6" fillId="0" borderId="4" xfId="1" applyFont="1" applyBorder="1" applyAlignment="1">
      <alignment horizontal="center"/>
    </xf>
    <xf numFmtId="0" fontId="6" fillId="0" borderId="6" xfId="1" applyFont="1" applyBorder="1" applyAlignment="1">
      <alignment horizontal="center"/>
    </xf>
    <xf numFmtId="0" fontId="6" fillId="0" borderId="7" xfId="1" applyFont="1" applyBorder="1" applyAlignment="1">
      <alignment horizontal="center"/>
    </xf>
    <xf numFmtId="168" fontId="6" fillId="0" borderId="3" xfId="1" applyNumberFormat="1" applyFont="1" applyBorder="1" applyAlignment="1">
      <alignment horizontal="center"/>
    </xf>
    <xf numFmtId="168" fontId="6" fillId="0" borderId="0" xfId="1" applyNumberFormat="1" applyFont="1" applyAlignment="1">
      <alignment horizontal="center"/>
    </xf>
    <xf numFmtId="168" fontId="6" fillId="0" borderId="4" xfId="1" applyNumberFormat="1" applyFont="1" applyBorder="1" applyAlignment="1">
      <alignment horizontal="center"/>
    </xf>
    <xf numFmtId="0" fontId="13" fillId="0" borderId="0" xfId="2" applyFont="1"/>
    <xf numFmtId="167" fontId="6" fillId="0" borderId="0" xfId="1" applyNumberFormat="1" applyFont="1" applyAlignment="1">
      <alignment horizontal="center"/>
    </xf>
    <xf numFmtId="0" fontId="7" fillId="0" borderId="0" xfId="1" applyFont="1" applyAlignment="1">
      <alignment horizontal="center"/>
    </xf>
    <xf numFmtId="0" fontId="6" fillId="0" borderId="1" xfId="1" applyFont="1" applyBorder="1"/>
    <xf numFmtId="0" fontId="6" fillId="0" borderId="25" xfId="1" applyFont="1" applyBorder="1" applyAlignment="1">
      <alignment horizontal="center"/>
    </xf>
    <xf numFmtId="0" fontId="6" fillId="0" borderId="23" xfId="1" applyFont="1" applyBorder="1"/>
    <xf numFmtId="0" fontId="6" fillId="0" borderId="22" xfId="1" applyFont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0" borderId="21" xfId="1" applyFont="1" applyBorder="1" applyAlignment="1">
      <alignment horizontal="center"/>
    </xf>
    <xf numFmtId="0" fontId="6" fillId="0" borderId="3" xfId="1" applyFont="1" applyBorder="1" applyAlignment="1">
      <alignment horizontal="right"/>
    </xf>
    <xf numFmtId="0" fontId="6" fillId="4" borderId="20" xfId="1" applyFont="1" applyFill="1" applyBorder="1" applyAlignment="1">
      <alignment horizontal="center"/>
    </xf>
    <xf numFmtId="0" fontId="6" fillId="4" borderId="0" xfId="1" applyFont="1" applyFill="1"/>
    <xf numFmtId="0" fontId="6" fillId="4" borderId="4" xfId="1" applyFont="1" applyFill="1" applyBorder="1"/>
    <xf numFmtId="0" fontId="12" fillId="0" borderId="3" xfId="1" applyFont="1" applyBorder="1" applyAlignment="1">
      <alignment horizontal="right"/>
    </xf>
    <xf numFmtId="0" fontId="12" fillId="4" borderId="20" xfId="1" applyFont="1" applyFill="1" applyBorder="1" applyAlignment="1">
      <alignment horizontal="center"/>
    </xf>
    <xf numFmtId="3" fontId="6" fillId="3" borderId="0" xfId="1" applyNumberFormat="1" applyFont="1" applyFill="1" applyAlignment="1">
      <alignment horizontal="center"/>
    </xf>
    <xf numFmtId="0" fontId="6" fillId="0" borderId="6" xfId="1" applyFont="1" applyBorder="1" applyAlignment="1">
      <alignment horizontal="right"/>
    </xf>
    <xf numFmtId="0" fontId="6" fillId="4" borderId="19" xfId="1" applyFont="1" applyFill="1" applyBorder="1" applyAlignment="1">
      <alignment horizontal="center"/>
    </xf>
    <xf numFmtId="0" fontId="6" fillId="4" borderId="5" xfId="1" applyFont="1" applyFill="1" applyBorder="1"/>
    <xf numFmtId="0" fontId="6" fillId="4" borderId="7" xfId="1" applyFont="1" applyFill="1" applyBorder="1"/>
    <xf numFmtId="0" fontId="12" fillId="0" borderId="0" xfId="1" applyFont="1" applyAlignment="1">
      <alignment horizontal="right"/>
    </xf>
    <xf numFmtId="0" fontId="12" fillId="3" borderId="0" xfId="1" applyFont="1" applyFill="1" applyAlignment="1">
      <alignment horizontal="center"/>
    </xf>
    <xf numFmtId="0" fontId="6" fillId="0" borderId="24" xfId="1" applyFont="1" applyBorder="1" applyAlignment="1">
      <alignment horizontal="center"/>
    </xf>
    <xf numFmtId="0" fontId="6" fillId="0" borderId="2" xfId="1" applyFont="1" applyBorder="1" applyAlignment="1">
      <alignment horizontal="center"/>
    </xf>
  </cellXfs>
  <cellStyles count="4">
    <cellStyle name="Hyperlink" xfId="2" builtinId="8"/>
    <cellStyle name="Normal" xfId="0" builtinId="0"/>
    <cellStyle name="Normal 2" xfId="1" xr:uid="{DF5646CC-03CE-664B-8184-FBC14F016778}"/>
    <cellStyle name="Normal 3" xfId="3" xr:uid="{65880F4C-A9A9-EF42-B0D3-151BCDB020ED}"/>
  </cellStyles>
  <dxfs count="4"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784558</xdr:colOff>
      <xdr:row>19</xdr:row>
      <xdr:rowOff>25401</xdr:rowOff>
    </xdr:from>
    <xdr:to>
      <xdr:col>14</xdr:col>
      <xdr:colOff>622196</xdr:colOff>
      <xdr:row>41</xdr:row>
      <xdr:rowOff>158412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D5757DE-91DC-744D-8EE1-5D08934C0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7952" y="3229529"/>
          <a:ext cx="4696262" cy="3977965"/>
        </a:xfrm>
        <a:prstGeom prst="rect">
          <a:avLst/>
        </a:prstGeom>
      </xdr:spPr>
    </xdr:pic>
    <xdr:clientData/>
  </xdr:twoCellAnchor>
  <xdr:twoCellAnchor editAs="oneCell">
    <xdr:from>
      <xdr:col>8</xdr:col>
      <xdr:colOff>776593</xdr:colOff>
      <xdr:row>43</xdr:row>
      <xdr:rowOff>161340</xdr:rowOff>
    </xdr:from>
    <xdr:to>
      <xdr:col>11</xdr:col>
      <xdr:colOff>648392</xdr:colOff>
      <xdr:row>66</xdr:row>
      <xdr:rowOff>121055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F9F738-6942-5246-9315-0E4B634E4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9987" y="7280331"/>
          <a:ext cx="2283634" cy="3979439"/>
        </a:xfrm>
        <a:prstGeom prst="rect">
          <a:avLst/>
        </a:prstGeom>
      </xdr:spPr>
    </xdr:pic>
    <xdr:clientData/>
  </xdr:twoCellAnchor>
  <xdr:twoCellAnchor>
    <xdr:from>
      <xdr:col>4</xdr:col>
      <xdr:colOff>293077</xdr:colOff>
      <xdr:row>1</xdr:row>
      <xdr:rowOff>146537</xdr:rowOff>
    </xdr:from>
    <xdr:to>
      <xdr:col>8</xdr:col>
      <xdr:colOff>724551</xdr:colOff>
      <xdr:row>4</xdr:row>
      <xdr:rowOff>130257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1F248BB-1743-7A35-5D27-8E360F12A27C}"/>
            </a:ext>
          </a:extLst>
        </xdr:cNvPr>
        <xdr:cNvSpPr txBox="1"/>
      </xdr:nvSpPr>
      <xdr:spPr>
        <a:xfrm>
          <a:off x="2995898" y="366345"/>
          <a:ext cx="2751666" cy="4884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Consolas" panose="020B0609020204030204" pitchFamily="49" charset="0"/>
              <a:cs typeface="Consolas" panose="020B0609020204030204" pitchFamily="49" charset="0"/>
            </a:rPr>
            <a:t>Pressing the F9 key (or any change) causes Excel to recalculate the entire spreadsheet.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701274</xdr:colOff>
      <xdr:row>0</xdr:row>
      <xdr:rowOff>58082</xdr:rowOff>
    </xdr:from>
    <xdr:to>
      <xdr:col>12</xdr:col>
      <xdr:colOff>1746250</xdr:colOff>
      <xdr:row>5</xdr:row>
      <xdr:rowOff>133684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FAEECE-57FD-C847-8EC5-816A9BFDF77A}"/>
            </a:ext>
          </a:extLst>
        </xdr:cNvPr>
        <xdr:cNvSpPr txBox="1"/>
      </xdr:nvSpPr>
      <xdr:spPr>
        <a:xfrm>
          <a:off x="8816574" y="58082"/>
          <a:ext cx="2200676" cy="1040802"/>
        </a:xfrm>
        <a:prstGeom prst="rect">
          <a:avLst/>
        </a:prstGeom>
        <a:ln w="12700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Lower bound</a:t>
          </a:r>
          <a:r>
            <a:rPr lang="en-US" sz="900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of the range for VLOOKUP. </a:t>
          </a:r>
        </a:p>
        <a:p>
          <a:endParaRPr lang="en-US" sz="900" baseline="0">
            <a:solidFill>
              <a:srgbClr val="FF0000"/>
            </a:solidFill>
            <a:latin typeface="Consolas" panose="020B0609020204030204" pitchFamily="49" charset="0"/>
            <a:cs typeface="Consolas" panose="020B0609020204030204" pitchFamily="49" charset="0"/>
          </a:endParaRPr>
        </a:p>
        <a:p>
          <a:r>
            <a:rPr lang="en-US" sz="9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Starting point of the Cumulitavie Probabiblity of breakdown </a:t>
          </a:r>
          <a:r>
            <a:rPr lang="en-US" sz="900" b="1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before</a:t>
          </a:r>
          <a:r>
            <a:rPr lang="en-US" sz="9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the number of days in column K.</a:t>
          </a:r>
        </a:p>
      </xdr:txBody>
    </xdr:sp>
    <xdr:clientData/>
  </xdr:twoCellAnchor>
  <xdr:twoCellAnchor editAs="oneCell">
    <xdr:from>
      <xdr:col>7</xdr:col>
      <xdr:colOff>206019</xdr:colOff>
      <xdr:row>12</xdr:row>
      <xdr:rowOff>14623</xdr:rowOff>
    </xdr:from>
    <xdr:to>
      <xdr:col>12</xdr:col>
      <xdr:colOff>907508</xdr:colOff>
      <xdr:row>20</xdr:row>
      <xdr:rowOff>62060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7E30681-5CA7-6C41-AD4B-83D19E99B6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1799" y="2033409"/>
          <a:ext cx="4412524" cy="1482949"/>
        </a:xfrm>
        <a:prstGeom prst="rect">
          <a:avLst/>
        </a:prstGeom>
      </xdr:spPr>
    </xdr:pic>
    <xdr:clientData/>
  </xdr:twoCellAnchor>
  <xdr:twoCellAnchor editAs="oneCell">
    <xdr:from>
      <xdr:col>7</xdr:col>
      <xdr:colOff>240383</xdr:colOff>
      <xdr:row>21</xdr:row>
      <xdr:rowOff>42871</xdr:rowOff>
    </xdr:from>
    <xdr:to>
      <xdr:col>12</xdr:col>
      <xdr:colOff>318444</xdr:colOff>
      <xdr:row>30</xdr:row>
      <xdr:rowOff>78597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E86AD57-06F1-6C49-8100-965207A73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52536" y="3632385"/>
          <a:ext cx="3780225" cy="1711421"/>
        </a:xfrm>
        <a:prstGeom prst="rect">
          <a:avLst/>
        </a:prstGeom>
      </xdr:spPr>
    </xdr:pic>
    <xdr:clientData/>
  </xdr:twoCellAnchor>
  <xdr:twoCellAnchor editAs="oneCell">
    <xdr:from>
      <xdr:col>11</xdr:col>
      <xdr:colOff>7316</xdr:colOff>
      <xdr:row>5</xdr:row>
      <xdr:rowOff>174755</xdr:rowOff>
    </xdr:from>
    <xdr:to>
      <xdr:col>12</xdr:col>
      <xdr:colOff>1770928</xdr:colOff>
      <xdr:row>9</xdr:row>
      <xdr:rowOff>85038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F7716B9-15DB-6A40-866B-E09FF49E2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30474" y="1148740"/>
          <a:ext cx="2212409" cy="635997"/>
        </a:xfrm>
        <a:prstGeom prst="rect">
          <a:avLst/>
        </a:prstGeom>
      </xdr:spPr>
    </xdr:pic>
    <xdr:clientData/>
  </xdr:twoCellAnchor>
  <xdr:twoCellAnchor>
    <xdr:from>
      <xdr:col>7</xdr:col>
      <xdr:colOff>351276</xdr:colOff>
      <xdr:row>35</xdr:row>
      <xdr:rowOff>2</xdr:rowOff>
    </xdr:from>
    <xdr:to>
      <xdr:col>11</xdr:col>
      <xdr:colOff>396311</xdr:colOff>
      <xdr:row>37</xdr:row>
      <xdr:rowOff>108086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B8C9FBDE-11EB-9E4A-8B31-ECE960445589}"/>
            </a:ext>
          </a:extLst>
        </xdr:cNvPr>
        <xdr:cNvSpPr txBox="1"/>
      </xdr:nvSpPr>
      <xdr:spPr>
        <a:xfrm>
          <a:off x="5863616" y="6395037"/>
          <a:ext cx="3359645" cy="468368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After this</a:t>
          </a:r>
          <a:r>
            <a:rPr lang="en-US" sz="1000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(corrective Maintenance), go back to </a:t>
          </a:r>
          <a:r>
            <a:rPr lang="en-US" sz="1000" b="1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slides</a:t>
          </a:r>
          <a:r>
            <a:rPr lang="en-US" sz="1000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for preventive maintenance.</a:t>
          </a:r>
          <a:endParaRPr lang="en-US" sz="1000">
            <a:solidFill>
              <a:srgbClr val="FF0000"/>
            </a:solidFill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9</xdr:col>
      <xdr:colOff>477444</xdr:colOff>
      <xdr:row>2</xdr:row>
      <xdr:rowOff>159383</xdr:rowOff>
    </xdr:from>
    <xdr:to>
      <xdr:col>10</xdr:col>
      <xdr:colOff>701274</xdr:colOff>
      <xdr:row>4</xdr:row>
      <xdr:rowOff>133683</xdr:rowOff>
    </xdr:to>
    <xdr:cxnSp macro="">
      <xdr:nvCxnSpPr>
        <xdr:cNvPr id="12" name="Curved Connector 11">
          <a:extLst>
            <a:ext uri="{FF2B5EF4-FFF2-40B4-BE49-F238E27FC236}">
              <a16:creationId xmlns:a16="http://schemas.microsoft.com/office/drawing/2014/main" id="{C0F649B5-5243-43EC-DF68-C29517B19FEF}"/>
            </a:ext>
          </a:extLst>
        </xdr:cNvPr>
        <xdr:cNvCxnSpPr>
          <a:stCxn id="2" idx="1"/>
        </xdr:cNvCxnSpPr>
      </xdr:nvCxnSpPr>
      <xdr:spPr>
        <a:xfrm rot="10800000" flipV="1">
          <a:off x="7678344" y="578483"/>
          <a:ext cx="1138230" cy="342600"/>
        </a:xfrm>
        <a:prstGeom prst="curvedConnector3">
          <a:avLst>
            <a:gd name="adj1" fmla="val 50000"/>
          </a:avLst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19243</xdr:colOff>
      <xdr:row>14</xdr:row>
      <xdr:rowOff>171102</xdr:rowOff>
    </xdr:from>
    <xdr:to>
      <xdr:col>13</xdr:col>
      <xdr:colOff>307879</xdr:colOff>
      <xdr:row>22</xdr:row>
      <xdr:rowOff>93813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06F460-377E-2048-9439-D35510E42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81819" y="2557163"/>
          <a:ext cx="3338560" cy="1327408"/>
        </a:xfrm>
        <a:prstGeom prst="rect">
          <a:avLst/>
        </a:prstGeom>
      </xdr:spPr>
    </xdr:pic>
    <xdr:clientData/>
  </xdr:twoCellAnchor>
  <xdr:twoCellAnchor editAs="oneCell">
    <xdr:from>
      <xdr:col>10</xdr:col>
      <xdr:colOff>9622</xdr:colOff>
      <xdr:row>22</xdr:row>
      <xdr:rowOff>132952</xdr:rowOff>
    </xdr:from>
    <xdr:to>
      <xdr:col>13</xdr:col>
      <xdr:colOff>250152</xdr:colOff>
      <xdr:row>31</xdr:row>
      <xdr:rowOff>7678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7C6F784-FC1C-E343-B436-2A78C419F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72198" y="3837119"/>
          <a:ext cx="3290454" cy="1433363"/>
        </a:xfrm>
        <a:prstGeom prst="rect">
          <a:avLst/>
        </a:prstGeom>
      </xdr:spPr>
    </xdr:pic>
    <xdr:clientData/>
  </xdr:twoCellAnchor>
  <xdr:twoCellAnchor>
    <xdr:from>
      <xdr:col>1</xdr:col>
      <xdr:colOff>621338</xdr:colOff>
      <xdr:row>36</xdr:row>
      <xdr:rowOff>9622</xdr:rowOff>
    </xdr:from>
    <xdr:to>
      <xdr:col>8</xdr:col>
      <xdr:colOff>432955</xdr:colOff>
      <xdr:row>38</xdr:row>
      <xdr:rowOff>105833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21388E5-A187-8544-A177-3FB45BDDC356}"/>
            </a:ext>
          </a:extLst>
        </xdr:cNvPr>
        <xdr:cNvSpPr txBox="1"/>
      </xdr:nvSpPr>
      <xdr:spPr>
        <a:xfrm>
          <a:off x="833005" y="6426970"/>
          <a:ext cx="6363662" cy="442575"/>
        </a:xfrm>
        <a:prstGeom prst="rect">
          <a:avLst/>
        </a:prstGeom>
        <a:ln w="12700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Replacement cycle:</a:t>
          </a:r>
          <a:r>
            <a:rPr lang="en-US" sz="1000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</a:t>
          </a:r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the time from when a replacement of a motor begins until just before another replacement is needed</a:t>
          </a:r>
          <a:r>
            <a:rPr lang="en-US" sz="1000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(either breakdown or replacement).</a:t>
          </a:r>
          <a:endParaRPr lang="en-US" sz="1000">
            <a:solidFill>
              <a:srgbClr val="FF0000"/>
            </a:solidFill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1</xdr:col>
      <xdr:colOff>346364</xdr:colOff>
      <xdr:row>34</xdr:row>
      <xdr:rowOff>76971</xdr:rowOff>
    </xdr:from>
    <xdr:to>
      <xdr:col>1</xdr:col>
      <xdr:colOff>621339</xdr:colOff>
      <xdr:row>37</xdr:row>
      <xdr:rowOff>57729</xdr:rowOff>
    </xdr:to>
    <xdr:cxnSp macro="">
      <xdr:nvCxnSpPr>
        <xdr:cNvPr id="8" name="Curved Connector 7">
          <a:extLst>
            <a:ext uri="{FF2B5EF4-FFF2-40B4-BE49-F238E27FC236}">
              <a16:creationId xmlns:a16="http://schemas.microsoft.com/office/drawing/2014/main" id="{D568E9A1-D06C-B908-71D8-7F962616EB5F}"/>
            </a:ext>
          </a:extLst>
        </xdr:cNvPr>
        <xdr:cNvCxnSpPr>
          <a:stCxn id="4" idx="1"/>
        </xdr:cNvCxnSpPr>
      </xdr:nvCxnSpPr>
      <xdr:spPr>
        <a:xfrm rot="10800000">
          <a:off x="558031" y="6147956"/>
          <a:ext cx="274975" cy="500303"/>
        </a:xfrm>
        <a:prstGeom prst="curvedConnector2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15</xdr:row>
      <xdr:rowOff>0</xdr:rowOff>
    </xdr:from>
    <xdr:to>
      <xdr:col>13</xdr:col>
      <xdr:colOff>300720</xdr:colOff>
      <xdr:row>22</xdr:row>
      <xdr:rowOff>47248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1485146-0DEE-1943-8339-3CD308C04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6880" y="2590800"/>
          <a:ext cx="3338560" cy="1327408"/>
        </a:xfrm>
        <a:prstGeom prst="rect">
          <a:avLst/>
        </a:prstGeom>
      </xdr:spPr>
    </xdr:pic>
    <xdr:clientData/>
  </xdr:twoCellAnchor>
  <xdr:twoCellAnchor editAs="oneCell">
    <xdr:from>
      <xdr:col>9</xdr:col>
      <xdr:colOff>342207</xdr:colOff>
      <xdr:row>23</xdr:row>
      <xdr:rowOff>50058</xdr:rowOff>
    </xdr:from>
    <xdr:to>
      <xdr:col>13</xdr:col>
      <xdr:colOff>239221</xdr:colOff>
      <xdr:row>31</xdr:row>
      <xdr:rowOff>20381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96BB03F-5CB1-D74F-B916-270550F24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43487" y="3941338"/>
          <a:ext cx="3290454" cy="143336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0</xdr:row>
      <xdr:rowOff>50800</xdr:rowOff>
    </xdr:from>
    <xdr:to>
      <xdr:col>2</xdr:col>
      <xdr:colOff>1181100</xdr:colOff>
      <xdr:row>2</xdr:row>
      <xdr:rowOff>133387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466DFAC-B4F8-D04D-B6F3-5439F822A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50800"/>
          <a:ext cx="1993900" cy="361987"/>
        </a:xfrm>
        <a:prstGeom prst="rect">
          <a:avLst/>
        </a:prstGeom>
      </xdr:spPr>
    </xdr:pic>
    <xdr:clientData/>
  </xdr:twoCellAnchor>
  <xdr:twoCellAnchor editAs="oneCell">
    <xdr:from>
      <xdr:col>3</xdr:col>
      <xdr:colOff>196850</xdr:colOff>
      <xdr:row>1</xdr:row>
      <xdr:rowOff>19050</xdr:rowOff>
    </xdr:from>
    <xdr:to>
      <xdr:col>6</xdr:col>
      <xdr:colOff>749300</xdr:colOff>
      <xdr:row>14</xdr:row>
      <xdr:rowOff>66919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68BE2D-EAFE-95F1-E234-A568F82BE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6350" y="158750"/>
          <a:ext cx="3028950" cy="1863969"/>
        </a:xfrm>
        <a:prstGeom prst="rect">
          <a:avLst/>
        </a:prstGeom>
      </xdr:spPr>
    </xdr:pic>
    <xdr:clientData/>
  </xdr:twoCellAnchor>
  <xdr:twoCellAnchor>
    <xdr:from>
      <xdr:col>1</xdr:col>
      <xdr:colOff>744874</xdr:colOff>
      <xdr:row>26</xdr:row>
      <xdr:rowOff>88515</xdr:rowOff>
    </xdr:from>
    <xdr:to>
      <xdr:col>8</xdr:col>
      <xdr:colOff>273050</xdr:colOff>
      <xdr:row>28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4EFDB2A-4C78-0640-AB0A-F3082CF61498}"/>
            </a:ext>
          </a:extLst>
        </xdr:cNvPr>
        <xdr:cNvSpPr txBox="1"/>
      </xdr:nvSpPr>
      <xdr:spPr>
        <a:xfrm>
          <a:off x="1570374" y="3720715"/>
          <a:ext cx="6449676" cy="254386"/>
        </a:xfrm>
        <a:prstGeom prst="rect">
          <a:avLst/>
        </a:prstGeom>
        <a:ln w="12700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A Histogram will show that these numbers are from a normal distribution.</a:t>
          </a:r>
          <a:r>
            <a:rPr lang="en-US" sz="800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Note: you need a </a:t>
          </a:r>
          <a:r>
            <a:rPr lang="en-US" sz="8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large number e.g. 10k</a:t>
          </a:r>
        </a:p>
      </xdr:txBody>
    </xdr:sp>
    <xdr:clientData/>
  </xdr:twoCellAnchor>
  <xdr:twoCellAnchor>
    <xdr:from>
      <xdr:col>1</xdr:col>
      <xdr:colOff>469932</xdr:colOff>
      <xdr:row>24</xdr:row>
      <xdr:rowOff>88932</xdr:rowOff>
    </xdr:from>
    <xdr:to>
      <xdr:col>1</xdr:col>
      <xdr:colOff>744875</xdr:colOff>
      <xdr:row>27</xdr:row>
      <xdr:rowOff>76009</xdr:rowOff>
    </xdr:to>
    <xdr:cxnSp macro="">
      <xdr:nvCxnSpPr>
        <xdr:cNvPr id="6" name="Curved Connector 5">
          <a:extLst>
            <a:ext uri="{FF2B5EF4-FFF2-40B4-BE49-F238E27FC236}">
              <a16:creationId xmlns:a16="http://schemas.microsoft.com/office/drawing/2014/main" id="{3263EEDE-4B06-AD49-ACD7-56E2ABEC17C2}"/>
            </a:ext>
          </a:extLst>
        </xdr:cNvPr>
        <xdr:cNvCxnSpPr>
          <a:stCxn id="5" idx="1"/>
        </xdr:cNvCxnSpPr>
      </xdr:nvCxnSpPr>
      <xdr:spPr>
        <a:xfrm rot="10800000">
          <a:off x="1295432" y="3441732"/>
          <a:ext cx="274943" cy="406177"/>
        </a:xfrm>
        <a:prstGeom prst="curvedConnector2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32755</xdr:colOff>
      <xdr:row>22</xdr:row>
      <xdr:rowOff>82550</xdr:rowOff>
    </xdr:from>
    <xdr:to>
      <xdr:col>12</xdr:col>
      <xdr:colOff>56988</xdr:colOff>
      <xdr:row>31</xdr:row>
      <xdr:rowOff>56404</xdr:rowOff>
    </xdr:to>
    <xdr:pic>
      <xdr:nvPicPr>
        <xdr:cNvPr id="5" name="Picture 4" descr="Continuous uniform distribution - Wikipedia">
          <a:extLst>
            <a:ext uri="{FF2B5EF4-FFF2-40B4-BE49-F238E27FC236}">
              <a16:creationId xmlns:a16="http://schemas.microsoft.com/office/drawing/2014/main" id="{6634911A-8C34-0B42-B808-24ECB8785A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0383" y="4112358"/>
          <a:ext cx="2507246" cy="1585777"/>
        </a:xfrm>
        <a:prstGeom prst="rect">
          <a:avLst/>
        </a:prstGeom>
        <a:solidFill>
          <a:schemeClr val="lt1"/>
        </a:solidFill>
      </xdr:spPr>
    </xdr:pic>
    <xdr:clientData/>
  </xdr:twoCellAnchor>
  <xdr:twoCellAnchor editAs="oneCell">
    <xdr:from>
      <xdr:col>9</xdr:col>
      <xdr:colOff>440265</xdr:colOff>
      <xdr:row>1</xdr:row>
      <xdr:rowOff>42703</xdr:rowOff>
    </xdr:from>
    <xdr:to>
      <xdr:col>13</xdr:col>
      <xdr:colOff>737335</xdr:colOff>
      <xdr:row>8</xdr:row>
      <xdr:rowOff>25400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5DFD398-BE41-C545-A8CD-28D7641344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52265" y="288236"/>
          <a:ext cx="4073204" cy="1227297"/>
        </a:xfrm>
        <a:prstGeom prst="rect">
          <a:avLst/>
        </a:prstGeom>
      </xdr:spPr>
    </xdr:pic>
    <xdr:clientData/>
  </xdr:twoCellAnchor>
  <xdr:twoCellAnchor editAs="oneCell">
    <xdr:from>
      <xdr:col>10</xdr:col>
      <xdr:colOff>8466</xdr:colOff>
      <xdr:row>9</xdr:row>
      <xdr:rowOff>3390</xdr:rowOff>
    </xdr:from>
    <xdr:to>
      <xdr:col>14</xdr:col>
      <xdr:colOff>118532</xdr:colOff>
      <xdr:row>20</xdr:row>
      <xdr:rowOff>58687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43E4935-888C-BEEC-494D-0B4BA501F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69199" y="1688257"/>
          <a:ext cx="4267199" cy="2044963"/>
        </a:xfrm>
        <a:prstGeom prst="rect">
          <a:avLst/>
        </a:prstGeom>
      </xdr:spPr>
    </xdr:pic>
    <xdr:clientData/>
  </xdr:twoCellAnchor>
  <xdr:twoCellAnchor>
    <xdr:from>
      <xdr:col>2</xdr:col>
      <xdr:colOff>42334</xdr:colOff>
      <xdr:row>13</xdr:row>
      <xdr:rowOff>0</xdr:rowOff>
    </xdr:from>
    <xdr:to>
      <xdr:col>2</xdr:col>
      <xdr:colOff>990600</xdr:colOff>
      <xdr:row>14</xdr:row>
      <xdr:rowOff>169333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DA86694E-6A7E-3097-BF59-0CDFB5884BDA}"/>
            </a:ext>
          </a:extLst>
        </xdr:cNvPr>
        <xdr:cNvSpPr/>
      </xdr:nvSpPr>
      <xdr:spPr>
        <a:xfrm>
          <a:off x="872067" y="2413000"/>
          <a:ext cx="948266" cy="347133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516467</xdr:colOff>
      <xdr:row>3</xdr:row>
      <xdr:rowOff>160380</xdr:rowOff>
    </xdr:from>
    <xdr:to>
      <xdr:col>4</xdr:col>
      <xdr:colOff>619697</xdr:colOff>
      <xdr:row>13</xdr:row>
      <xdr:rowOff>1</xdr:rowOff>
    </xdr:to>
    <xdr:cxnSp macro="">
      <xdr:nvCxnSpPr>
        <xdr:cNvPr id="13" name="Curved Connector 12">
          <a:extLst>
            <a:ext uri="{FF2B5EF4-FFF2-40B4-BE49-F238E27FC236}">
              <a16:creationId xmlns:a16="http://schemas.microsoft.com/office/drawing/2014/main" id="{C0A0FB14-70ED-7BA7-81B0-A7F48C485DBD}"/>
            </a:ext>
          </a:extLst>
        </xdr:cNvPr>
        <xdr:cNvCxnSpPr>
          <a:cxnSpLocks/>
          <a:stCxn id="10" idx="0"/>
          <a:endCxn id="23" idx="1"/>
        </xdr:cNvCxnSpPr>
      </xdr:nvCxnSpPr>
      <xdr:spPr>
        <a:xfrm rot="5400000" flipH="1" flipV="1">
          <a:off x="1551925" y="671717"/>
          <a:ext cx="1646929" cy="1829127"/>
        </a:xfrm>
        <a:prstGeom prst="curved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13</xdr:row>
      <xdr:rowOff>8466</xdr:rowOff>
    </xdr:from>
    <xdr:to>
      <xdr:col>6</xdr:col>
      <xdr:colOff>8466</xdr:colOff>
      <xdr:row>14</xdr:row>
      <xdr:rowOff>177799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EE40342F-07E8-AF47-97CD-1BD04A5E8FF7}"/>
            </a:ext>
          </a:extLst>
        </xdr:cNvPr>
        <xdr:cNvSpPr/>
      </xdr:nvSpPr>
      <xdr:spPr>
        <a:xfrm>
          <a:off x="3242734" y="2421466"/>
          <a:ext cx="584199" cy="347133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169660</xdr:colOff>
      <xdr:row>6</xdr:row>
      <xdr:rowOff>174382</xdr:rowOff>
    </xdr:from>
    <xdr:to>
      <xdr:col>5</xdr:col>
      <xdr:colOff>289169</xdr:colOff>
      <xdr:row>13</xdr:row>
      <xdr:rowOff>8466</xdr:rowOff>
    </xdr:to>
    <xdr:cxnSp macro="">
      <xdr:nvCxnSpPr>
        <xdr:cNvPr id="15" name="Curved Connector 14">
          <a:extLst>
            <a:ext uri="{FF2B5EF4-FFF2-40B4-BE49-F238E27FC236}">
              <a16:creationId xmlns:a16="http://schemas.microsoft.com/office/drawing/2014/main" id="{E0164106-A8F7-A14D-ACC1-5B519865FF5D}"/>
            </a:ext>
          </a:extLst>
        </xdr:cNvPr>
        <xdr:cNvCxnSpPr>
          <a:cxnSpLocks/>
          <a:stCxn id="14" idx="0"/>
          <a:endCxn id="25" idx="1"/>
        </xdr:cNvCxnSpPr>
      </xdr:nvCxnSpPr>
      <xdr:spPr>
        <a:xfrm rot="16200000" flipV="1">
          <a:off x="3031476" y="1806413"/>
          <a:ext cx="1104084" cy="119509"/>
        </a:xfrm>
        <a:prstGeom prst="curvedConnector4">
          <a:avLst>
            <a:gd name="adj1" fmla="val 42885"/>
            <a:gd name="adj2" fmla="val 433246"/>
          </a:avLst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619697</xdr:colOff>
      <xdr:row>3</xdr:row>
      <xdr:rowOff>3257</xdr:rowOff>
    </xdr:from>
    <xdr:to>
      <xdr:col>7</xdr:col>
      <xdr:colOff>105836</xdr:colOff>
      <xdr:row>4</xdr:row>
      <xdr:rowOff>138399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B23B2768-7121-B84F-B36A-C5576A895777}"/>
            </a:ext>
          </a:extLst>
        </xdr:cNvPr>
        <xdr:cNvSpPr/>
      </xdr:nvSpPr>
      <xdr:spPr>
        <a:xfrm>
          <a:off x="3289953" y="605693"/>
          <a:ext cx="1399280" cy="314244"/>
        </a:xfrm>
        <a:prstGeom prst="roundRect">
          <a:avLst/>
        </a:prstGeom>
        <a:solidFill>
          <a:schemeClr val="lt1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=-30*LN(RAND())</a:t>
          </a:r>
        </a:p>
      </xdr:txBody>
    </xdr:sp>
    <xdr:clientData/>
  </xdr:twoCellAnchor>
  <xdr:twoCellAnchor>
    <xdr:from>
      <xdr:col>5</xdr:col>
      <xdr:colOff>169660</xdr:colOff>
      <xdr:row>6</xdr:row>
      <xdr:rowOff>17260</xdr:rowOff>
    </xdr:from>
    <xdr:to>
      <xdr:col>7</xdr:col>
      <xdr:colOff>89552</xdr:colOff>
      <xdr:row>7</xdr:row>
      <xdr:rowOff>152402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D9FB370D-4452-974D-8509-B396F2C93BC2}"/>
            </a:ext>
          </a:extLst>
        </xdr:cNvPr>
        <xdr:cNvSpPr/>
      </xdr:nvSpPr>
      <xdr:spPr>
        <a:xfrm>
          <a:off x="3523763" y="1157004"/>
          <a:ext cx="1149186" cy="314244"/>
        </a:xfrm>
        <a:prstGeom prst="roundRect">
          <a:avLst/>
        </a:prstGeom>
        <a:solidFill>
          <a:schemeClr val="lt1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15+10*RAND()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2" name="AutoShape 2" descr="712ee6ff-9d2e-4cee-b5c5-e443afc55086">
          <a:extLst>
            <a:ext uri="{FF2B5EF4-FFF2-40B4-BE49-F238E27FC236}">
              <a16:creationId xmlns:a16="http://schemas.microsoft.com/office/drawing/2014/main" id="{CCD252A3-B525-0740-8708-81B5F9C8FCA0}"/>
            </a:ext>
          </a:extLst>
        </xdr:cNvPr>
        <xdr:cNvSpPr>
          <a:spLocks noChangeArrowheads="1"/>
        </xdr:cNvSpPr>
      </xdr:nvSpPr>
      <xdr:spPr bwMode="auto">
        <a:xfrm>
          <a:off x="1476375" y="3225800"/>
          <a:ext cx="568410" cy="228600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  <xdr:twoCellAnchor editAs="oneCell">
    <xdr:from>
      <xdr:col>4</xdr:col>
      <xdr:colOff>17517</xdr:colOff>
      <xdr:row>21</xdr:row>
      <xdr:rowOff>153470</xdr:rowOff>
    </xdr:from>
    <xdr:to>
      <xdr:col>10</xdr:col>
      <xdr:colOff>29779</xdr:colOff>
      <xdr:row>27</xdr:row>
      <xdr:rowOff>102368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E52F9EF-CB71-3BF8-79F6-A22FF3746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5379" y="4278780"/>
          <a:ext cx="4864538" cy="999933"/>
        </a:xfrm>
        <a:prstGeom prst="rect">
          <a:avLst/>
        </a:prstGeom>
        <a:ln w="12700">
          <a:solidFill>
            <a:srgbClr val="FF0000"/>
          </a:solidFill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2" name="AutoShape 2" descr="712ee6ff-9d2e-4cee-b5c5-e443afc55086">
          <a:extLst>
            <a:ext uri="{FF2B5EF4-FFF2-40B4-BE49-F238E27FC236}">
              <a16:creationId xmlns:a16="http://schemas.microsoft.com/office/drawing/2014/main" id="{CE53BD2B-8A28-BF4D-8452-66F8D08A1238}"/>
            </a:ext>
          </a:extLst>
        </xdr:cNvPr>
        <xdr:cNvSpPr>
          <a:spLocks noChangeArrowheads="1"/>
        </xdr:cNvSpPr>
      </xdr:nvSpPr>
      <xdr:spPr bwMode="auto">
        <a:xfrm>
          <a:off x="866775" y="3822700"/>
          <a:ext cx="1381210" cy="266700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  <xdr:twoCellAnchor>
    <xdr:from>
      <xdr:col>1</xdr:col>
      <xdr:colOff>110067</xdr:colOff>
      <xdr:row>22</xdr:row>
      <xdr:rowOff>84668</xdr:rowOff>
    </xdr:from>
    <xdr:to>
      <xdr:col>8</xdr:col>
      <xdr:colOff>17517</xdr:colOff>
      <xdr:row>35</xdr:row>
      <xdr:rowOff>35035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7D1EA33-1348-4242-8E61-1967DAC5364C}"/>
            </a:ext>
          </a:extLst>
        </xdr:cNvPr>
        <xdr:cNvSpPr txBox="1"/>
      </xdr:nvSpPr>
      <xdr:spPr>
        <a:xfrm>
          <a:off x="325967" y="4415368"/>
          <a:ext cx="7070250" cy="22617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Analyzing the option of </a:t>
          </a:r>
          <a:r>
            <a:rPr lang="en-US" b="1">
              <a:solidFill>
                <a:srgbClr val="FF0000"/>
              </a:solidFill>
            </a:rPr>
            <a:t>adding an associate. </a:t>
          </a:r>
        </a:p>
        <a:p>
          <a:r>
            <a:rPr lang="en-US"/>
            <a:t>Probability distribution of service times (the times required to give a haircut) for the associate would be the same as for Herr Cutter. </a:t>
          </a:r>
        </a:p>
        <a:p>
          <a:endParaRPr lang="en-US"/>
        </a:p>
        <a:p>
          <a:r>
            <a:rPr lang="en-US"/>
            <a:t>Based on the </a:t>
          </a:r>
          <a:r>
            <a:rPr lang="en-US" u="sng"/>
            <a:t>second rule of thumb</a:t>
          </a:r>
          <a:r>
            <a:rPr lang="en-US"/>
            <a:t> given in Section 12.2, they also are assuming that adding the associate would </a:t>
          </a:r>
        </a:p>
        <a:p>
          <a:r>
            <a:rPr lang="en-US"/>
            <a:t>(1) reduce the average waiting time before a haircut begins to </a:t>
          </a:r>
          <a:r>
            <a:rPr lang="en-US">
              <a:solidFill>
                <a:srgbClr val="FF0000"/>
              </a:solidFill>
            </a:rPr>
            <a:t>less than 10 minutes </a:t>
          </a:r>
          <a:r>
            <a:rPr lang="en-US"/>
            <a:t>and </a:t>
          </a:r>
        </a:p>
        <a:p>
          <a:r>
            <a:rPr lang="en-US"/>
            <a:t>(2) then gradually attract new business until this average waiting time reaches about 10 minutes. </a:t>
          </a:r>
        </a:p>
        <a:p>
          <a:endParaRPr lang="en-US"/>
        </a:p>
        <a:p>
          <a:r>
            <a:rPr lang="en-US"/>
            <a:t>Taverage number of customers per day determines the mean of the probability distribution of interarrival times. </a:t>
          </a:r>
        </a:p>
        <a:p>
          <a:endParaRPr lang="en-US"/>
        </a:p>
        <a:p>
          <a:r>
            <a:rPr lang="en-US"/>
            <a:t>Therefore, a number of computer simulations will be run with different means of this distribution to determine which mean would result in an average waiting time of about 10 minutes.</a:t>
          </a:r>
        </a:p>
      </xdr:txBody>
    </xdr:sp>
    <xdr:clientData/>
  </xdr:twoCellAnchor>
  <xdr:twoCellAnchor editAs="oneCell">
    <xdr:from>
      <xdr:col>1</xdr:col>
      <xdr:colOff>14890</xdr:colOff>
      <xdr:row>35</xdr:row>
      <xdr:rowOff>55111</xdr:rowOff>
    </xdr:from>
    <xdr:to>
      <xdr:col>8</xdr:col>
      <xdr:colOff>0</xdr:colOff>
      <xdr:row>46</xdr:row>
      <xdr:rowOff>35841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F01CE25-1976-DB4E-B69A-027008ECC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790" y="6697211"/>
          <a:ext cx="7147910" cy="1936530"/>
        </a:xfrm>
        <a:prstGeom prst="rect">
          <a:avLst/>
        </a:prstGeom>
        <a:ln>
          <a:solidFill>
            <a:srgbClr val="FF0000"/>
          </a:solidFill>
        </a:ln>
      </xdr:spPr>
    </xdr:pic>
    <xdr:clientData/>
  </xdr:twoCellAnchor>
  <xdr:twoCellAnchor editAs="oneCell">
    <xdr:from>
      <xdr:col>8</xdr:col>
      <xdr:colOff>113863</xdr:colOff>
      <xdr:row>16</xdr:row>
      <xdr:rowOff>4573</xdr:rowOff>
    </xdr:from>
    <xdr:to>
      <xdr:col>14</xdr:col>
      <xdr:colOff>38539</xdr:colOff>
      <xdr:row>20</xdr:row>
      <xdr:rowOff>198713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E90E493-DE02-6543-BF8B-009456B93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97380" y="3105125"/>
          <a:ext cx="4864538" cy="999933"/>
        </a:xfrm>
        <a:prstGeom prst="rect">
          <a:avLst/>
        </a:prstGeom>
        <a:ln w="12700">
          <a:solidFill>
            <a:srgbClr val="FF0000"/>
          </a:solidFill>
        </a:ln>
      </xdr:spPr>
    </xdr:pic>
    <xdr:clientData/>
  </xdr:twoCellAnchor>
  <xdr:twoCellAnchor>
    <xdr:from>
      <xdr:col>1</xdr:col>
      <xdr:colOff>753240</xdr:colOff>
      <xdr:row>43</xdr:row>
      <xdr:rowOff>61311</xdr:rowOff>
    </xdr:from>
    <xdr:to>
      <xdr:col>3</xdr:col>
      <xdr:colOff>516757</xdr:colOff>
      <xdr:row>44</xdr:row>
      <xdr:rowOff>131379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ACAE8A38-4F10-7945-AD24-9609C1260BA5}"/>
            </a:ext>
          </a:extLst>
        </xdr:cNvPr>
        <xdr:cNvSpPr/>
      </xdr:nvSpPr>
      <xdr:spPr>
        <a:xfrm>
          <a:off x="972206" y="8040414"/>
          <a:ext cx="2899103" cy="245241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youtu.be/OyREtbNfi5w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62"/>
  <sheetViews>
    <sheetView tabSelected="1" zoomScale="158" workbookViewId="0">
      <selection activeCell="H14" sqref="H14"/>
    </sheetView>
  </sheetViews>
  <sheetFormatPr baseColWidth="10" defaultColWidth="10.83203125" defaultRowHeight="14" x14ac:dyDescent="0.2"/>
  <cols>
    <col min="1" max="1" width="2.83203125" style="3" customWidth="1"/>
    <col min="2" max="2" width="6.6640625" style="2" customWidth="1"/>
    <col min="3" max="3" width="15" style="2" customWidth="1"/>
    <col min="4" max="4" width="11" style="2" customWidth="1"/>
    <col min="5" max="5" width="8.6640625" style="2" customWidth="1"/>
    <col min="6" max="6" width="8.5" style="2" customWidth="1"/>
    <col min="7" max="7" width="7.33203125" style="2" customWidth="1"/>
    <col min="8" max="8" width="5.83203125" style="2" customWidth="1"/>
    <col min="9" max="9" width="10.83203125" style="3"/>
    <col min="10" max="12" width="10.33203125" style="3" customWidth="1"/>
    <col min="13" max="16384" width="10.83203125" style="3"/>
  </cols>
  <sheetData>
    <row r="1" spans="1:12" ht="17" thickBot="1" x14ac:dyDescent="0.25">
      <c r="A1" s="1" t="s">
        <v>9</v>
      </c>
    </row>
    <row r="2" spans="1:12" ht="15" thickBot="1" x14ac:dyDescent="0.25">
      <c r="J2" s="4" t="s">
        <v>17</v>
      </c>
      <c r="K2" s="5" t="s">
        <v>18</v>
      </c>
      <c r="L2" s="6" t="s">
        <v>19</v>
      </c>
    </row>
    <row r="3" spans="1:12" x14ac:dyDescent="0.2">
      <c r="C3" s="7" t="s">
        <v>12</v>
      </c>
      <c r="D3" s="8">
        <v>3</v>
      </c>
      <c r="E3" s="3"/>
      <c r="F3" s="3"/>
      <c r="G3" s="3"/>
      <c r="J3" s="9"/>
      <c r="K3" s="2">
        <f ca="1">NumberOfFlips</f>
        <v>3</v>
      </c>
      <c r="L3" s="10">
        <f ca="1">Winnings</f>
        <v>5</v>
      </c>
    </row>
    <row r="4" spans="1:12" x14ac:dyDescent="0.2">
      <c r="C4" s="7" t="s">
        <v>13</v>
      </c>
      <c r="D4" s="11">
        <v>8</v>
      </c>
      <c r="E4" s="3"/>
      <c r="F4" s="3"/>
      <c r="G4" s="3"/>
      <c r="J4" s="9">
        <v>1</v>
      </c>
      <c r="K4" s="2">
        <f t="dataTable" ref="K4:L17" dt2D="0" dtr="0" r1="I8" ca="1"/>
        <v>3</v>
      </c>
      <c r="L4" s="10">
        <v>5</v>
      </c>
    </row>
    <row r="5" spans="1:12" x14ac:dyDescent="0.2">
      <c r="B5" s="3"/>
      <c r="C5" s="3"/>
      <c r="D5" s="3"/>
      <c r="E5" s="3"/>
      <c r="F5" s="3"/>
      <c r="G5" s="3"/>
      <c r="J5" s="9">
        <v>2</v>
      </c>
      <c r="K5" s="2">
        <v>5</v>
      </c>
      <c r="L5" s="10">
        <v>3</v>
      </c>
    </row>
    <row r="6" spans="1:12" ht="15" thickBot="1" x14ac:dyDescent="0.25">
      <c r="D6" s="12" t="s">
        <v>0</v>
      </c>
      <c r="I6" s="13"/>
      <c r="J6" s="9">
        <v>3</v>
      </c>
      <c r="K6" s="2">
        <v>7</v>
      </c>
      <c r="L6" s="10">
        <v>1</v>
      </c>
    </row>
    <row r="7" spans="1:12" x14ac:dyDescent="0.2">
      <c r="C7" s="7" t="s">
        <v>11</v>
      </c>
      <c r="D7" s="14">
        <f ca="1">COUNTBLANK(Stop?)+1</f>
        <v>3</v>
      </c>
      <c r="E7" s="15" t="str">
        <f ca="1">_xlfn.FORMULATEXT(NumberOfFlips)</f>
        <v>=COUNTBLANK(Stop?)+1</v>
      </c>
      <c r="F7" s="16"/>
      <c r="G7" s="16"/>
      <c r="J7" s="9">
        <v>4</v>
      </c>
      <c r="K7" s="2">
        <v>7</v>
      </c>
      <c r="L7" s="10">
        <v>1</v>
      </c>
    </row>
    <row r="8" spans="1:12" ht="15" thickBot="1" x14ac:dyDescent="0.25">
      <c r="C8" s="7" t="s">
        <v>10</v>
      </c>
      <c r="D8" s="17">
        <f ca="1">CashAtEndOfGame-NumberOfFlips</f>
        <v>5</v>
      </c>
      <c r="E8" s="15" t="str">
        <f ca="1">_xlfn.FORMULATEXT(Winnings)</f>
        <v>=CashAtEndOfGame-NumberOfFlips</v>
      </c>
      <c r="F8" s="16"/>
      <c r="G8" s="16"/>
      <c r="H8" s="16"/>
      <c r="J8" s="9">
        <v>5</v>
      </c>
      <c r="K8" s="2">
        <v>17</v>
      </c>
      <c r="L8" s="10">
        <v>-9</v>
      </c>
    </row>
    <row r="9" spans="1:12" x14ac:dyDescent="0.2">
      <c r="J9" s="9">
        <v>6</v>
      </c>
      <c r="K9" s="2">
        <v>15</v>
      </c>
      <c r="L9" s="10">
        <v>-7</v>
      </c>
    </row>
    <row r="10" spans="1:12" x14ac:dyDescent="0.2">
      <c r="C10" s="18"/>
      <c r="F10" s="19"/>
      <c r="H10" s="3"/>
      <c r="J10" s="9">
        <v>7</v>
      </c>
      <c r="K10" s="2">
        <v>5</v>
      </c>
      <c r="L10" s="10">
        <v>3</v>
      </c>
    </row>
    <row r="11" spans="1:12" x14ac:dyDescent="0.2">
      <c r="C11" s="18" t="s">
        <v>8</v>
      </c>
      <c r="E11" s="2" t="s">
        <v>2</v>
      </c>
      <c r="F11" s="19" t="s">
        <v>2</v>
      </c>
      <c r="J11" s="9">
        <v>8</v>
      </c>
      <c r="K11" s="2">
        <v>3</v>
      </c>
      <c r="L11" s="10">
        <v>5</v>
      </c>
    </row>
    <row r="12" spans="1:12" ht="15" thickBot="1" x14ac:dyDescent="0.25">
      <c r="B12" s="20" t="s">
        <v>3</v>
      </c>
      <c r="C12" s="21" t="s">
        <v>7</v>
      </c>
      <c r="D12" s="20" t="s">
        <v>1</v>
      </c>
      <c r="E12" s="20" t="s">
        <v>4</v>
      </c>
      <c r="F12" s="22" t="s">
        <v>5</v>
      </c>
      <c r="G12" s="20" t="s">
        <v>6</v>
      </c>
      <c r="J12" s="9">
        <v>9</v>
      </c>
      <c r="K12" s="2">
        <v>3</v>
      </c>
      <c r="L12" s="10">
        <v>5</v>
      </c>
    </row>
    <row r="13" spans="1:12" x14ac:dyDescent="0.2">
      <c r="B13" s="2">
        <v>1</v>
      </c>
      <c r="C13" s="23">
        <f ca="1">RAND()</f>
        <v>0.17248021437658823</v>
      </c>
      <c r="D13" s="2" t="str">
        <f ca="1">IF(C13&lt;0.5,"Heads","Tails")</f>
        <v>Heads</v>
      </c>
      <c r="E13" s="2">
        <f ca="1">IF(D13="Heads",1,0)</f>
        <v>1</v>
      </c>
      <c r="F13" s="19">
        <f ca="1">B13-E13</f>
        <v>0</v>
      </c>
      <c r="J13" s="9">
        <v>10</v>
      </c>
      <c r="K13" s="2">
        <v>5</v>
      </c>
      <c r="L13" s="10">
        <v>3</v>
      </c>
    </row>
    <row r="14" spans="1:12" x14ac:dyDescent="0.2">
      <c r="B14" s="2">
        <v>2</v>
      </c>
      <c r="C14" s="23">
        <f ca="1">RAND()</f>
        <v>0.42605671118438204</v>
      </c>
      <c r="D14" s="2" t="str">
        <f t="shared" ref="D14:D62" ca="1" si="0">IF(C14&lt;0.5,"Heads","Tails")</f>
        <v>Heads</v>
      </c>
      <c r="E14" s="2">
        <f ca="1">E13+IF(D14="Heads",1,0)</f>
        <v>2</v>
      </c>
      <c r="F14" s="19">
        <f t="shared" ref="F14:F62" ca="1" si="1">B14-E14</f>
        <v>0</v>
      </c>
      <c r="J14" s="9">
        <v>11</v>
      </c>
      <c r="K14" s="2">
        <v>13</v>
      </c>
      <c r="L14" s="10">
        <v>-5</v>
      </c>
    </row>
    <row r="15" spans="1:12" x14ac:dyDescent="0.2">
      <c r="B15" s="2">
        <v>3</v>
      </c>
      <c r="C15" s="23">
        <f t="shared" ref="C15:C62" ca="1" si="2">RAND()</f>
        <v>0.49737413471717884</v>
      </c>
      <c r="D15" s="2" t="str">
        <f t="shared" ca="1" si="0"/>
        <v>Heads</v>
      </c>
      <c r="E15" s="2">
        <f t="shared" ref="E15:E62" ca="1" si="3">E14+IF(D15="Heads",1,0)</f>
        <v>3</v>
      </c>
      <c r="F15" s="19">
        <f t="shared" ca="1" si="1"/>
        <v>0</v>
      </c>
      <c r="G15" s="2" t="str">
        <f ca="1">IF(ABS(E15-F15)&gt;=RequiredDifference,"Stop","")</f>
        <v>Stop</v>
      </c>
      <c r="J15" s="9">
        <v>12</v>
      </c>
      <c r="K15" s="2">
        <v>7</v>
      </c>
      <c r="L15" s="10">
        <v>1</v>
      </c>
    </row>
    <row r="16" spans="1:12" x14ac:dyDescent="0.2">
      <c r="B16" s="2">
        <v>4</v>
      </c>
      <c r="C16" s="23">
        <f t="shared" ca="1" si="2"/>
        <v>0.1993016682464942</v>
      </c>
      <c r="D16" s="2" t="str">
        <f t="shared" ca="1" si="0"/>
        <v>Heads</v>
      </c>
      <c r="E16" s="2">
        <f t="shared" ca="1" si="3"/>
        <v>4</v>
      </c>
      <c r="F16" s="19">
        <f t="shared" ca="1" si="1"/>
        <v>0</v>
      </c>
      <c r="G16" s="2" t="str">
        <f ca="1">IF(G15="",IF(ABS(E16-F16)&gt;=RequiredDifference,"Stop",""),"NA")</f>
        <v>NA</v>
      </c>
      <c r="J16" s="9">
        <v>13</v>
      </c>
      <c r="K16" s="2">
        <v>11</v>
      </c>
      <c r="L16" s="10">
        <v>-3</v>
      </c>
    </row>
    <row r="17" spans="2:12" x14ac:dyDescent="0.2">
      <c r="B17" s="2">
        <v>5</v>
      </c>
      <c r="C17" s="23">
        <f t="shared" ca="1" si="2"/>
        <v>0.56760020572614256</v>
      </c>
      <c r="D17" s="2" t="str">
        <f t="shared" ca="1" si="0"/>
        <v>Tails</v>
      </c>
      <c r="E17" s="2">
        <f t="shared" ca="1" si="3"/>
        <v>4</v>
      </c>
      <c r="F17" s="19">
        <f t="shared" ca="1" si="1"/>
        <v>1</v>
      </c>
      <c r="G17" s="2" t="str">
        <f t="shared" ref="G17:G62" ca="1" si="4">IF(G16="",IF(ABS(E17-F17)&gt;=RequiredDifference,"Stop",""),"NA")</f>
        <v>NA</v>
      </c>
      <c r="J17" s="24">
        <v>14</v>
      </c>
      <c r="K17" s="25">
        <v>3</v>
      </c>
      <c r="L17" s="26">
        <v>5</v>
      </c>
    </row>
    <row r="18" spans="2:12" x14ac:dyDescent="0.2">
      <c r="B18" s="2">
        <v>6</v>
      </c>
      <c r="C18" s="23">
        <f t="shared" ca="1" si="2"/>
        <v>0.15387910713700759</v>
      </c>
      <c r="D18" s="2" t="str">
        <f t="shared" ca="1" si="0"/>
        <v>Heads</v>
      </c>
      <c r="E18" s="2">
        <f t="shared" ca="1" si="3"/>
        <v>5</v>
      </c>
      <c r="F18" s="19">
        <f t="shared" ca="1" si="1"/>
        <v>1</v>
      </c>
      <c r="G18" s="2" t="str">
        <f t="shared" ca="1" si="4"/>
        <v>NA</v>
      </c>
      <c r="J18" s="12" t="s">
        <v>20</v>
      </c>
      <c r="K18" s="27">
        <f ca="1">AVERAGE(K3:K17)</f>
        <v>7.1333333333333337</v>
      </c>
      <c r="L18" s="27">
        <f ca="1">AVERAGE(L3:L17)</f>
        <v>0.8666666666666667</v>
      </c>
    </row>
    <row r="19" spans="2:12" x14ac:dyDescent="0.2">
      <c r="B19" s="2">
        <v>7</v>
      </c>
      <c r="C19" s="23">
        <f t="shared" ca="1" si="2"/>
        <v>0.60329993792678449</v>
      </c>
      <c r="D19" s="2" t="str">
        <f t="shared" ca="1" si="0"/>
        <v>Tails</v>
      </c>
      <c r="E19" s="2">
        <f t="shared" ca="1" si="3"/>
        <v>5</v>
      </c>
      <c r="F19" s="19">
        <f t="shared" ca="1" si="1"/>
        <v>2</v>
      </c>
      <c r="G19" s="2" t="str">
        <f t="shared" ca="1" si="4"/>
        <v>NA</v>
      </c>
    </row>
    <row r="20" spans="2:12" x14ac:dyDescent="0.2">
      <c r="B20" s="2">
        <v>8</v>
      </c>
      <c r="C20" s="23">
        <f t="shared" ca="1" si="2"/>
        <v>0.20319644872558063</v>
      </c>
      <c r="D20" s="2" t="str">
        <f t="shared" ca="1" si="0"/>
        <v>Heads</v>
      </c>
      <c r="E20" s="2">
        <f t="shared" ca="1" si="3"/>
        <v>6</v>
      </c>
      <c r="F20" s="19">
        <f t="shared" ca="1" si="1"/>
        <v>2</v>
      </c>
      <c r="G20" s="2" t="str">
        <f t="shared" ca="1" si="4"/>
        <v>NA</v>
      </c>
    </row>
    <row r="21" spans="2:12" x14ac:dyDescent="0.2">
      <c r="B21" s="2">
        <v>9</v>
      </c>
      <c r="C21" s="23">
        <f t="shared" ca="1" si="2"/>
        <v>0.75595845788778493</v>
      </c>
      <c r="D21" s="2" t="str">
        <f t="shared" ca="1" si="0"/>
        <v>Tails</v>
      </c>
      <c r="E21" s="2">
        <f t="shared" ca="1" si="3"/>
        <v>6</v>
      </c>
      <c r="F21" s="19">
        <f t="shared" ca="1" si="1"/>
        <v>3</v>
      </c>
      <c r="G21" s="2" t="str">
        <f t="shared" ca="1" si="4"/>
        <v>NA</v>
      </c>
    </row>
    <row r="22" spans="2:12" x14ac:dyDescent="0.2">
      <c r="B22" s="2">
        <v>10</v>
      </c>
      <c r="C22" s="23">
        <f t="shared" ca="1" si="2"/>
        <v>0.82869012678421272</v>
      </c>
      <c r="D22" s="2" t="str">
        <f t="shared" ca="1" si="0"/>
        <v>Tails</v>
      </c>
      <c r="E22" s="2">
        <f t="shared" ca="1" si="3"/>
        <v>6</v>
      </c>
      <c r="F22" s="19">
        <f t="shared" ca="1" si="1"/>
        <v>4</v>
      </c>
      <c r="G22" s="2" t="str">
        <f t="shared" ca="1" si="4"/>
        <v>NA</v>
      </c>
    </row>
    <row r="23" spans="2:12" x14ac:dyDescent="0.2">
      <c r="B23" s="2">
        <v>11</v>
      </c>
      <c r="C23" s="23">
        <f t="shared" ca="1" si="2"/>
        <v>0.50139811602963069</v>
      </c>
      <c r="D23" s="2" t="str">
        <f t="shared" ca="1" si="0"/>
        <v>Tails</v>
      </c>
      <c r="E23" s="2">
        <f t="shared" ca="1" si="3"/>
        <v>6</v>
      </c>
      <c r="F23" s="19">
        <f t="shared" ca="1" si="1"/>
        <v>5</v>
      </c>
      <c r="G23" s="2" t="str">
        <f t="shared" ca="1" si="4"/>
        <v>NA</v>
      </c>
    </row>
    <row r="24" spans="2:12" x14ac:dyDescent="0.2">
      <c r="B24" s="2">
        <v>12</v>
      </c>
      <c r="C24" s="23">
        <f t="shared" ca="1" si="2"/>
        <v>0.8584503617045578</v>
      </c>
      <c r="D24" s="2" t="str">
        <f t="shared" ca="1" si="0"/>
        <v>Tails</v>
      </c>
      <c r="E24" s="2">
        <f t="shared" ca="1" si="3"/>
        <v>6</v>
      </c>
      <c r="F24" s="19">
        <f t="shared" ca="1" si="1"/>
        <v>6</v>
      </c>
      <c r="G24" s="2" t="str">
        <f t="shared" ca="1" si="4"/>
        <v>NA</v>
      </c>
    </row>
    <row r="25" spans="2:12" x14ac:dyDescent="0.2">
      <c r="B25" s="2">
        <v>13</v>
      </c>
      <c r="C25" s="23">
        <f t="shared" ca="1" si="2"/>
        <v>0.45887526915976029</v>
      </c>
      <c r="D25" s="2" t="str">
        <f t="shared" ca="1" si="0"/>
        <v>Heads</v>
      </c>
      <c r="E25" s="2">
        <f t="shared" ca="1" si="3"/>
        <v>7</v>
      </c>
      <c r="F25" s="19">
        <f t="shared" ca="1" si="1"/>
        <v>6</v>
      </c>
      <c r="G25" s="2" t="str">
        <f t="shared" ca="1" si="4"/>
        <v>NA</v>
      </c>
    </row>
    <row r="26" spans="2:12" x14ac:dyDescent="0.2">
      <c r="B26" s="2">
        <v>14</v>
      </c>
      <c r="C26" s="23">
        <f t="shared" ca="1" si="2"/>
        <v>5.5224345287401055E-2</v>
      </c>
      <c r="D26" s="2" t="str">
        <f t="shared" ca="1" si="0"/>
        <v>Heads</v>
      </c>
      <c r="E26" s="2">
        <f t="shared" ca="1" si="3"/>
        <v>8</v>
      </c>
      <c r="F26" s="19">
        <f t="shared" ca="1" si="1"/>
        <v>6</v>
      </c>
      <c r="G26" s="2" t="str">
        <f t="shared" ca="1" si="4"/>
        <v>NA</v>
      </c>
    </row>
    <row r="27" spans="2:12" x14ac:dyDescent="0.2">
      <c r="B27" s="2">
        <v>15</v>
      </c>
      <c r="C27" s="23">
        <f t="shared" ca="1" si="2"/>
        <v>0.13857548592028568</v>
      </c>
      <c r="D27" s="2" t="str">
        <f t="shared" ca="1" si="0"/>
        <v>Heads</v>
      </c>
      <c r="E27" s="2">
        <f t="shared" ca="1" si="3"/>
        <v>9</v>
      </c>
      <c r="F27" s="19">
        <f t="shared" ca="1" si="1"/>
        <v>6</v>
      </c>
      <c r="G27" s="2" t="str">
        <f t="shared" ca="1" si="4"/>
        <v>NA</v>
      </c>
    </row>
    <row r="28" spans="2:12" x14ac:dyDescent="0.2">
      <c r="B28" s="2">
        <v>16</v>
      </c>
      <c r="C28" s="23">
        <f t="shared" ca="1" si="2"/>
        <v>5.4898789443142415E-2</v>
      </c>
      <c r="D28" s="2" t="str">
        <f t="shared" ca="1" si="0"/>
        <v>Heads</v>
      </c>
      <c r="E28" s="2">
        <f t="shared" ca="1" si="3"/>
        <v>10</v>
      </c>
      <c r="F28" s="19">
        <f t="shared" ca="1" si="1"/>
        <v>6</v>
      </c>
      <c r="G28" s="2" t="str">
        <f t="shared" ca="1" si="4"/>
        <v>NA</v>
      </c>
    </row>
    <row r="29" spans="2:12" x14ac:dyDescent="0.2">
      <c r="B29" s="2">
        <v>17</v>
      </c>
      <c r="C29" s="23">
        <f t="shared" ca="1" si="2"/>
        <v>0.52458611577377756</v>
      </c>
      <c r="D29" s="2" t="str">
        <f t="shared" ca="1" si="0"/>
        <v>Tails</v>
      </c>
      <c r="E29" s="2">
        <f t="shared" ca="1" si="3"/>
        <v>10</v>
      </c>
      <c r="F29" s="19">
        <f t="shared" ca="1" si="1"/>
        <v>7</v>
      </c>
      <c r="G29" s="2" t="str">
        <f t="shared" ca="1" si="4"/>
        <v>NA</v>
      </c>
    </row>
    <row r="30" spans="2:12" x14ac:dyDescent="0.2">
      <c r="B30" s="2">
        <v>18</v>
      </c>
      <c r="C30" s="23">
        <f t="shared" ca="1" si="2"/>
        <v>0.317678555297493</v>
      </c>
      <c r="D30" s="2" t="str">
        <f t="shared" ca="1" si="0"/>
        <v>Heads</v>
      </c>
      <c r="E30" s="2">
        <f t="shared" ca="1" si="3"/>
        <v>11</v>
      </c>
      <c r="F30" s="19">
        <f t="shared" ca="1" si="1"/>
        <v>7</v>
      </c>
      <c r="G30" s="2" t="str">
        <f t="shared" ca="1" si="4"/>
        <v>NA</v>
      </c>
    </row>
    <row r="31" spans="2:12" x14ac:dyDescent="0.2">
      <c r="B31" s="2">
        <v>19</v>
      </c>
      <c r="C31" s="23">
        <f t="shared" ca="1" si="2"/>
        <v>0.60834201269739308</v>
      </c>
      <c r="D31" s="2" t="str">
        <f t="shared" ca="1" si="0"/>
        <v>Tails</v>
      </c>
      <c r="E31" s="2">
        <f t="shared" ca="1" si="3"/>
        <v>11</v>
      </c>
      <c r="F31" s="19">
        <f t="shared" ca="1" si="1"/>
        <v>8</v>
      </c>
      <c r="G31" s="2" t="str">
        <f t="shared" ca="1" si="4"/>
        <v>NA</v>
      </c>
    </row>
    <row r="32" spans="2:12" x14ac:dyDescent="0.2">
      <c r="B32" s="2">
        <v>20</v>
      </c>
      <c r="C32" s="23">
        <f t="shared" ca="1" si="2"/>
        <v>0.78769045136959903</v>
      </c>
      <c r="D32" s="2" t="str">
        <f t="shared" ca="1" si="0"/>
        <v>Tails</v>
      </c>
      <c r="E32" s="2">
        <f t="shared" ca="1" si="3"/>
        <v>11</v>
      </c>
      <c r="F32" s="19">
        <f t="shared" ca="1" si="1"/>
        <v>9</v>
      </c>
      <c r="G32" s="2" t="str">
        <f t="shared" ca="1" si="4"/>
        <v>NA</v>
      </c>
    </row>
    <row r="33" spans="2:7" x14ac:dyDescent="0.2">
      <c r="B33" s="2">
        <v>21</v>
      </c>
      <c r="C33" s="23">
        <f t="shared" ca="1" si="2"/>
        <v>0.99767867488673079</v>
      </c>
      <c r="D33" s="2" t="str">
        <f t="shared" ca="1" si="0"/>
        <v>Tails</v>
      </c>
      <c r="E33" s="2">
        <f t="shared" ca="1" si="3"/>
        <v>11</v>
      </c>
      <c r="F33" s="19">
        <f t="shared" ca="1" si="1"/>
        <v>10</v>
      </c>
      <c r="G33" s="2" t="str">
        <f t="shared" ca="1" si="4"/>
        <v>NA</v>
      </c>
    </row>
    <row r="34" spans="2:7" x14ac:dyDescent="0.2">
      <c r="B34" s="2">
        <v>22</v>
      </c>
      <c r="C34" s="23">
        <f t="shared" ca="1" si="2"/>
        <v>0.14539887057806267</v>
      </c>
      <c r="D34" s="2" t="str">
        <f t="shared" ca="1" si="0"/>
        <v>Heads</v>
      </c>
      <c r="E34" s="2">
        <f t="shared" ca="1" si="3"/>
        <v>12</v>
      </c>
      <c r="F34" s="19">
        <f t="shared" ca="1" si="1"/>
        <v>10</v>
      </c>
      <c r="G34" s="2" t="str">
        <f t="shared" ca="1" si="4"/>
        <v>NA</v>
      </c>
    </row>
    <row r="35" spans="2:7" x14ac:dyDescent="0.2">
      <c r="B35" s="2">
        <v>23</v>
      </c>
      <c r="C35" s="23">
        <f t="shared" ca="1" si="2"/>
        <v>0.83257890324353223</v>
      </c>
      <c r="D35" s="2" t="str">
        <f t="shared" ca="1" si="0"/>
        <v>Tails</v>
      </c>
      <c r="E35" s="2">
        <f t="shared" ca="1" si="3"/>
        <v>12</v>
      </c>
      <c r="F35" s="19">
        <f t="shared" ca="1" si="1"/>
        <v>11</v>
      </c>
      <c r="G35" s="2" t="str">
        <f t="shared" ca="1" si="4"/>
        <v>NA</v>
      </c>
    </row>
    <row r="36" spans="2:7" x14ac:dyDescent="0.2">
      <c r="B36" s="2">
        <v>24</v>
      </c>
      <c r="C36" s="23">
        <f t="shared" ca="1" si="2"/>
        <v>0.68886119554943359</v>
      </c>
      <c r="D36" s="2" t="str">
        <f t="shared" ca="1" si="0"/>
        <v>Tails</v>
      </c>
      <c r="E36" s="2">
        <f t="shared" ca="1" si="3"/>
        <v>12</v>
      </c>
      <c r="F36" s="19">
        <f t="shared" ca="1" si="1"/>
        <v>12</v>
      </c>
      <c r="G36" s="2" t="str">
        <f t="shared" ca="1" si="4"/>
        <v>NA</v>
      </c>
    </row>
    <row r="37" spans="2:7" x14ac:dyDescent="0.2">
      <c r="B37" s="2">
        <v>25</v>
      </c>
      <c r="C37" s="23">
        <f t="shared" ca="1" si="2"/>
        <v>0.14263812792899311</v>
      </c>
      <c r="D37" s="2" t="str">
        <f t="shared" ca="1" si="0"/>
        <v>Heads</v>
      </c>
      <c r="E37" s="2">
        <f t="shared" ca="1" si="3"/>
        <v>13</v>
      </c>
      <c r="F37" s="19">
        <f t="shared" ca="1" si="1"/>
        <v>12</v>
      </c>
      <c r="G37" s="2" t="str">
        <f t="shared" ca="1" si="4"/>
        <v>NA</v>
      </c>
    </row>
    <row r="38" spans="2:7" x14ac:dyDescent="0.2">
      <c r="B38" s="2">
        <v>26</v>
      </c>
      <c r="C38" s="23">
        <f t="shared" ca="1" si="2"/>
        <v>0.59729828908971971</v>
      </c>
      <c r="D38" s="2" t="str">
        <f t="shared" ca="1" si="0"/>
        <v>Tails</v>
      </c>
      <c r="E38" s="2">
        <f t="shared" ca="1" si="3"/>
        <v>13</v>
      </c>
      <c r="F38" s="19">
        <f t="shared" ca="1" si="1"/>
        <v>13</v>
      </c>
      <c r="G38" s="2" t="str">
        <f t="shared" ca="1" si="4"/>
        <v>NA</v>
      </c>
    </row>
    <row r="39" spans="2:7" x14ac:dyDescent="0.2">
      <c r="B39" s="2">
        <v>27</v>
      </c>
      <c r="C39" s="23">
        <f t="shared" ca="1" si="2"/>
        <v>0.35548840607158794</v>
      </c>
      <c r="D39" s="2" t="str">
        <f t="shared" ca="1" si="0"/>
        <v>Heads</v>
      </c>
      <c r="E39" s="2">
        <f t="shared" ca="1" si="3"/>
        <v>14</v>
      </c>
      <c r="F39" s="19">
        <f t="shared" ca="1" si="1"/>
        <v>13</v>
      </c>
      <c r="G39" s="2" t="str">
        <f t="shared" ca="1" si="4"/>
        <v>NA</v>
      </c>
    </row>
    <row r="40" spans="2:7" x14ac:dyDescent="0.2">
      <c r="B40" s="2">
        <v>28</v>
      </c>
      <c r="C40" s="23">
        <f t="shared" ca="1" si="2"/>
        <v>0.94549517661433635</v>
      </c>
      <c r="D40" s="2" t="str">
        <f t="shared" ca="1" si="0"/>
        <v>Tails</v>
      </c>
      <c r="E40" s="2">
        <f t="shared" ca="1" si="3"/>
        <v>14</v>
      </c>
      <c r="F40" s="19">
        <f t="shared" ca="1" si="1"/>
        <v>14</v>
      </c>
      <c r="G40" s="2" t="str">
        <f t="shared" ca="1" si="4"/>
        <v>NA</v>
      </c>
    </row>
    <row r="41" spans="2:7" x14ac:dyDescent="0.2">
      <c r="B41" s="2">
        <v>29</v>
      </c>
      <c r="C41" s="23">
        <f t="shared" ca="1" si="2"/>
        <v>0.84600084282271915</v>
      </c>
      <c r="D41" s="2" t="str">
        <f t="shared" ca="1" si="0"/>
        <v>Tails</v>
      </c>
      <c r="E41" s="2">
        <f t="shared" ca="1" si="3"/>
        <v>14</v>
      </c>
      <c r="F41" s="19">
        <f t="shared" ca="1" si="1"/>
        <v>15</v>
      </c>
      <c r="G41" s="2" t="str">
        <f t="shared" ca="1" si="4"/>
        <v>NA</v>
      </c>
    </row>
    <row r="42" spans="2:7" x14ac:dyDescent="0.2">
      <c r="B42" s="2">
        <v>30</v>
      </c>
      <c r="C42" s="23">
        <f t="shared" ca="1" si="2"/>
        <v>9.2186079306403323E-3</v>
      </c>
      <c r="D42" s="2" t="str">
        <f t="shared" ca="1" si="0"/>
        <v>Heads</v>
      </c>
      <c r="E42" s="2">
        <f t="shared" ca="1" si="3"/>
        <v>15</v>
      </c>
      <c r="F42" s="19">
        <f t="shared" ca="1" si="1"/>
        <v>15</v>
      </c>
      <c r="G42" s="2" t="str">
        <f t="shared" ca="1" si="4"/>
        <v>NA</v>
      </c>
    </row>
    <row r="43" spans="2:7" x14ac:dyDescent="0.2">
      <c r="B43" s="2">
        <v>31</v>
      </c>
      <c r="C43" s="23">
        <f t="shared" ca="1" si="2"/>
        <v>0.20933408613307858</v>
      </c>
      <c r="D43" s="2" t="str">
        <f t="shared" ca="1" si="0"/>
        <v>Heads</v>
      </c>
      <c r="E43" s="2">
        <f t="shared" ca="1" si="3"/>
        <v>16</v>
      </c>
      <c r="F43" s="19">
        <f t="shared" ca="1" si="1"/>
        <v>15</v>
      </c>
      <c r="G43" s="2" t="str">
        <f t="shared" ca="1" si="4"/>
        <v>NA</v>
      </c>
    </row>
    <row r="44" spans="2:7" x14ac:dyDescent="0.2">
      <c r="B44" s="2">
        <v>32</v>
      </c>
      <c r="C44" s="23">
        <f t="shared" ca="1" si="2"/>
        <v>0.57887332854939466</v>
      </c>
      <c r="D44" s="2" t="str">
        <f t="shared" ca="1" si="0"/>
        <v>Tails</v>
      </c>
      <c r="E44" s="2">
        <f t="shared" ca="1" si="3"/>
        <v>16</v>
      </c>
      <c r="F44" s="19">
        <f t="shared" ca="1" si="1"/>
        <v>16</v>
      </c>
      <c r="G44" s="2" t="str">
        <f t="shared" ca="1" si="4"/>
        <v>NA</v>
      </c>
    </row>
    <row r="45" spans="2:7" x14ac:dyDescent="0.2">
      <c r="B45" s="2">
        <v>33</v>
      </c>
      <c r="C45" s="23">
        <f t="shared" ca="1" si="2"/>
        <v>0.45207519620245984</v>
      </c>
      <c r="D45" s="2" t="str">
        <f t="shared" ca="1" si="0"/>
        <v>Heads</v>
      </c>
      <c r="E45" s="2">
        <f t="shared" ca="1" si="3"/>
        <v>17</v>
      </c>
      <c r="F45" s="19">
        <f t="shared" ca="1" si="1"/>
        <v>16</v>
      </c>
      <c r="G45" s="2" t="str">
        <f t="shared" ca="1" si="4"/>
        <v>NA</v>
      </c>
    </row>
    <row r="46" spans="2:7" x14ac:dyDescent="0.2">
      <c r="B46" s="2">
        <v>34</v>
      </c>
      <c r="C46" s="23">
        <f t="shared" ca="1" si="2"/>
        <v>0.54518145742457669</v>
      </c>
      <c r="D46" s="2" t="str">
        <f t="shared" ca="1" si="0"/>
        <v>Tails</v>
      </c>
      <c r="E46" s="2">
        <f t="shared" ca="1" si="3"/>
        <v>17</v>
      </c>
      <c r="F46" s="19">
        <f t="shared" ca="1" si="1"/>
        <v>17</v>
      </c>
      <c r="G46" s="2" t="str">
        <f t="shared" ca="1" si="4"/>
        <v>NA</v>
      </c>
    </row>
    <row r="47" spans="2:7" x14ac:dyDescent="0.2">
      <c r="B47" s="2">
        <v>35</v>
      </c>
      <c r="C47" s="23">
        <f t="shared" ca="1" si="2"/>
        <v>0.46567531031540554</v>
      </c>
      <c r="D47" s="2" t="str">
        <f t="shared" ca="1" si="0"/>
        <v>Heads</v>
      </c>
      <c r="E47" s="2">
        <f t="shared" ca="1" si="3"/>
        <v>18</v>
      </c>
      <c r="F47" s="19">
        <f t="shared" ca="1" si="1"/>
        <v>17</v>
      </c>
      <c r="G47" s="2" t="str">
        <f t="shared" ca="1" si="4"/>
        <v>NA</v>
      </c>
    </row>
    <row r="48" spans="2:7" x14ac:dyDescent="0.2">
      <c r="B48" s="2">
        <v>36</v>
      </c>
      <c r="C48" s="23">
        <f t="shared" ca="1" si="2"/>
        <v>0.30876741772889726</v>
      </c>
      <c r="D48" s="2" t="str">
        <f t="shared" ca="1" si="0"/>
        <v>Heads</v>
      </c>
      <c r="E48" s="2">
        <f t="shared" ca="1" si="3"/>
        <v>19</v>
      </c>
      <c r="F48" s="19">
        <f t="shared" ca="1" si="1"/>
        <v>17</v>
      </c>
      <c r="G48" s="2" t="str">
        <f t="shared" ca="1" si="4"/>
        <v>NA</v>
      </c>
    </row>
    <row r="49" spans="2:7" x14ac:dyDescent="0.2">
      <c r="B49" s="2">
        <v>37</v>
      </c>
      <c r="C49" s="23">
        <f t="shared" ca="1" si="2"/>
        <v>0.94958163602347545</v>
      </c>
      <c r="D49" s="2" t="str">
        <f t="shared" ca="1" si="0"/>
        <v>Tails</v>
      </c>
      <c r="E49" s="2">
        <f t="shared" ca="1" si="3"/>
        <v>19</v>
      </c>
      <c r="F49" s="19">
        <f t="shared" ca="1" si="1"/>
        <v>18</v>
      </c>
      <c r="G49" s="2" t="str">
        <f t="shared" ca="1" si="4"/>
        <v>NA</v>
      </c>
    </row>
    <row r="50" spans="2:7" x14ac:dyDescent="0.2">
      <c r="B50" s="2">
        <v>38</v>
      </c>
      <c r="C50" s="23">
        <f t="shared" ca="1" si="2"/>
        <v>0.33923904004294769</v>
      </c>
      <c r="D50" s="2" t="str">
        <f t="shared" ca="1" si="0"/>
        <v>Heads</v>
      </c>
      <c r="E50" s="2">
        <f t="shared" ca="1" si="3"/>
        <v>20</v>
      </c>
      <c r="F50" s="19">
        <f t="shared" ca="1" si="1"/>
        <v>18</v>
      </c>
      <c r="G50" s="2" t="str">
        <f t="shared" ca="1" si="4"/>
        <v>NA</v>
      </c>
    </row>
    <row r="51" spans="2:7" x14ac:dyDescent="0.2">
      <c r="B51" s="2">
        <v>39</v>
      </c>
      <c r="C51" s="23">
        <f t="shared" ca="1" si="2"/>
        <v>0.10266176032862473</v>
      </c>
      <c r="D51" s="2" t="str">
        <f t="shared" ca="1" si="0"/>
        <v>Heads</v>
      </c>
      <c r="E51" s="2">
        <f t="shared" ca="1" si="3"/>
        <v>21</v>
      </c>
      <c r="F51" s="19">
        <f t="shared" ca="1" si="1"/>
        <v>18</v>
      </c>
      <c r="G51" s="2" t="str">
        <f t="shared" ca="1" si="4"/>
        <v>NA</v>
      </c>
    </row>
    <row r="52" spans="2:7" x14ac:dyDescent="0.2">
      <c r="B52" s="2">
        <v>40</v>
      </c>
      <c r="C52" s="23">
        <f t="shared" ca="1" si="2"/>
        <v>0.77605986049497611</v>
      </c>
      <c r="D52" s="2" t="str">
        <f t="shared" ca="1" si="0"/>
        <v>Tails</v>
      </c>
      <c r="E52" s="2">
        <f t="shared" ca="1" si="3"/>
        <v>21</v>
      </c>
      <c r="F52" s="19">
        <f t="shared" ca="1" si="1"/>
        <v>19</v>
      </c>
      <c r="G52" s="2" t="str">
        <f t="shared" ca="1" si="4"/>
        <v>NA</v>
      </c>
    </row>
    <row r="53" spans="2:7" x14ac:dyDescent="0.2">
      <c r="B53" s="2">
        <v>41</v>
      </c>
      <c r="C53" s="23">
        <f t="shared" ca="1" si="2"/>
        <v>0.41022504719857522</v>
      </c>
      <c r="D53" s="2" t="str">
        <f t="shared" ca="1" si="0"/>
        <v>Heads</v>
      </c>
      <c r="E53" s="2">
        <f t="shared" ca="1" si="3"/>
        <v>22</v>
      </c>
      <c r="F53" s="19">
        <f t="shared" ca="1" si="1"/>
        <v>19</v>
      </c>
      <c r="G53" s="2" t="str">
        <f t="shared" ca="1" si="4"/>
        <v>NA</v>
      </c>
    </row>
    <row r="54" spans="2:7" x14ac:dyDescent="0.2">
      <c r="B54" s="2">
        <v>42</v>
      </c>
      <c r="C54" s="23">
        <f t="shared" ca="1" si="2"/>
        <v>0.81767637736598475</v>
      </c>
      <c r="D54" s="2" t="str">
        <f t="shared" ca="1" si="0"/>
        <v>Tails</v>
      </c>
      <c r="E54" s="2">
        <f t="shared" ca="1" si="3"/>
        <v>22</v>
      </c>
      <c r="F54" s="19">
        <f t="shared" ca="1" si="1"/>
        <v>20</v>
      </c>
      <c r="G54" s="2" t="str">
        <f t="shared" ca="1" si="4"/>
        <v>NA</v>
      </c>
    </row>
    <row r="55" spans="2:7" x14ac:dyDescent="0.2">
      <c r="B55" s="2">
        <v>43</v>
      </c>
      <c r="C55" s="23">
        <f t="shared" ca="1" si="2"/>
        <v>0.29930616155083001</v>
      </c>
      <c r="D55" s="2" t="str">
        <f t="shared" ca="1" si="0"/>
        <v>Heads</v>
      </c>
      <c r="E55" s="2">
        <f t="shared" ca="1" si="3"/>
        <v>23</v>
      </c>
      <c r="F55" s="19">
        <f t="shared" ca="1" si="1"/>
        <v>20</v>
      </c>
      <c r="G55" s="2" t="str">
        <f t="shared" ca="1" si="4"/>
        <v>NA</v>
      </c>
    </row>
    <row r="56" spans="2:7" x14ac:dyDescent="0.2">
      <c r="B56" s="2">
        <v>44</v>
      </c>
      <c r="C56" s="23">
        <f t="shared" ca="1" si="2"/>
        <v>0.18313577134673442</v>
      </c>
      <c r="D56" s="2" t="str">
        <f t="shared" ca="1" si="0"/>
        <v>Heads</v>
      </c>
      <c r="E56" s="2">
        <f t="shared" ca="1" si="3"/>
        <v>24</v>
      </c>
      <c r="F56" s="19">
        <f t="shared" ca="1" si="1"/>
        <v>20</v>
      </c>
      <c r="G56" s="2" t="str">
        <f t="shared" ca="1" si="4"/>
        <v>NA</v>
      </c>
    </row>
    <row r="57" spans="2:7" x14ac:dyDescent="0.2">
      <c r="B57" s="2">
        <v>45</v>
      </c>
      <c r="C57" s="23">
        <f t="shared" ca="1" si="2"/>
        <v>0.5791994607235933</v>
      </c>
      <c r="D57" s="2" t="str">
        <f t="shared" ca="1" si="0"/>
        <v>Tails</v>
      </c>
      <c r="E57" s="2">
        <f t="shared" ca="1" si="3"/>
        <v>24</v>
      </c>
      <c r="F57" s="19">
        <f t="shared" ca="1" si="1"/>
        <v>21</v>
      </c>
      <c r="G57" s="2" t="str">
        <f t="shared" ca="1" si="4"/>
        <v>NA</v>
      </c>
    </row>
    <row r="58" spans="2:7" x14ac:dyDescent="0.2">
      <c r="B58" s="2">
        <v>46</v>
      </c>
      <c r="C58" s="23">
        <f t="shared" ca="1" si="2"/>
        <v>0.1468923378718795</v>
      </c>
      <c r="D58" s="2" t="str">
        <f t="shared" ca="1" si="0"/>
        <v>Heads</v>
      </c>
      <c r="E58" s="2">
        <f t="shared" ca="1" si="3"/>
        <v>25</v>
      </c>
      <c r="F58" s="19">
        <f t="shared" ca="1" si="1"/>
        <v>21</v>
      </c>
      <c r="G58" s="2" t="str">
        <f t="shared" ca="1" si="4"/>
        <v>NA</v>
      </c>
    </row>
    <row r="59" spans="2:7" x14ac:dyDescent="0.2">
      <c r="B59" s="2">
        <v>47</v>
      </c>
      <c r="C59" s="23">
        <f t="shared" ca="1" si="2"/>
        <v>0.19333194066098192</v>
      </c>
      <c r="D59" s="2" t="str">
        <f t="shared" ca="1" si="0"/>
        <v>Heads</v>
      </c>
      <c r="E59" s="2">
        <f t="shared" ca="1" si="3"/>
        <v>26</v>
      </c>
      <c r="F59" s="19">
        <f t="shared" ca="1" si="1"/>
        <v>21</v>
      </c>
      <c r="G59" s="2" t="str">
        <f t="shared" ca="1" si="4"/>
        <v>NA</v>
      </c>
    </row>
    <row r="60" spans="2:7" x14ac:dyDescent="0.2">
      <c r="B60" s="2">
        <v>48</v>
      </c>
      <c r="C60" s="23">
        <f t="shared" ca="1" si="2"/>
        <v>0.77087045947284394</v>
      </c>
      <c r="D60" s="2" t="str">
        <f t="shared" ca="1" si="0"/>
        <v>Tails</v>
      </c>
      <c r="E60" s="2">
        <f t="shared" ca="1" si="3"/>
        <v>26</v>
      </c>
      <c r="F60" s="19">
        <f t="shared" ca="1" si="1"/>
        <v>22</v>
      </c>
      <c r="G60" s="2" t="str">
        <f t="shared" ca="1" si="4"/>
        <v>NA</v>
      </c>
    </row>
    <row r="61" spans="2:7" x14ac:dyDescent="0.2">
      <c r="B61" s="2">
        <v>49</v>
      </c>
      <c r="C61" s="23">
        <f t="shared" ca="1" si="2"/>
        <v>0.78378742585746641</v>
      </c>
      <c r="D61" s="2" t="str">
        <f t="shared" ca="1" si="0"/>
        <v>Tails</v>
      </c>
      <c r="E61" s="2">
        <f t="shared" ca="1" si="3"/>
        <v>26</v>
      </c>
      <c r="F61" s="19">
        <f t="shared" ca="1" si="1"/>
        <v>23</v>
      </c>
      <c r="G61" s="2" t="str">
        <f t="shared" ca="1" si="4"/>
        <v>NA</v>
      </c>
    </row>
    <row r="62" spans="2:7" x14ac:dyDescent="0.2">
      <c r="B62" s="2">
        <v>50</v>
      </c>
      <c r="C62" s="23">
        <f t="shared" ca="1" si="2"/>
        <v>0.18141664667702118</v>
      </c>
      <c r="D62" s="2" t="str">
        <f t="shared" ca="1" si="0"/>
        <v>Heads</v>
      </c>
      <c r="E62" s="2">
        <f t="shared" ca="1" si="3"/>
        <v>27</v>
      </c>
      <c r="F62" s="19">
        <f t="shared" ca="1" si="1"/>
        <v>23</v>
      </c>
      <c r="G62" s="2" t="str">
        <f t="shared" ca="1" si="4"/>
        <v>NA</v>
      </c>
    </row>
  </sheetData>
  <phoneticPr fontId="1"/>
  <printOptions headings="1" gridLines="1"/>
  <pageMargins left="0.75" right="0.75" top="1" bottom="1" header="0.5" footer="0.5"/>
  <pageSetup paperSize="0" orientation="portrait" horizontalDpi="4294967292" verticalDpi="4294967292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19CE-DC4E-8A40-B032-7BDE1D31198D}">
  <dimension ref="A1:N36"/>
  <sheetViews>
    <sheetView zoomScale="185" workbookViewId="0">
      <selection activeCell="J34" sqref="J34"/>
    </sheetView>
  </sheetViews>
  <sheetFormatPr baseColWidth="10" defaultColWidth="10.83203125" defaultRowHeight="14" x14ac:dyDescent="0.2"/>
  <cols>
    <col min="1" max="1" width="2.83203125" style="30" customWidth="1"/>
    <col min="2" max="2" width="11.1640625" style="29" bestFit="1" customWidth="1"/>
    <col min="3" max="3" width="9" style="29" bestFit="1" customWidth="1"/>
    <col min="4" max="4" width="15.83203125" style="29" bestFit="1" customWidth="1"/>
    <col min="5" max="5" width="11.6640625" style="29" bestFit="1" customWidth="1"/>
    <col min="6" max="6" width="10.1640625" style="29" customWidth="1"/>
    <col min="7" max="7" width="11.6640625" style="29" bestFit="1" customWidth="1"/>
    <col min="8" max="8" width="4" style="30" customWidth="1"/>
    <col min="9" max="9" width="17.5" style="29" customWidth="1"/>
    <col min="10" max="10" width="12" style="29" customWidth="1"/>
    <col min="11" max="11" width="9.33203125" style="29" customWidth="1"/>
    <col min="12" max="12" width="5.83203125" style="30" customWidth="1"/>
    <col min="13" max="13" width="24.5" style="30" bestFit="1" customWidth="1"/>
    <col min="14" max="14" width="8.1640625" style="30" bestFit="1" customWidth="1"/>
    <col min="15" max="16384" width="10.83203125" style="30"/>
  </cols>
  <sheetData>
    <row r="1" spans="1:14" ht="19" x14ac:dyDescent="0.25">
      <c r="A1" s="28" t="s">
        <v>105</v>
      </c>
    </row>
    <row r="3" spans="1:14" x14ac:dyDescent="0.2">
      <c r="C3" s="29" t="s">
        <v>8</v>
      </c>
      <c r="D3" s="29" t="s">
        <v>40</v>
      </c>
      <c r="E3" s="29" t="s">
        <v>32</v>
      </c>
      <c r="G3" s="29" t="s">
        <v>32</v>
      </c>
      <c r="I3" s="31" t="s">
        <v>39</v>
      </c>
      <c r="M3" s="31"/>
      <c r="N3" s="31"/>
    </row>
    <row r="4" spans="1:14" ht="15" thickBot="1" x14ac:dyDescent="0.25">
      <c r="B4" s="32" t="s">
        <v>35</v>
      </c>
      <c r="C4" s="32" t="s">
        <v>7</v>
      </c>
      <c r="D4" s="32" t="s">
        <v>35</v>
      </c>
      <c r="E4" s="32" t="s">
        <v>38</v>
      </c>
      <c r="F4" s="32" t="s">
        <v>30</v>
      </c>
      <c r="G4" s="32" t="s">
        <v>30</v>
      </c>
      <c r="I4" s="31" t="s">
        <v>37</v>
      </c>
    </row>
    <row r="5" spans="1:14" x14ac:dyDescent="0.2">
      <c r="B5" s="29">
        <v>1</v>
      </c>
      <c r="C5" s="33">
        <f t="shared" ref="C5:C34" ca="1" si="0">RAND()</f>
        <v>0.81786928819633897</v>
      </c>
      <c r="D5" s="29">
        <f ca="1">VLOOKUP(C5,$J$7:$K$9,2)</f>
        <v>6</v>
      </c>
      <c r="E5" s="29">
        <f ca="1">D5</f>
        <v>6</v>
      </c>
      <c r="F5" s="34">
        <f t="shared" ref="F5:F34" si="1">BreakdownCost</f>
        <v>11000</v>
      </c>
      <c r="G5" s="34">
        <f>F5</f>
        <v>11000</v>
      </c>
      <c r="K5" s="29" t="s">
        <v>7</v>
      </c>
    </row>
    <row r="6" spans="1:14" x14ac:dyDescent="0.2">
      <c r="B6" s="29">
        <v>2</v>
      </c>
      <c r="C6" s="33">
        <f t="shared" ca="1" si="0"/>
        <v>0.45238514100496929</v>
      </c>
      <c r="D6" s="29">
        <f t="shared" ref="D6:D34" ca="1" si="2">VLOOKUP(C6,$J$7:$K$9,2)</f>
        <v>5</v>
      </c>
      <c r="E6" s="29">
        <f ca="1">E5+D6</f>
        <v>11</v>
      </c>
      <c r="F6" s="34">
        <f t="shared" si="1"/>
        <v>11000</v>
      </c>
      <c r="G6" s="34">
        <f>F6+G5</f>
        <v>22000</v>
      </c>
      <c r="I6" s="29" t="s">
        <v>33</v>
      </c>
      <c r="J6" s="29" t="s">
        <v>32</v>
      </c>
      <c r="K6" s="29" t="s">
        <v>31</v>
      </c>
    </row>
    <row r="7" spans="1:14" x14ac:dyDescent="0.2">
      <c r="B7" s="29">
        <v>3</v>
      </c>
      <c r="C7" s="33">
        <f t="shared" ca="1" si="0"/>
        <v>0.35899071977425911</v>
      </c>
      <c r="D7" s="29">
        <f t="shared" ca="1" si="2"/>
        <v>5</v>
      </c>
      <c r="E7" s="29">
        <f t="shared" ref="E7:E34" ca="1" si="3">E6+D7</f>
        <v>16</v>
      </c>
      <c r="F7" s="34">
        <f t="shared" si="1"/>
        <v>11000</v>
      </c>
      <c r="G7" s="34">
        <f t="shared" ref="G7:G34" si="4">F7+G6</f>
        <v>33000</v>
      </c>
      <c r="I7" s="35">
        <v>0.25</v>
      </c>
      <c r="J7" s="35">
        <v>0</v>
      </c>
      <c r="K7" s="35">
        <v>4</v>
      </c>
    </row>
    <row r="8" spans="1:14" x14ac:dyDescent="0.2">
      <c r="B8" s="29">
        <v>4</v>
      </c>
      <c r="C8" s="33">
        <f t="shared" ca="1" si="0"/>
        <v>0.6445172729313039</v>
      </c>
      <c r="D8" s="29">
        <f t="shared" ca="1" si="2"/>
        <v>5</v>
      </c>
      <c r="E8" s="29">
        <f t="shared" ca="1" si="3"/>
        <v>21</v>
      </c>
      <c r="F8" s="34">
        <f t="shared" si="1"/>
        <v>11000</v>
      </c>
      <c r="G8" s="34">
        <f t="shared" si="4"/>
        <v>44000</v>
      </c>
      <c r="I8" s="35">
        <v>0.5</v>
      </c>
      <c r="J8" s="35">
        <v>0.25</v>
      </c>
      <c r="K8" s="35">
        <v>5</v>
      </c>
    </row>
    <row r="9" spans="1:14" x14ac:dyDescent="0.2">
      <c r="B9" s="29">
        <v>5</v>
      </c>
      <c r="C9" s="33">
        <f t="shared" ca="1" si="0"/>
        <v>0.87856240923554529</v>
      </c>
      <c r="D9" s="29">
        <f t="shared" ca="1" si="2"/>
        <v>6</v>
      </c>
      <c r="E9" s="29">
        <f t="shared" ca="1" si="3"/>
        <v>27</v>
      </c>
      <c r="F9" s="34">
        <f t="shared" si="1"/>
        <v>11000</v>
      </c>
      <c r="G9" s="34">
        <f t="shared" si="4"/>
        <v>55000</v>
      </c>
      <c r="I9" s="35">
        <v>0.25</v>
      </c>
      <c r="J9" s="35">
        <v>0.75</v>
      </c>
      <c r="K9" s="35">
        <v>6</v>
      </c>
    </row>
    <row r="10" spans="1:14" x14ac:dyDescent="0.2">
      <c r="B10" s="29">
        <v>6</v>
      </c>
      <c r="C10" s="33">
        <f t="shared" ca="1" si="0"/>
        <v>0.41059524095996636</v>
      </c>
      <c r="D10" s="29">
        <f t="shared" ca="1" si="2"/>
        <v>5</v>
      </c>
      <c r="E10" s="29">
        <f t="shared" ca="1" si="3"/>
        <v>32</v>
      </c>
      <c r="F10" s="34">
        <f t="shared" si="1"/>
        <v>11000</v>
      </c>
      <c r="G10" s="34">
        <f t="shared" si="4"/>
        <v>66000</v>
      </c>
    </row>
    <row r="11" spans="1:14" x14ac:dyDescent="0.2">
      <c r="B11" s="29">
        <v>7</v>
      </c>
      <c r="C11" s="33">
        <f t="shared" ca="1" si="0"/>
        <v>0.94882064130500698</v>
      </c>
      <c r="D11" s="29">
        <f t="shared" ca="1" si="2"/>
        <v>6</v>
      </c>
      <c r="E11" s="29">
        <f t="shared" ca="1" si="3"/>
        <v>38</v>
      </c>
      <c r="F11" s="34">
        <f t="shared" si="1"/>
        <v>11000</v>
      </c>
      <c r="G11" s="34">
        <f t="shared" si="4"/>
        <v>77000</v>
      </c>
      <c r="I11" s="29" t="s">
        <v>23</v>
      </c>
      <c r="J11" s="36">
        <v>11000</v>
      </c>
    </row>
    <row r="12" spans="1:14" x14ac:dyDescent="0.2">
      <c r="B12" s="29">
        <v>8</v>
      </c>
      <c r="C12" s="33">
        <f t="shared" ca="1" si="0"/>
        <v>0.7321060438992083</v>
      </c>
      <c r="D12" s="29">
        <f t="shared" ca="1" si="2"/>
        <v>5</v>
      </c>
      <c r="E12" s="29">
        <f t="shared" ca="1" si="3"/>
        <v>43</v>
      </c>
      <c r="F12" s="34">
        <f t="shared" si="1"/>
        <v>11000</v>
      </c>
      <c r="G12" s="34">
        <f t="shared" si="4"/>
        <v>88000</v>
      </c>
    </row>
    <row r="13" spans="1:14" x14ac:dyDescent="0.2">
      <c r="B13" s="29">
        <v>9</v>
      </c>
      <c r="C13" s="33">
        <f t="shared" ca="1" si="0"/>
        <v>0.12158113998460851</v>
      </c>
      <c r="D13" s="29">
        <f t="shared" ca="1" si="2"/>
        <v>4</v>
      </c>
      <c r="E13" s="29">
        <f t="shared" ca="1" si="3"/>
        <v>47</v>
      </c>
      <c r="F13" s="34">
        <f t="shared" si="1"/>
        <v>11000</v>
      </c>
      <c r="G13" s="34">
        <f t="shared" si="4"/>
        <v>99000</v>
      </c>
    </row>
    <row r="14" spans="1:14" x14ac:dyDescent="0.2">
      <c r="B14" s="29">
        <v>10</v>
      </c>
      <c r="C14" s="33">
        <f t="shared" ca="1" si="0"/>
        <v>0.5373058706848779</v>
      </c>
      <c r="D14" s="29">
        <f t="shared" ca="1" si="2"/>
        <v>5</v>
      </c>
      <c r="E14" s="29">
        <f t="shared" ca="1" si="3"/>
        <v>52</v>
      </c>
      <c r="F14" s="34">
        <f t="shared" si="1"/>
        <v>11000</v>
      </c>
      <c r="G14" s="34">
        <f t="shared" si="4"/>
        <v>110000</v>
      </c>
    </row>
    <row r="15" spans="1:14" x14ac:dyDescent="0.2">
      <c r="B15" s="29">
        <v>11</v>
      </c>
      <c r="C15" s="33">
        <f t="shared" ca="1" si="0"/>
        <v>0.50711975360257255</v>
      </c>
      <c r="D15" s="29">
        <f t="shared" ca="1" si="2"/>
        <v>5</v>
      </c>
      <c r="E15" s="29">
        <f t="shared" ca="1" si="3"/>
        <v>57</v>
      </c>
      <c r="F15" s="34">
        <f t="shared" si="1"/>
        <v>11000</v>
      </c>
      <c r="G15" s="34">
        <f t="shared" si="4"/>
        <v>121000</v>
      </c>
    </row>
    <row r="16" spans="1:14" x14ac:dyDescent="0.2">
      <c r="B16" s="29">
        <v>12</v>
      </c>
      <c r="C16" s="33">
        <f t="shared" ca="1" si="0"/>
        <v>0.16055699064135864</v>
      </c>
      <c r="D16" s="29">
        <f t="shared" ca="1" si="2"/>
        <v>4</v>
      </c>
      <c r="E16" s="29">
        <f t="shared" ca="1" si="3"/>
        <v>61</v>
      </c>
      <c r="F16" s="34">
        <f t="shared" si="1"/>
        <v>11000</v>
      </c>
      <c r="G16" s="34">
        <f t="shared" si="4"/>
        <v>132000</v>
      </c>
    </row>
    <row r="17" spans="2:7" x14ac:dyDescent="0.2">
      <c r="B17" s="29">
        <v>13</v>
      </c>
      <c r="C17" s="33">
        <f t="shared" ca="1" si="0"/>
        <v>0.68563377610271437</v>
      </c>
      <c r="D17" s="29">
        <f t="shared" ca="1" si="2"/>
        <v>5</v>
      </c>
      <c r="E17" s="29">
        <f t="shared" ca="1" si="3"/>
        <v>66</v>
      </c>
      <c r="F17" s="34">
        <f t="shared" si="1"/>
        <v>11000</v>
      </c>
      <c r="G17" s="34">
        <f t="shared" si="4"/>
        <v>143000</v>
      </c>
    </row>
    <row r="18" spans="2:7" x14ac:dyDescent="0.2">
      <c r="B18" s="29">
        <v>14</v>
      </c>
      <c r="C18" s="33">
        <f t="shared" ca="1" si="0"/>
        <v>0.33738381787881921</v>
      </c>
      <c r="D18" s="29">
        <f t="shared" ca="1" si="2"/>
        <v>5</v>
      </c>
      <c r="E18" s="29">
        <f t="shared" ca="1" si="3"/>
        <v>71</v>
      </c>
      <c r="F18" s="34">
        <f t="shared" si="1"/>
        <v>11000</v>
      </c>
      <c r="G18" s="34">
        <f t="shared" si="4"/>
        <v>154000</v>
      </c>
    </row>
    <row r="19" spans="2:7" x14ac:dyDescent="0.2">
      <c r="B19" s="29">
        <v>15</v>
      </c>
      <c r="C19" s="33">
        <f t="shared" ca="1" si="0"/>
        <v>0.67201017775455851</v>
      </c>
      <c r="D19" s="29">
        <f t="shared" ca="1" si="2"/>
        <v>5</v>
      </c>
      <c r="E19" s="29">
        <f t="shared" ca="1" si="3"/>
        <v>76</v>
      </c>
      <c r="F19" s="34">
        <f t="shared" si="1"/>
        <v>11000</v>
      </c>
      <c r="G19" s="34">
        <f t="shared" si="4"/>
        <v>165000</v>
      </c>
    </row>
    <row r="20" spans="2:7" x14ac:dyDescent="0.2">
      <c r="B20" s="29">
        <v>16</v>
      </c>
      <c r="C20" s="33">
        <f t="shared" ca="1" si="0"/>
        <v>0.5332112363150221</v>
      </c>
      <c r="D20" s="29">
        <f t="shared" ca="1" si="2"/>
        <v>5</v>
      </c>
      <c r="E20" s="29">
        <f t="shared" ca="1" si="3"/>
        <v>81</v>
      </c>
      <c r="F20" s="34">
        <f t="shared" si="1"/>
        <v>11000</v>
      </c>
      <c r="G20" s="34">
        <f t="shared" si="4"/>
        <v>176000</v>
      </c>
    </row>
    <row r="21" spans="2:7" x14ac:dyDescent="0.2">
      <c r="B21" s="29">
        <v>17</v>
      </c>
      <c r="C21" s="33">
        <f t="shared" ca="1" si="0"/>
        <v>0.9823218217969274</v>
      </c>
      <c r="D21" s="29">
        <f t="shared" ca="1" si="2"/>
        <v>6</v>
      </c>
      <c r="E21" s="29">
        <f t="shared" ca="1" si="3"/>
        <v>87</v>
      </c>
      <c r="F21" s="34">
        <f t="shared" si="1"/>
        <v>11000</v>
      </c>
      <c r="G21" s="34">
        <f t="shared" si="4"/>
        <v>187000</v>
      </c>
    </row>
    <row r="22" spans="2:7" x14ac:dyDescent="0.2">
      <c r="B22" s="29">
        <v>18</v>
      </c>
      <c r="C22" s="33">
        <f t="shared" ca="1" si="0"/>
        <v>0.6991906588944593</v>
      </c>
      <c r="D22" s="29">
        <f t="shared" ca="1" si="2"/>
        <v>5</v>
      </c>
      <c r="E22" s="29">
        <f t="shared" ca="1" si="3"/>
        <v>92</v>
      </c>
      <c r="F22" s="34">
        <f t="shared" si="1"/>
        <v>11000</v>
      </c>
      <c r="G22" s="34">
        <f t="shared" si="4"/>
        <v>198000</v>
      </c>
    </row>
    <row r="23" spans="2:7" x14ac:dyDescent="0.2">
      <c r="B23" s="29">
        <v>19</v>
      </c>
      <c r="C23" s="33">
        <f t="shared" ca="1" si="0"/>
        <v>0.44286171052916712</v>
      </c>
      <c r="D23" s="29">
        <f t="shared" ca="1" si="2"/>
        <v>5</v>
      </c>
      <c r="E23" s="29">
        <f t="shared" ca="1" si="3"/>
        <v>97</v>
      </c>
      <c r="F23" s="34">
        <f t="shared" si="1"/>
        <v>11000</v>
      </c>
      <c r="G23" s="34">
        <f t="shared" si="4"/>
        <v>209000</v>
      </c>
    </row>
    <row r="24" spans="2:7" x14ac:dyDescent="0.2">
      <c r="B24" s="29">
        <v>20</v>
      </c>
      <c r="C24" s="33">
        <f t="shared" ca="1" si="0"/>
        <v>0.65186822794035615</v>
      </c>
      <c r="D24" s="29">
        <f t="shared" ca="1" si="2"/>
        <v>5</v>
      </c>
      <c r="E24" s="29">
        <f t="shared" ca="1" si="3"/>
        <v>102</v>
      </c>
      <c r="F24" s="34">
        <f t="shared" si="1"/>
        <v>11000</v>
      </c>
      <c r="G24" s="34">
        <f t="shared" si="4"/>
        <v>220000</v>
      </c>
    </row>
    <row r="25" spans="2:7" x14ac:dyDescent="0.2">
      <c r="B25" s="29">
        <v>21</v>
      </c>
      <c r="C25" s="33">
        <f t="shared" ca="1" si="0"/>
        <v>0.87438616122813684</v>
      </c>
      <c r="D25" s="29">
        <f t="shared" ca="1" si="2"/>
        <v>6</v>
      </c>
      <c r="E25" s="29">
        <f t="shared" ca="1" si="3"/>
        <v>108</v>
      </c>
      <c r="F25" s="34">
        <f t="shared" si="1"/>
        <v>11000</v>
      </c>
      <c r="G25" s="34">
        <f t="shared" si="4"/>
        <v>231000</v>
      </c>
    </row>
    <row r="26" spans="2:7" x14ac:dyDescent="0.2">
      <c r="B26" s="29">
        <v>22</v>
      </c>
      <c r="C26" s="33">
        <f t="shared" ca="1" si="0"/>
        <v>0.52354462384510614</v>
      </c>
      <c r="D26" s="29">
        <f t="shared" ca="1" si="2"/>
        <v>5</v>
      </c>
      <c r="E26" s="29">
        <f t="shared" ca="1" si="3"/>
        <v>113</v>
      </c>
      <c r="F26" s="34">
        <f t="shared" si="1"/>
        <v>11000</v>
      </c>
      <c r="G26" s="34">
        <f t="shared" si="4"/>
        <v>242000</v>
      </c>
    </row>
    <row r="27" spans="2:7" x14ac:dyDescent="0.2">
      <c r="B27" s="29">
        <v>23</v>
      </c>
      <c r="C27" s="33">
        <f t="shared" ca="1" si="0"/>
        <v>0.87799758948535078</v>
      </c>
      <c r="D27" s="29">
        <f t="shared" ca="1" si="2"/>
        <v>6</v>
      </c>
      <c r="E27" s="29">
        <f t="shared" ca="1" si="3"/>
        <v>119</v>
      </c>
      <c r="F27" s="34">
        <f t="shared" si="1"/>
        <v>11000</v>
      </c>
      <c r="G27" s="34">
        <f t="shared" si="4"/>
        <v>253000</v>
      </c>
    </row>
    <row r="28" spans="2:7" x14ac:dyDescent="0.2">
      <c r="B28" s="29">
        <v>24</v>
      </c>
      <c r="C28" s="33">
        <f t="shared" ca="1" si="0"/>
        <v>0.35353994477965767</v>
      </c>
      <c r="D28" s="29">
        <f t="shared" ca="1" si="2"/>
        <v>5</v>
      </c>
      <c r="E28" s="29">
        <f t="shared" ca="1" si="3"/>
        <v>124</v>
      </c>
      <c r="F28" s="34">
        <f t="shared" si="1"/>
        <v>11000</v>
      </c>
      <c r="G28" s="34">
        <f t="shared" si="4"/>
        <v>264000</v>
      </c>
    </row>
    <row r="29" spans="2:7" x14ac:dyDescent="0.2">
      <c r="B29" s="29">
        <v>25</v>
      </c>
      <c r="C29" s="33">
        <f t="shared" ca="1" si="0"/>
        <v>0.58580410264163629</v>
      </c>
      <c r="D29" s="29">
        <f t="shared" ca="1" si="2"/>
        <v>5</v>
      </c>
      <c r="E29" s="29">
        <f t="shared" ca="1" si="3"/>
        <v>129</v>
      </c>
      <c r="F29" s="34">
        <f t="shared" si="1"/>
        <v>11000</v>
      </c>
      <c r="G29" s="34">
        <f t="shared" si="4"/>
        <v>275000</v>
      </c>
    </row>
    <row r="30" spans="2:7" x14ac:dyDescent="0.2">
      <c r="B30" s="29">
        <v>26</v>
      </c>
      <c r="C30" s="33">
        <f t="shared" ca="1" si="0"/>
        <v>1.7856266052247771E-2</v>
      </c>
      <c r="D30" s="29">
        <f t="shared" ca="1" si="2"/>
        <v>4</v>
      </c>
      <c r="E30" s="29">
        <f t="shared" ca="1" si="3"/>
        <v>133</v>
      </c>
      <c r="F30" s="34">
        <f t="shared" si="1"/>
        <v>11000</v>
      </c>
      <c r="G30" s="34">
        <f t="shared" si="4"/>
        <v>286000</v>
      </c>
    </row>
    <row r="31" spans="2:7" x14ac:dyDescent="0.2">
      <c r="B31" s="29">
        <v>27</v>
      </c>
      <c r="C31" s="33">
        <f t="shared" ca="1" si="0"/>
        <v>0.69353032166318096</v>
      </c>
      <c r="D31" s="29">
        <f t="shared" ca="1" si="2"/>
        <v>5</v>
      </c>
      <c r="E31" s="29">
        <f t="shared" ca="1" si="3"/>
        <v>138</v>
      </c>
      <c r="F31" s="34">
        <f t="shared" si="1"/>
        <v>11000</v>
      </c>
      <c r="G31" s="34">
        <f t="shared" si="4"/>
        <v>297000</v>
      </c>
    </row>
    <row r="32" spans="2:7" x14ac:dyDescent="0.2">
      <c r="B32" s="29">
        <v>28</v>
      </c>
      <c r="C32" s="33">
        <f t="shared" ca="1" si="0"/>
        <v>0.31325960933577224</v>
      </c>
      <c r="D32" s="29">
        <f t="shared" ca="1" si="2"/>
        <v>5</v>
      </c>
      <c r="E32" s="29">
        <f t="shared" ca="1" si="3"/>
        <v>143</v>
      </c>
      <c r="F32" s="34">
        <f t="shared" si="1"/>
        <v>11000</v>
      </c>
      <c r="G32" s="34">
        <f t="shared" si="4"/>
        <v>308000</v>
      </c>
    </row>
    <row r="33" spans="2:10" ht="15" thickBot="1" x14ac:dyDescent="0.25">
      <c r="B33" s="29">
        <v>29</v>
      </c>
      <c r="C33" s="33">
        <f t="shared" ca="1" si="0"/>
        <v>0.47844426039142318</v>
      </c>
      <c r="D33" s="29">
        <f t="shared" ca="1" si="2"/>
        <v>5</v>
      </c>
      <c r="E33" s="29">
        <f t="shared" ca="1" si="3"/>
        <v>148</v>
      </c>
      <c r="F33" s="34">
        <f t="shared" si="1"/>
        <v>11000</v>
      </c>
      <c r="G33" s="34">
        <f t="shared" si="4"/>
        <v>319000</v>
      </c>
      <c r="J33" s="29" t="s">
        <v>21</v>
      </c>
    </row>
    <row r="34" spans="2:10" ht="15" thickBot="1" x14ac:dyDescent="0.25">
      <c r="B34" s="29">
        <v>30</v>
      </c>
      <c r="C34" s="33">
        <f t="shared" ca="1" si="0"/>
        <v>0.2654041169518454</v>
      </c>
      <c r="D34" s="29">
        <f t="shared" ca="1" si="2"/>
        <v>5</v>
      </c>
      <c r="E34" s="29">
        <f t="shared" ca="1" si="3"/>
        <v>153</v>
      </c>
      <c r="F34" s="34">
        <f t="shared" si="1"/>
        <v>11000</v>
      </c>
      <c r="G34" s="34">
        <f t="shared" si="4"/>
        <v>330000</v>
      </c>
      <c r="J34" s="37">
        <f ca="1">G34/E34</f>
        <v>2156.8627450980393</v>
      </c>
    </row>
    <row r="36" spans="2:10" x14ac:dyDescent="0.2">
      <c r="G36" s="38"/>
    </row>
  </sheetData>
  <printOptions headings="1" gridLines="1"/>
  <pageMargins left="0.75" right="0.75" top="1" bottom="1" header="0.5" footer="0.5"/>
  <pageSetup paperSize="0" orientation="portrait" horizontalDpi="4294967292" verticalDpi="4294967292"/>
  <headerFooter alignWithMargins="0"/>
  <ignoredErrors>
    <ignoredError sqref="F5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4DDC1-461F-4944-9727-8B3D61236F6B}">
  <dimension ref="A1:P34"/>
  <sheetViews>
    <sheetView zoomScale="200" workbookViewId="0">
      <selection activeCell="K36" sqref="K36"/>
    </sheetView>
  </sheetViews>
  <sheetFormatPr baseColWidth="10" defaultColWidth="10.83203125" defaultRowHeight="14" x14ac:dyDescent="0.2"/>
  <cols>
    <col min="1" max="1" width="2.83203125" style="30" customWidth="1"/>
    <col min="2" max="2" width="9.5" style="29" customWidth="1"/>
    <col min="3" max="3" width="9.6640625" style="29" customWidth="1"/>
    <col min="4" max="4" width="11.1640625" style="29" bestFit="1" customWidth="1"/>
    <col min="5" max="5" width="18.1640625" style="29" bestFit="1" customWidth="1"/>
    <col min="6" max="6" width="16.1640625" style="29" bestFit="1" customWidth="1"/>
    <col min="7" max="7" width="11.6640625" style="29" bestFit="1" customWidth="1"/>
    <col min="8" max="8" width="9.6640625" style="29" customWidth="1"/>
    <col min="9" max="9" width="12.33203125" style="29" customWidth="1"/>
    <col min="10" max="10" width="4.6640625" style="30" customWidth="1"/>
    <col min="11" max="11" width="18.6640625" style="29" customWidth="1"/>
    <col min="12" max="12" width="13" style="29" customWidth="1"/>
    <col min="13" max="13" width="8.33203125" style="29" bestFit="1" customWidth="1"/>
    <col min="14" max="14" width="5.83203125" style="30" customWidth="1"/>
    <col min="15" max="15" width="31.6640625" style="30" bestFit="1" customWidth="1"/>
    <col min="16" max="16" width="8.1640625" style="30" bestFit="1" customWidth="1"/>
    <col min="17" max="16384" width="10.83203125" style="30"/>
  </cols>
  <sheetData>
    <row r="1" spans="1:16" ht="19" x14ac:dyDescent="0.25">
      <c r="A1" s="28" t="s">
        <v>107</v>
      </c>
    </row>
    <row r="2" spans="1:16" ht="15" thickBot="1" x14ac:dyDescent="0.25"/>
    <row r="3" spans="1:16" ht="15" thickBot="1" x14ac:dyDescent="0.25">
      <c r="C3" s="29" t="s">
        <v>8</v>
      </c>
      <c r="D3" s="29" t="s">
        <v>61</v>
      </c>
      <c r="E3" s="29" t="s">
        <v>60</v>
      </c>
      <c r="F3" s="29" t="s">
        <v>59</v>
      </c>
      <c r="G3" s="29" t="s">
        <v>32</v>
      </c>
      <c r="I3" s="29" t="s">
        <v>32</v>
      </c>
      <c r="K3" s="31" t="s">
        <v>39</v>
      </c>
      <c r="O3" s="39" t="s">
        <v>14</v>
      </c>
      <c r="P3" s="40" t="s">
        <v>15</v>
      </c>
    </row>
    <row r="4" spans="1:16" ht="15" thickBot="1" x14ac:dyDescent="0.25">
      <c r="B4" s="32" t="s">
        <v>52</v>
      </c>
      <c r="C4" s="32" t="s">
        <v>7</v>
      </c>
      <c r="D4" s="32" t="s">
        <v>35</v>
      </c>
      <c r="E4" s="32" t="s">
        <v>58</v>
      </c>
      <c r="F4" s="32" t="s">
        <v>57</v>
      </c>
      <c r="G4" s="32" t="s">
        <v>38</v>
      </c>
      <c r="H4" s="32" t="s">
        <v>30</v>
      </c>
      <c r="I4" s="32" t="s">
        <v>30</v>
      </c>
      <c r="K4" s="31" t="s">
        <v>37</v>
      </c>
      <c r="O4" s="41" t="s">
        <v>36</v>
      </c>
      <c r="P4" s="42" t="s">
        <v>56</v>
      </c>
    </row>
    <row r="5" spans="1:16" x14ac:dyDescent="0.2">
      <c r="B5" s="29">
        <v>1</v>
      </c>
      <c r="C5" s="33">
        <f t="shared" ref="C5:C34" ca="1" si="0">RAND()</f>
        <v>0.22962914423111958</v>
      </c>
      <c r="D5" s="29">
        <f ca="1">VLOOKUP(C5,$L$7:$M$9,2)</f>
        <v>4</v>
      </c>
      <c r="E5" s="29">
        <f>ReplaceAfter</f>
        <v>4</v>
      </c>
      <c r="F5" s="29" t="str">
        <f ca="1">IF(D5&lt;=E5,"Breakdown","Replacement")</f>
        <v>Breakdown</v>
      </c>
      <c r="G5" s="29">
        <f ca="1">MIN(D5,E5)</f>
        <v>4</v>
      </c>
      <c r="H5" s="34">
        <f ca="1">IF(F5="Breakdown",BreakdownCost,ReplacementCost)</f>
        <v>11000</v>
      </c>
      <c r="I5" s="34">
        <f ca="1">H5</f>
        <v>11000</v>
      </c>
      <c r="M5" s="29" t="s">
        <v>7</v>
      </c>
      <c r="O5" s="43" t="s">
        <v>55</v>
      </c>
      <c r="P5" s="44" t="s">
        <v>54</v>
      </c>
    </row>
    <row r="6" spans="1:16" x14ac:dyDescent="0.2">
      <c r="B6" s="29">
        <v>2</v>
      </c>
      <c r="C6" s="33">
        <f t="shared" ca="1" si="0"/>
        <v>0.66950298328162527</v>
      </c>
      <c r="D6" s="29">
        <f t="shared" ref="D6:D34" ca="1" si="1">VLOOKUP(C6,$L$7:$M$9,2)</f>
        <v>5</v>
      </c>
      <c r="E6" s="29">
        <f t="shared" ref="E6:E34" si="2">ReplaceAfter</f>
        <v>4</v>
      </c>
      <c r="F6" s="29" t="str">
        <f t="shared" ref="F6:F34" ca="1" si="3">IF(D6&lt;=E6,"Breakdown","Replacement")</f>
        <v>Replacement</v>
      </c>
      <c r="G6" s="29">
        <f t="shared" ref="G6:G34" ca="1" si="4">G5+MIN(D6,E6)</f>
        <v>8</v>
      </c>
      <c r="H6" s="34">
        <f t="shared" ref="H6:H34" ca="1" si="5">IF(F6="Breakdown",BreakdownCost,ReplacementCost)</f>
        <v>6000</v>
      </c>
      <c r="I6" s="34">
        <f ca="1">H6+I5</f>
        <v>17000</v>
      </c>
      <c r="K6" s="29" t="s">
        <v>33</v>
      </c>
      <c r="L6" s="29" t="s">
        <v>32</v>
      </c>
      <c r="M6" s="29" t="s">
        <v>31</v>
      </c>
      <c r="O6" s="43" t="s">
        <v>30</v>
      </c>
      <c r="P6" s="44" t="s">
        <v>53</v>
      </c>
    </row>
    <row r="7" spans="1:16" x14ac:dyDescent="0.2">
      <c r="B7" s="29">
        <v>3</v>
      </c>
      <c r="C7" s="33">
        <f t="shared" ca="1" si="0"/>
        <v>0.80096750153440366</v>
      </c>
      <c r="D7" s="29">
        <f t="shared" ca="1" si="1"/>
        <v>6</v>
      </c>
      <c r="E7" s="29">
        <f t="shared" si="2"/>
        <v>4</v>
      </c>
      <c r="F7" s="29" t="str">
        <f t="shared" ca="1" si="3"/>
        <v>Replacement</v>
      </c>
      <c r="G7" s="29">
        <f t="shared" ca="1" si="4"/>
        <v>12</v>
      </c>
      <c r="H7" s="34">
        <f t="shared" ca="1" si="5"/>
        <v>6000</v>
      </c>
      <c r="I7" s="34">
        <f t="shared" ref="I7:I34" ca="1" si="6">H7+I6</f>
        <v>23000</v>
      </c>
      <c r="K7" s="35">
        <v>0.25</v>
      </c>
      <c r="L7" s="35">
        <v>0</v>
      </c>
      <c r="M7" s="35">
        <v>4</v>
      </c>
      <c r="O7" s="43" t="s">
        <v>52</v>
      </c>
      <c r="P7" s="44" t="s">
        <v>34</v>
      </c>
    </row>
    <row r="8" spans="1:16" x14ac:dyDescent="0.2">
      <c r="B8" s="29">
        <v>4</v>
      </c>
      <c r="C8" s="33">
        <f t="shared" ca="1" si="0"/>
        <v>0.28760961499747606</v>
      </c>
      <c r="D8" s="29">
        <f t="shared" ca="1" si="1"/>
        <v>5</v>
      </c>
      <c r="E8" s="29">
        <f t="shared" si="2"/>
        <v>4</v>
      </c>
      <c r="F8" s="29" t="str">
        <f t="shared" ca="1" si="3"/>
        <v>Replacement</v>
      </c>
      <c r="G8" s="29">
        <f t="shared" ca="1" si="4"/>
        <v>16</v>
      </c>
      <c r="H8" s="34">
        <f t="shared" ca="1" si="5"/>
        <v>6000</v>
      </c>
      <c r="I8" s="34">
        <f t="shared" ca="1" si="6"/>
        <v>29000</v>
      </c>
      <c r="K8" s="35">
        <v>0.5</v>
      </c>
      <c r="L8" s="35">
        <v>0.25</v>
      </c>
      <c r="M8" s="35">
        <v>5</v>
      </c>
      <c r="O8" s="43" t="s">
        <v>28</v>
      </c>
      <c r="P8" s="44" t="s">
        <v>51</v>
      </c>
    </row>
    <row r="9" spans="1:16" x14ac:dyDescent="0.2">
      <c r="B9" s="29">
        <v>5</v>
      </c>
      <c r="C9" s="33">
        <f t="shared" ca="1" si="0"/>
        <v>2.9110218173523772E-2</v>
      </c>
      <c r="D9" s="29">
        <f t="shared" ca="1" si="1"/>
        <v>4</v>
      </c>
      <c r="E9" s="29">
        <f t="shared" si="2"/>
        <v>4</v>
      </c>
      <c r="F9" s="29" t="str">
        <f t="shared" ca="1" si="3"/>
        <v>Breakdown</v>
      </c>
      <c r="G9" s="29">
        <f t="shared" ca="1" si="4"/>
        <v>20</v>
      </c>
      <c r="H9" s="34">
        <f t="shared" ca="1" si="5"/>
        <v>11000</v>
      </c>
      <c r="I9" s="34">
        <f t="shared" ca="1" si="6"/>
        <v>40000</v>
      </c>
      <c r="K9" s="35">
        <v>0.25</v>
      </c>
      <c r="L9" s="35">
        <v>0.75</v>
      </c>
      <c r="M9" s="35">
        <v>6</v>
      </c>
      <c r="O9" s="43" t="s">
        <v>26</v>
      </c>
      <c r="P9" s="44" t="s">
        <v>27</v>
      </c>
    </row>
    <row r="10" spans="1:16" x14ac:dyDescent="0.2">
      <c r="B10" s="29">
        <v>6</v>
      </c>
      <c r="C10" s="33">
        <f t="shared" ca="1" si="0"/>
        <v>0.63157575562537704</v>
      </c>
      <c r="D10" s="29">
        <f t="shared" ca="1" si="1"/>
        <v>5</v>
      </c>
      <c r="E10" s="29">
        <f t="shared" si="2"/>
        <v>4</v>
      </c>
      <c r="F10" s="29" t="str">
        <f t="shared" ca="1" si="3"/>
        <v>Replacement</v>
      </c>
      <c r="G10" s="29">
        <f t="shared" ca="1" si="4"/>
        <v>24</v>
      </c>
      <c r="H10" s="34">
        <f t="shared" ca="1" si="5"/>
        <v>6000</v>
      </c>
      <c r="I10" s="34">
        <f t="shared" ca="1" si="6"/>
        <v>46000</v>
      </c>
      <c r="O10" s="43" t="s">
        <v>50</v>
      </c>
      <c r="P10" s="44" t="s">
        <v>29</v>
      </c>
    </row>
    <row r="11" spans="1:16" x14ac:dyDescent="0.2">
      <c r="B11" s="29">
        <v>7</v>
      </c>
      <c r="C11" s="33">
        <f t="shared" ca="1" si="0"/>
        <v>0.56584450164442845</v>
      </c>
      <c r="D11" s="29">
        <f t="shared" ca="1" si="1"/>
        <v>5</v>
      </c>
      <c r="E11" s="29">
        <f t="shared" si="2"/>
        <v>4</v>
      </c>
      <c r="F11" s="29" t="str">
        <f t="shared" ca="1" si="3"/>
        <v>Replacement</v>
      </c>
      <c r="G11" s="29">
        <f t="shared" ca="1" si="4"/>
        <v>28</v>
      </c>
      <c r="H11" s="34">
        <f t="shared" ca="1" si="5"/>
        <v>6000</v>
      </c>
      <c r="I11" s="34">
        <f t="shared" ca="1" si="6"/>
        <v>52000</v>
      </c>
      <c r="K11" s="29" t="s">
        <v>23</v>
      </c>
      <c r="L11" s="36">
        <v>11000</v>
      </c>
      <c r="O11" s="43" t="s">
        <v>16</v>
      </c>
      <c r="P11" s="44" t="s">
        <v>24</v>
      </c>
    </row>
    <row r="12" spans="1:16" x14ac:dyDescent="0.2">
      <c r="B12" s="29">
        <v>8</v>
      </c>
      <c r="C12" s="33">
        <f t="shared" ca="1" si="0"/>
        <v>0.47713156696198367</v>
      </c>
      <c r="D12" s="29">
        <f t="shared" ca="1" si="1"/>
        <v>5</v>
      </c>
      <c r="E12" s="29">
        <f t="shared" si="2"/>
        <v>4</v>
      </c>
      <c r="F12" s="29" t="str">
        <f t="shared" ca="1" si="3"/>
        <v>Replacement</v>
      </c>
      <c r="G12" s="29">
        <f t="shared" ca="1" si="4"/>
        <v>32</v>
      </c>
      <c r="H12" s="34">
        <f t="shared" ca="1" si="5"/>
        <v>6000</v>
      </c>
      <c r="I12" s="34">
        <f t="shared" ca="1" si="6"/>
        <v>58000</v>
      </c>
      <c r="K12" s="29" t="s">
        <v>49</v>
      </c>
      <c r="L12" s="36">
        <v>6000</v>
      </c>
      <c r="O12" s="43" t="s">
        <v>48</v>
      </c>
      <c r="P12" s="44" t="s">
        <v>47</v>
      </c>
    </row>
    <row r="13" spans="1:16" x14ac:dyDescent="0.2">
      <c r="B13" s="29">
        <v>9</v>
      </c>
      <c r="C13" s="33">
        <f t="shared" ca="1" si="0"/>
        <v>0.7057560267192049</v>
      </c>
      <c r="D13" s="29">
        <f t="shared" ca="1" si="1"/>
        <v>5</v>
      </c>
      <c r="E13" s="29">
        <f t="shared" si="2"/>
        <v>4</v>
      </c>
      <c r="F13" s="29" t="str">
        <f t="shared" ca="1" si="3"/>
        <v>Replacement</v>
      </c>
      <c r="G13" s="29">
        <f t="shared" ca="1" si="4"/>
        <v>36</v>
      </c>
      <c r="H13" s="34">
        <f t="shared" ca="1" si="5"/>
        <v>6000</v>
      </c>
      <c r="I13" s="34">
        <f t="shared" ca="1" si="6"/>
        <v>64000</v>
      </c>
      <c r="O13" s="43" t="s">
        <v>46</v>
      </c>
      <c r="P13" s="44" t="s">
        <v>45</v>
      </c>
    </row>
    <row r="14" spans="1:16" x14ac:dyDescent="0.2">
      <c r="B14" s="29">
        <v>10</v>
      </c>
      <c r="C14" s="33">
        <f t="shared" ca="1" si="0"/>
        <v>0.75097443526169261</v>
      </c>
      <c r="D14" s="29">
        <f t="shared" ca="1" si="1"/>
        <v>6</v>
      </c>
      <c r="E14" s="29">
        <f t="shared" si="2"/>
        <v>4</v>
      </c>
      <c r="F14" s="29" t="str">
        <f t="shared" ca="1" si="3"/>
        <v>Replacement</v>
      </c>
      <c r="G14" s="29">
        <f t="shared" ca="1" si="4"/>
        <v>40</v>
      </c>
      <c r="H14" s="34">
        <f t="shared" ca="1" si="5"/>
        <v>6000</v>
      </c>
      <c r="I14" s="34">
        <f t="shared" ca="1" si="6"/>
        <v>70000</v>
      </c>
      <c r="K14" s="29" t="s">
        <v>44</v>
      </c>
      <c r="L14" s="35">
        <v>4</v>
      </c>
      <c r="M14" s="29" t="s">
        <v>43</v>
      </c>
      <c r="O14" s="43" t="s">
        <v>42</v>
      </c>
      <c r="P14" s="44" t="s">
        <v>25</v>
      </c>
    </row>
    <row r="15" spans="1:16" ht="15" thickBot="1" x14ac:dyDescent="0.25">
      <c r="B15" s="29">
        <v>11</v>
      </c>
      <c r="C15" s="33">
        <f t="shared" ca="1" si="0"/>
        <v>0.30657595805328453</v>
      </c>
      <c r="D15" s="29">
        <f t="shared" ca="1" si="1"/>
        <v>5</v>
      </c>
      <c r="E15" s="29">
        <f t="shared" si="2"/>
        <v>4</v>
      </c>
      <c r="F15" s="29" t="str">
        <f t="shared" ca="1" si="3"/>
        <v>Replacement</v>
      </c>
      <c r="G15" s="29">
        <f t="shared" ca="1" si="4"/>
        <v>44</v>
      </c>
      <c r="H15" s="34">
        <f t="shared" ca="1" si="5"/>
        <v>6000</v>
      </c>
      <c r="I15" s="34">
        <f t="shared" ca="1" si="6"/>
        <v>76000</v>
      </c>
      <c r="O15" s="45" t="s">
        <v>41</v>
      </c>
      <c r="P15" s="46" t="s">
        <v>22</v>
      </c>
    </row>
    <row r="16" spans="1:16" x14ac:dyDescent="0.2">
      <c r="B16" s="29">
        <v>12</v>
      </c>
      <c r="C16" s="33">
        <f t="shared" ca="1" si="0"/>
        <v>0.60467409166452346</v>
      </c>
      <c r="D16" s="29">
        <f t="shared" ca="1" si="1"/>
        <v>5</v>
      </c>
      <c r="E16" s="29">
        <f t="shared" si="2"/>
        <v>4</v>
      </c>
      <c r="F16" s="29" t="str">
        <f t="shared" ca="1" si="3"/>
        <v>Replacement</v>
      </c>
      <c r="G16" s="29">
        <f t="shared" ca="1" si="4"/>
        <v>48</v>
      </c>
      <c r="H16" s="34">
        <f t="shared" ca="1" si="5"/>
        <v>6000</v>
      </c>
      <c r="I16" s="34">
        <f t="shared" ca="1" si="6"/>
        <v>82000</v>
      </c>
    </row>
    <row r="17" spans="2:9" x14ac:dyDescent="0.2">
      <c r="B17" s="29">
        <v>13</v>
      </c>
      <c r="C17" s="33">
        <f t="shared" ca="1" si="0"/>
        <v>0.87728458260851638</v>
      </c>
      <c r="D17" s="29">
        <f t="shared" ca="1" si="1"/>
        <v>6</v>
      </c>
      <c r="E17" s="29">
        <f t="shared" si="2"/>
        <v>4</v>
      </c>
      <c r="F17" s="29" t="str">
        <f t="shared" ca="1" si="3"/>
        <v>Replacement</v>
      </c>
      <c r="G17" s="29">
        <f t="shared" ca="1" si="4"/>
        <v>52</v>
      </c>
      <c r="H17" s="34">
        <f t="shared" ca="1" si="5"/>
        <v>6000</v>
      </c>
      <c r="I17" s="34">
        <f t="shared" ca="1" si="6"/>
        <v>88000</v>
      </c>
    </row>
    <row r="18" spans="2:9" x14ac:dyDescent="0.2">
      <c r="B18" s="29">
        <v>14</v>
      </c>
      <c r="C18" s="33">
        <f t="shared" ca="1" si="0"/>
        <v>0.35574013879454003</v>
      </c>
      <c r="D18" s="29">
        <f t="shared" ca="1" si="1"/>
        <v>5</v>
      </c>
      <c r="E18" s="29">
        <f t="shared" si="2"/>
        <v>4</v>
      </c>
      <c r="F18" s="29" t="str">
        <f t="shared" ca="1" si="3"/>
        <v>Replacement</v>
      </c>
      <c r="G18" s="29">
        <f t="shared" ca="1" si="4"/>
        <v>56</v>
      </c>
      <c r="H18" s="34">
        <f t="shared" ca="1" si="5"/>
        <v>6000</v>
      </c>
      <c r="I18" s="34">
        <f t="shared" ca="1" si="6"/>
        <v>94000</v>
      </c>
    </row>
    <row r="19" spans="2:9" x14ac:dyDescent="0.2">
      <c r="B19" s="29">
        <v>15</v>
      </c>
      <c r="C19" s="33">
        <f t="shared" ca="1" si="0"/>
        <v>0.38470821343563522</v>
      </c>
      <c r="D19" s="29">
        <f t="shared" ca="1" si="1"/>
        <v>5</v>
      </c>
      <c r="E19" s="29">
        <f t="shared" si="2"/>
        <v>4</v>
      </c>
      <c r="F19" s="29" t="str">
        <f t="shared" ca="1" si="3"/>
        <v>Replacement</v>
      </c>
      <c r="G19" s="29">
        <f t="shared" ca="1" si="4"/>
        <v>60</v>
      </c>
      <c r="H19" s="34">
        <f t="shared" ca="1" si="5"/>
        <v>6000</v>
      </c>
      <c r="I19" s="34">
        <f t="shared" ca="1" si="6"/>
        <v>100000</v>
      </c>
    </row>
    <row r="20" spans="2:9" x14ac:dyDescent="0.2">
      <c r="B20" s="29">
        <v>16</v>
      </c>
      <c r="C20" s="33">
        <f t="shared" ca="1" si="0"/>
        <v>0.11461225037612877</v>
      </c>
      <c r="D20" s="29">
        <f t="shared" ca="1" si="1"/>
        <v>4</v>
      </c>
      <c r="E20" s="29">
        <f t="shared" si="2"/>
        <v>4</v>
      </c>
      <c r="F20" s="29" t="str">
        <f t="shared" ca="1" si="3"/>
        <v>Breakdown</v>
      </c>
      <c r="G20" s="29">
        <f t="shared" ca="1" si="4"/>
        <v>64</v>
      </c>
      <c r="H20" s="34">
        <f t="shared" ca="1" si="5"/>
        <v>11000</v>
      </c>
      <c r="I20" s="34">
        <f t="shared" ca="1" si="6"/>
        <v>111000</v>
      </c>
    </row>
    <row r="21" spans="2:9" x14ac:dyDescent="0.2">
      <c r="B21" s="29">
        <v>17</v>
      </c>
      <c r="C21" s="33">
        <f t="shared" ca="1" si="0"/>
        <v>0.53913424529449072</v>
      </c>
      <c r="D21" s="29">
        <f t="shared" ca="1" si="1"/>
        <v>5</v>
      </c>
      <c r="E21" s="29">
        <f t="shared" si="2"/>
        <v>4</v>
      </c>
      <c r="F21" s="29" t="str">
        <f t="shared" ca="1" si="3"/>
        <v>Replacement</v>
      </c>
      <c r="G21" s="29">
        <f t="shared" ca="1" si="4"/>
        <v>68</v>
      </c>
      <c r="H21" s="34">
        <f t="shared" ca="1" si="5"/>
        <v>6000</v>
      </c>
      <c r="I21" s="34">
        <f t="shared" ca="1" si="6"/>
        <v>117000</v>
      </c>
    </row>
    <row r="22" spans="2:9" x14ac:dyDescent="0.2">
      <c r="B22" s="29">
        <v>18</v>
      </c>
      <c r="C22" s="33">
        <f t="shared" ca="1" si="0"/>
        <v>0.69233658178665525</v>
      </c>
      <c r="D22" s="29">
        <f t="shared" ca="1" si="1"/>
        <v>5</v>
      </c>
      <c r="E22" s="29">
        <f t="shared" si="2"/>
        <v>4</v>
      </c>
      <c r="F22" s="29" t="str">
        <f t="shared" ca="1" si="3"/>
        <v>Replacement</v>
      </c>
      <c r="G22" s="29">
        <f t="shared" ca="1" si="4"/>
        <v>72</v>
      </c>
      <c r="H22" s="34">
        <f t="shared" ca="1" si="5"/>
        <v>6000</v>
      </c>
      <c r="I22" s="34">
        <f t="shared" ca="1" si="6"/>
        <v>123000</v>
      </c>
    </row>
    <row r="23" spans="2:9" x14ac:dyDescent="0.2">
      <c r="B23" s="29">
        <v>19</v>
      </c>
      <c r="C23" s="33">
        <f t="shared" ca="1" si="0"/>
        <v>0.57750688203673206</v>
      </c>
      <c r="D23" s="29">
        <f t="shared" ca="1" si="1"/>
        <v>5</v>
      </c>
      <c r="E23" s="29">
        <f t="shared" si="2"/>
        <v>4</v>
      </c>
      <c r="F23" s="29" t="str">
        <f t="shared" ca="1" si="3"/>
        <v>Replacement</v>
      </c>
      <c r="G23" s="29">
        <f t="shared" ca="1" si="4"/>
        <v>76</v>
      </c>
      <c r="H23" s="34">
        <f t="shared" ca="1" si="5"/>
        <v>6000</v>
      </c>
      <c r="I23" s="34">
        <f t="shared" ca="1" si="6"/>
        <v>129000</v>
      </c>
    </row>
    <row r="24" spans="2:9" x14ac:dyDescent="0.2">
      <c r="B24" s="29">
        <v>20</v>
      </c>
      <c r="C24" s="33">
        <f t="shared" ca="1" si="0"/>
        <v>8.4414579666172163E-3</v>
      </c>
      <c r="D24" s="29">
        <f t="shared" ca="1" si="1"/>
        <v>4</v>
      </c>
      <c r="E24" s="29">
        <f t="shared" si="2"/>
        <v>4</v>
      </c>
      <c r="F24" s="29" t="str">
        <f t="shared" ca="1" si="3"/>
        <v>Breakdown</v>
      </c>
      <c r="G24" s="29">
        <f t="shared" ca="1" si="4"/>
        <v>80</v>
      </c>
      <c r="H24" s="34">
        <f t="shared" ca="1" si="5"/>
        <v>11000</v>
      </c>
      <c r="I24" s="34">
        <f t="shared" ca="1" si="6"/>
        <v>140000</v>
      </c>
    </row>
    <row r="25" spans="2:9" x14ac:dyDescent="0.2">
      <c r="B25" s="29">
        <v>21</v>
      </c>
      <c r="C25" s="33">
        <f t="shared" ca="1" si="0"/>
        <v>1.5676816989729225E-3</v>
      </c>
      <c r="D25" s="29">
        <f t="shared" ca="1" si="1"/>
        <v>4</v>
      </c>
      <c r="E25" s="29">
        <f t="shared" si="2"/>
        <v>4</v>
      </c>
      <c r="F25" s="29" t="str">
        <f t="shared" ca="1" si="3"/>
        <v>Breakdown</v>
      </c>
      <c r="G25" s="29">
        <f t="shared" ca="1" si="4"/>
        <v>84</v>
      </c>
      <c r="H25" s="34">
        <f t="shared" ca="1" si="5"/>
        <v>11000</v>
      </c>
      <c r="I25" s="34">
        <f t="shared" ca="1" si="6"/>
        <v>151000</v>
      </c>
    </row>
    <row r="26" spans="2:9" x14ac:dyDescent="0.2">
      <c r="B26" s="29">
        <v>22</v>
      </c>
      <c r="C26" s="33">
        <f t="shared" ca="1" si="0"/>
        <v>0.50856550145763491</v>
      </c>
      <c r="D26" s="29">
        <f t="shared" ca="1" si="1"/>
        <v>5</v>
      </c>
      <c r="E26" s="29">
        <f t="shared" si="2"/>
        <v>4</v>
      </c>
      <c r="F26" s="29" t="str">
        <f t="shared" ca="1" si="3"/>
        <v>Replacement</v>
      </c>
      <c r="G26" s="29">
        <f t="shared" ca="1" si="4"/>
        <v>88</v>
      </c>
      <c r="H26" s="34">
        <f t="shared" ca="1" si="5"/>
        <v>6000</v>
      </c>
      <c r="I26" s="34">
        <f t="shared" ca="1" si="6"/>
        <v>157000</v>
      </c>
    </row>
    <row r="27" spans="2:9" x14ac:dyDescent="0.2">
      <c r="B27" s="29">
        <v>23</v>
      </c>
      <c r="C27" s="33">
        <f t="shared" ca="1" si="0"/>
        <v>0.47280812543549955</v>
      </c>
      <c r="D27" s="29">
        <f t="shared" ca="1" si="1"/>
        <v>5</v>
      </c>
      <c r="E27" s="29">
        <f t="shared" si="2"/>
        <v>4</v>
      </c>
      <c r="F27" s="29" t="str">
        <f t="shared" ca="1" si="3"/>
        <v>Replacement</v>
      </c>
      <c r="G27" s="29">
        <f t="shared" ca="1" si="4"/>
        <v>92</v>
      </c>
      <c r="H27" s="34">
        <f t="shared" ca="1" si="5"/>
        <v>6000</v>
      </c>
      <c r="I27" s="34">
        <f t="shared" ca="1" si="6"/>
        <v>163000</v>
      </c>
    </row>
    <row r="28" spans="2:9" x14ac:dyDescent="0.2">
      <c r="B28" s="29">
        <v>24</v>
      </c>
      <c r="C28" s="33">
        <f t="shared" ca="1" si="0"/>
        <v>0.41716838702257097</v>
      </c>
      <c r="D28" s="29">
        <f t="shared" ca="1" si="1"/>
        <v>5</v>
      </c>
      <c r="E28" s="29">
        <f t="shared" si="2"/>
        <v>4</v>
      </c>
      <c r="F28" s="29" t="str">
        <f t="shared" ca="1" si="3"/>
        <v>Replacement</v>
      </c>
      <c r="G28" s="29">
        <f t="shared" ca="1" si="4"/>
        <v>96</v>
      </c>
      <c r="H28" s="34">
        <f t="shared" ca="1" si="5"/>
        <v>6000</v>
      </c>
      <c r="I28" s="34">
        <f t="shared" ca="1" si="6"/>
        <v>169000</v>
      </c>
    </row>
    <row r="29" spans="2:9" x14ac:dyDescent="0.2">
      <c r="B29" s="29">
        <v>25</v>
      </c>
      <c r="C29" s="33">
        <f t="shared" ca="1" si="0"/>
        <v>0.26754269408848042</v>
      </c>
      <c r="D29" s="29">
        <f t="shared" ca="1" si="1"/>
        <v>5</v>
      </c>
      <c r="E29" s="29">
        <f t="shared" si="2"/>
        <v>4</v>
      </c>
      <c r="F29" s="29" t="str">
        <f t="shared" ca="1" si="3"/>
        <v>Replacement</v>
      </c>
      <c r="G29" s="29">
        <f t="shared" ca="1" si="4"/>
        <v>100</v>
      </c>
      <c r="H29" s="34">
        <f t="shared" ca="1" si="5"/>
        <v>6000</v>
      </c>
      <c r="I29" s="34">
        <f t="shared" ca="1" si="6"/>
        <v>175000</v>
      </c>
    </row>
    <row r="30" spans="2:9" x14ac:dyDescent="0.2">
      <c r="B30" s="29">
        <v>26</v>
      </c>
      <c r="C30" s="33">
        <f t="shared" ca="1" si="0"/>
        <v>0.1044945906774406</v>
      </c>
      <c r="D30" s="29">
        <f t="shared" ca="1" si="1"/>
        <v>4</v>
      </c>
      <c r="E30" s="29">
        <f t="shared" si="2"/>
        <v>4</v>
      </c>
      <c r="F30" s="29" t="str">
        <f t="shared" ca="1" si="3"/>
        <v>Breakdown</v>
      </c>
      <c r="G30" s="29">
        <f t="shared" ca="1" si="4"/>
        <v>104</v>
      </c>
      <c r="H30" s="34">
        <f t="shared" ca="1" si="5"/>
        <v>11000</v>
      </c>
      <c r="I30" s="34">
        <f t="shared" ca="1" si="6"/>
        <v>186000</v>
      </c>
    </row>
    <row r="31" spans="2:9" x14ac:dyDescent="0.2">
      <c r="B31" s="29">
        <v>27</v>
      </c>
      <c r="C31" s="33">
        <f t="shared" ca="1" si="0"/>
        <v>0.14204603652123327</v>
      </c>
      <c r="D31" s="29">
        <f t="shared" ca="1" si="1"/>
        <v>4</v>
      </c>
      <c r="E31" s="29">
        <f t="shared" si="2"/>
        <v>4</v>
      </c>
      <c r="F31" s="29" t="str">
        <f t="shared" ca="1" si="3"/>
        <v>Breakdown</v>
      </c>
      <c r="G31" s="29">
        <f t="shared" ca="1" si="4"/>
        <v>108</v>
      </c>
      <c r="H31" s="34">
        <f t="shared" ca="1" si="5"/>
        <v>11000</v>
      </c>
      <c r="I31" s="34">
        <f t="shared" ca="1" si="6"/>
        <v>197000</v>
      </c>
    </row>
    <row r="32" spans="2:9" x14ac:dyDescent="0.2">
      <c r="B32" s="29">
        <v>28</v>
      </c>
      <c r="C32" s="33">
        <f t="shared" ca="1" si="0"/>
        <v>0.10695098592883423</v>
      </c>
      <c r="D32" s="29">
        <f t="shared" ca="1" si="1"/>
        <v>4</v>
      </c>
      <c r="E32" s="29">
        <f t="shared" si="2"/>
        <v>4</v>
      </c>
      <c r="F32" s="29" t="str">
        <f t="shared" ca="1" si="3"/>
        <v>Breakdown</v>
      </c>
      <c r="G32" s="29">
        <f t="shared" ca="1" si="4"/>
        <v>112</v>
      </c>
      <c r="H32" s="34">
        <f t="shared" ca="1" si="5"/>
        <v>11000</v>
      </c>
      <c r="I32" s="34">
        <f t="shared" ca="1" si="6"/>
        <v>208000</v>
      </c>
    </row>
    <row r="33" spans="2:12" ht="15" thickBot="1" x14ac:dyDescent="0.25">
      <c r="B33" s="29">
        <v>29</v>
      </c>
      <c r="C33" s="33">
        <f t="shared" ca="1" si="0"/>
        <v>0.91908197322196705</v>
      </c>
      <c r="D33" s="29">
        <f t="shared" ca="1" si="1"/>
        <v>6</v>
      </c>
      <c r="E33" s="29">
        <f t="shared" si="2"/>
        <v>4</v>
      </c>
      <c r="F33" s="29" t="str">
        <f t="shared" ca="1" si="3"/>
        <v>Replacement</v>
      </c>
      <c r="G33" s="29">
        <f t="shared" ca="1" si="4"/>
        <v>116</v>
      </c>
      <c r="H33" s="34">
        <f t="shared" ca="1" si="5"/>
        <v>6000</v>
      </c>
      <c r="I33" s="34">
        <f t="shared" ca="1" si="6"/>
        <v>214000</v>
      </c>
      <c r="L33" s="29" t="s">
        <v>21</v>
      </c>
    </row>
    <row r="34" spans="2:12" ht="15" thickBot="1" x14ac:dyDescent="0.25">
      <c r="B34" s="29">
        <v>30</v>
      </c>
      <c r="C34" s="33">
        <f t="shared" ca="1" si="0"/>
        <v>0.36144637545090164</v>
      </c>
      <c r="D34" s="29">
        <f t="shared" ca="1" si="1"/>
        <v>5</v>
      </c>
      <c r="E34" s="29">
        <f t="shared" si="2"/>
        <v>4</v>
      </c>
      <c r="F34" s="29" t="str">
        <f t="shared" ca="1" si="3"/>
        <v>Replacement</v>
      </c>
      <c r="G34" s="29">
        <f t="shared" ca="1" si="4"/>
        <v>120</v>
      </c>
      <c r="H34" s="34">
        <f t="shared" ca="1" si="5"/>
        <v>6000</v>
      </c>
      <c r="I34" s="34">
        <f t="shared" ca="1" si="6"/>
        <v>220000</v>
      </c>
      <c r="L34" s="37">
        <f ca="1">I34/G34</f>
        <v>1833.3333333333333</v>
      </c>
    </row>
  </sheetData>
  <printOptions headings="1" gridLines="1"/>
  <pageMargins left="0.75" right="0.75" top="1" bottom="1" header="0.5" footer="0.5"/>
  <pageSetup paperSize="0" orientation="portrait" horizontalDpi="4294967292" verticalDpi="4294967292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3B7D1-E630-794A-8983-F85173989967}">
  <dimension ref="A1:P34"/>
  <sheetViews>
    <sheetView topLeftCell="E20" zoomScale="200" workbookViewId="0">
      <selection activeCell="K36" sqref="K36"/>
    </sheetView>
  </sheetViews>
  <sheetFormatPr baseColWidth="10" defaultColWidth="10.83203125" defaultRowHeight="14" x14ac:dyDescent="0.2"/>
  <cols>
    <col min="1" max="1" width="2.83203125" style="30" customWidth="1"/>
    <col min="2" max="2" width="9.5" style="29" customWidth="1"/>
    <col min="3" max="3" width="9.83203125" style="29" customWidth="1"/>
    <col min="4" max="4" width="11.5" style="29" customWidth="1"/>
    <col min="5" max="5" width="18.1640625" style="29" bestFit="1" customWidth="1"/>
    <col min="6" max="6" width="16.1640625" style="29" bestFit="1" customWidth="1"/>
    <col min="7" max="7" width="11.6640625" style="29" bestFit="1" customWidth="1"/>
    <col min="8" max="8" width="9.6640625" style="29" customWidth="1"/>
    <col min="9" max="9" width="11.6640625" style="29" bestFit="1" customWidth="1"/>
    <col min="10" max="10" width="4.6640625" style="30" customWidth="1"/>
    <col min="11" max="11" width="18.6640625" style="29" customWidth="1"/>
    <col min="12" max="12" width="12.33203125" style="29" customWidth="1"/>
    <col min="13" max="13" width="8.83203125" style="29" customWidth="1"/>
    <col min="14" max="14" width="5.83203125" style="30" customWidth="1"/>
    <col min="15" max="15" width="31.6640625" style="30" bestFit="1" customWidth="1"/>
    <col min="16" max="16" width="8.1640625" style="30" bestFit="1" customWidth="1"/>
    <col min="17" max="16384" width="10.83203125" style="30"/>
  </cols>
  <sheetData>
    <row r="1" spans="1:16" ht="19" x14ac:dyDescent="0.25">
      <c r="A1" s="28" t="s">
        <v>106</v>
      </c>
    </row>
    <row r="2" spans="1:16" ht="15" thickBot="1" x14ac:dyDescent="0.25"/>
    <row r="3" spans="1:16" ht="15" thickBot="1" x14ac:dyDescent="0.25">
      <c r="C3" s="29" t="s">
        <v>8</v>
      </c>
      <c r="D3" s="29" t="s">
        <v>61</v>
      </c>
      <c r="E3" s="29" t="s">
        <v>60</v>
      </c>
      <c r="F3" s="29" t="s">
        <v>59</v>
      </c>
      <c r="G3" s="29" t="s">
        <v>32</v>
      </c>
      <c r="I3" s="29" t="s">
        <v>32</v>
      </c>
      <c r="K3" s="31" t="s">
        <v>39</v>
      </c>
      <c r="O3" s="39" t="s">
        <v>14</v>
      </c>
      <c r="P3" s="40" t="s">
        <v>15</v>
      </c>
    </row>
    <row r="4" spans="1:16" ht="15" thickBot="1" x14ac:dyDescent="0.25">
      <c r="B4" s="32" t="s">
        <v>52</v>
      </c>
      <c r="C4" s="32" t="s">
        <v>7</v>
      </c>
      <c r="D4" s="32" t="s">
        <v>35</v>
      </c>
      <c r="E4" s="32" t="s">
        <v>58</v>
      </c>
      <c r="F4" s="32" t="s">
        <v>57</v>
      </c>
      <c r="G4" s="32" t="s">
        <v>38</v>
      </c>
      <c r="H4" s="32" t="s">
        <v>30</v>
      </c>
      <c r="I4" s="32" t="s">
        <v>30</v>
      </c>
      <c r="K4" s="31" t="s">
        <v>37</v>
      </c>
      <c r="O4" s="41" t="s">
        <v>36</v>
      </c>
      <c r="P4" s="42" t="s">
        <v>56</v>
      </c>
    </row>
    <row r="5" spans="1:16" x14ac:dyDescent="0.2">
      <c r="B5" s="29">
        <v>1</v>
      </c>
      <c r="C5" s="33">
        <f t="shared" ref="C5:C34" ca="1" si="0">RAND()</f>
        <v>0.23930833309478816</v>
      </c>
      <c r="D5" s="29">
        <f ca="1">VLOOKUP(C5,$L$7:$M$9,2)</f>
        <v>4</v>
      </c>
      <c r="E5" s="29">
        <f t="shared" ref="E5:E34" si="1">ReplaceAfter</f>
        <v>5</v>
      </c>
      <c r="F5" s="29" t="str">
        <f ca="1">IF(D5&lt;=E5,"Breakdown","Replacement")</f>
        <v>Breakdown</v>
      </c>
      <c r="G5" s="29">
        <f ca="1">MIN(D5,E5)</f>
        <v>4</v>
      </c>
      <c r="H5" s="34">
        <f t="shared" ref="H5:H34" ca="1" si="2">IF(F5="Breakdown",BreakdownCost,ReplacementCost)</f>
        <v>11000</v>
      </c>
      <c r="I5" s="34">
        <f ca="1">H5</f>
        <v>11000</v>
      </c>
      <c r="M5" s="29" t="s">
        <v>7</v>
      </c>
      <c r="O5" s="43" t="s">
        <v>55</v>
      </c>
      <c r="P5" s="44" t="s">
        <v>54</v>
      </c>
    </row>
    <row r="6" spans="1:16" x14ac:dyDescent="0.2">
      <c r="B6" s="29">
        <v>2</v>
      </c>
      <c r="C6" s="33">
        <f t="shared" ca="1" si="0"/>
        <v>0.45452488113535283</v>
      </c>
      <c r="D6" s="29">
        <f t="shared" ref="D6:D34" ca="1" si="3">VLOOKUP(C6,$L$7:$M$9,2)</f>
        <v>5</v>
      </c>
      <c r="E6" s="29">
        <f t="shared" si="1"/>
        <v>5</v>
      </c>
      <c r="F6" s="29" t="str">
        <f t="shared" ref="F6:F34" ca="1" si="4">IF(D6&lt;=E6,"Breakdown","Replacement")</f>
        <v>Breakdown</v>
      </c>
      <c r="G6" s="29">
        <f t="shared" ref="G6:G34" ca="1" si="5">G5+MIN(D6,E6)</f>
        <v>9</v>
      </c>
      <c r="H6" s="34">
        <f t="shared" ca="1" si="2"/>
        <v>11000</v>
      </c>
      <c r="I6" s="34">
        <f ca="1">H6+I5</f>
        <v>22000</v>
      </c>
      <c r="K6" s="29" t="s">
        <v>33</v>
      </c>
      <c r="L6" s="29" t="s">
        <v>32</v>
      </c>
      <c r="M6" s="29" t="s">
        <v>31</v>
      </c>
      <c r="O6" s="43" t="s">
        <v>30</v>
      </c>
      <c r="P6" s="44" t="s">
        <v>53</v>
      </c>
    </row>
    <row r="7" spans="1:16" x14ac:dyDescent="0.2">
      <c r="B7" s="29">
        <v>3</v>
      </c>
      <c r="C7" s="33">
        <f t="shared" ca="1" si="0"/>
        <v>0.96789201174706452</v>
      </c>
      <c r="D7" s="29">
        <f t="shared" ca="1" si="3"/>
        <v>6</v>
      </c>
      <c r="E7" s="29">
        <f t="shared" si="1"/>
        <v>5</v>
      </c>
      <c r="F7" s="29" t="str">
        <f t="shared" ca="1" si="4"/>
        <v>Replacement</v>
      </c>
      <c r="G7" s="29">
        <f t="shared" ca="1" si="5"/>
        <v>14</v>
      </c>
      <c r="H7" s="34">
        <f t="shared" ca="1" si="2"/>
        <v>6000</v>
      </c>
      <c r="I7" s="34">
        <f t="shared" ref="I7:I34" ca="1" si="6">H7+I6</f>
        <v>28000</v>
      </c>
      <c r="K7" s="35">
        <v>0.25</v>
      </c>
      <c r="L7" s="35">
        <v>0</v>
      </c>
      <c r="M7" s="35">
        <v>4</v>
      </c>
      <c r="O7" s="43" t="s">
        <v>52</v>
      </c>
      <c r="P7" s="44" t="s">
        <v>34</v>
      </c>
    </row>
    <row r="8" spans="1:16" x14ac:dyDescent="0.2">
      <c r="B8" s="29">
        <v>4</v>
      </c>
      <c r="C8" s="33">
        <f t="shared" ca="1" si="0"/>
        <v>0.52401163940584372</v>
      </c>
      <c r="D8" s="29">
        <f t="shared" ca="1" si="3"/>
        <v>5</v>
      </c>
      <c r="E8" s="29">
        <f t="shared" si="1"/>
        <v>5</v>
      </c>
      <c r="F8" s="29" t="str">
        <f t="shared" ca="1" si="4"/>
        <v>Breakdown</v>
      </c>
      <c r="G8" s="29">
        <f t="shared" ca="1" si="5"/>
        <v>19</v>
      </c>
      <c r="H8" s="34">
        <f t="shared" ca="1" si="2"/>
        <v>11000</v>
      </c>
      <c r="I8" s="34">
        <f t="shared" ca="1" si="6"/>
        <v>39000</v>
      </c>
      <c r="K8" s="35">
        <v>0.5</v>
      </c>
      <c r="L8" s="35">
        <v>0.25</v>
      </c>
      <c r="M8" s="35">
        <v>5</v>
      </c>
      <c r="O8" s="43" t="s">
        <v>28</v>
      </c>
      <c r="P8" s="44" t="s">
        <v>51</v>
      </c>
    </row>
    <row r="9" spans="1:16" x14ac:dyDescent="0.2">
      <c r="B9" s="29">
        <v>5</v>
      </c>
      <c r="C9" s="33">
        <f t="shared" ca="1" si="0"/>
        <v>0.84288085144043745</v>
      </c>
      <c r="D9" s="29">
        <f t="shared" ca="1" si="3"/>
        <v>6</v>
      </c>
      <c r="E9" s="29">
        <f t="shared" si="1"/>
        <v>5</v>
      </c>
      <c r="F9" s="29" t="str">
        <f t="shared" ca="1" si="4"/>
        <v>Replacement</v>
      </c>
      <c r="G9" s="29">
        <f t="shared" ca="1" si="5"/>
        <v>24</v>
      </c>
      <c r="H9" s="34">
        <f t="shared" ca="1" si="2"/>
        <v>6000</v>
      </c>
      <c r="I9" s="34">
        <f t="shared" ca="1" si="6"/>
        <v>45000</v>
      </c>
      <c r="K9" s="35">
        <v>0.25</v>
      </c>
      <c r="L9" s="35">
        <v>0.75</v>
      </c>
      <c r="M9" s="35">
        <v>6</v>
      </c>
      <c r="O9" s="43" t="s">
        <v>26</v>
      </c>
      <c r="P9" s="44" t="s">
        <v>27</v>
      </c>
    </row>
    <row r="10" spans="1:16" x14ac:dyDescent="0.2">
      <c r="B10" s="29">
        <v>6</v>
      </c>
      <c r="C10" s="33">
        <f t="shared" ca="1" si="0"/>
        <v>0.60994115668076709</v>
      </c>
      <c r="D10" s="29">
        <f t="shared" ca="1" si="3"/>
        <v>5</v>
      </c>
      <c r="E10" s="29">
        <f t="shared" si="1"/>
        <v>5</v>
      </c>
      <c r="F10" s="29" t="str">
        <f t="shared" ca="1" si="4"/>
        <v>Breakdown</v>
      </c>
      <c r="G10" s="29">
        <f t="shared" ca="1" si="5"/>
        <v>29</v>
      </c>
      <c r="H10" s="34">
        <f t="shared" ca="1" si="2"/>
        <v>11000</v>
      </c>
      <c r="I10" s="34">
        <f t="shared" ca="1" si="6"/>
        <v>56000</v>
      </c>
      <c r="O10" s="43" t="s">
        <v>50</v>
      </c>
      <c r="P10" s="44" t="s">
        <v>29</v>
      </c>
    </row>
    <row r="11" spans="1:16" x14ac:dyDescent="0.2">
      <c r="B11" s="29">
        <v>7</v>
      </c>
      <c r="C11" s="33">
        <f t="shared" ca="1" si="0"/>
        <v>9.3804872048075527E-3</v>
      </c>
      <c r="D11" s="29">
        <f t="shared" ca="1" si="3"/>
        <v>4</v>
      </c>
      <c r="E11" s="29">
        <f t="shared" si="1"/>
        <v>5</v>
      </c>
      <c r="F11" s="29" t="str">
        <f t="shared" ca="1" si="4"/>
        <v>Breakdown</v>
      </c>
      <c r="G11" s="29">
        <f t="shared" ca="1" si="5"/>
        <v>33</v>
      </c>
      <c r="H11" s="34">
        <f t="shared" ca="1" si="2"/>
        <v>11000</v>
      </c>
      <c r="I11" s="34">
        <f t="shared" ca="1" si="6"/>
        <v>67000</v>
      </c>
      <c r="K11" s="29" t="s">
        <v>23</v>
      </c>
      <c r="L11" s="36">
        <v>11000</v>
      </c>
      <c r="O11" s="43" t="s">
        <v>16</v>
      </c>
      <c r="P11" s="44" t="s">
        <v>24</v>
      </c>
    </row>
    <row r="12" spans="1:16" x14ac:dyDescent="0.2">
      <c r="B12" s="29">
        <v>8</v>
      </c>
      <c r="C12" s="33">
        <f t="shared" ca="1" si="0"/>
        <v>0.59674244420491307</v>
      </c>
      <c r="D12" s="29">
        <f t="shared" ca="1" si="3"/>
        <v>5</v>
      </c>
      <c r="E12" s="29">
        <f t="shared" si="1"/>
        <v>5</v>
      </c>
      <c r="F12" s="29" t="str">
        <f t="shared" ca="1" si="4"/>
        <v>Breakdown</v>
      </c>
      <c r="G12" s="29">
        <f t="shared" ca="1" si="5"/>
        <v>38</v>
      </c>
      <c r="H12" s="34">
        <f t="shared" ca="1" si="2"/>
        <v>11000</v>
      </c>
      <c r="I12" s="34">
        <f t="shared" ca="1" si="6"/>
        <v>78000</v>
      </c>
      <c r="K12" s="29" t="s">
        <v>49</v>
      </c>
      <c r="L12" s="36">
        <v>6000</v>
      </c>
      <c r="O12" s="43" t="s">
        <v>48</v>
      </c>
      <c r="P12" s="44" t="s">
        <v>47</v>
      </c>
    </row>
    <row r="13" spans="1:16" x14ac:dyDescent="0.2">
      <c r="B13" s="29">
        <v>9</v>
      </c>
      <c r="C13" s="33">
        <f t="shared" ca="1" si="0"/>
        <v>0.60373753682222286</v>
      </c>
      <c r="D13" s="29">
        <f t="shared" ca="1" si="3"/>
        <v>5</v>
      </c>
      <c r="E13" s="29">
        <f t="shared" si="1"/>
        <v>5</v>
      </c>
      <c r="F13" s="29" t="str">
        <f t="shared" ca="1" si="4"/>
        <v>Breakdown</v>
      </c>
      <c r="G13" s="29">
        <f t="shared" ca="1" si="5"/>
        <v>43</v>
      </c>
      <c r="H13" s="34">
        <f t="shared" ca="1" si="2"/>
        <v>11000</v>
      </c>
      <c r="I13" s="34">
        <f t="shared" ca="1" si="6"/>
        <v>89000</v>
      </c>
      <c r="O13" s="43" t="s">
        <v>46</v>
      </c>
      <c r="P13" s="44" t="s">
        <v>45</v>
      </c>
    </row>
    <row r="14" spans="1:16" x14ac:dyDescent="0.2">
      <c r="B14" s="29">
        <v>10</v>
      </c>
      <c r="C14" s="33">
        <f t="shared" ca="1" si="0"/>
        <v>0.75282968027520059</v>
      </c>
      <c r="D14" s="29">
        <f t="shared" ca="1" si="3"/>
        <v>6</v>
      </c>
      <c r="E14" s="29">
        <f t="shared" si="1"/>
        <v>5</v>
      </c>
      <c r="F14" s="29" t="str">
        <f t="shared" ca="1" si="4"/>
        <v>Replacement</v>
      </c>
      <c r="G14" s="29">
        <f t="shared" ca="1" si="5"/>
        <v>48</v>
      </c>
      <c r="H14" s="34">
        <f t="shared" ca="1" si="2"/>
        <v>6000</v>
      </c>
      <c r="I14" s="34">
        <f t="shared" ca="1" si="6"/>
        <v>95000</v>
      </c>
      <c r="K14" s="29" t="s">
        <v>44</v>
      </c>
      <c r="L14" s="35">
        <v>5</v>
      </c>
      <c r="M14" s="29" t="s">
        <v>43</v>
      </c>
      <c r="O14" s="43" t="s">
        <v>42</v>
      </c>
      <c r="P14" s="44" t="s">
        <v>25</v>
      </c>
    </row>
    <row r="15" spans="1:16" ht="15" thickBot="1" x14ac:dyDescent="0.25">
      <c r="B15" s="29">
        <v>11</v>
      </c>
      <c r="C15" s="33">
        <f t="shared" ca="1" si="0"/>
        <v>0.78131265958806739</v>
      </c>
      <c r="D15" s="29">
        <f t="shared" ca="1" si="3"/>
        <v>6</v>
      </c>
      <c r="E15" s="29">
        <f t="shared" si="1"/>
        <v>5</v>
      </c>
      <c r="F15" s="29" t="str">
        <f t="shared" ca="1" si="4"/>
        <v>Replacement</v>
      </c>
      <c r="G15" s="29">
        <f t="shared" ca="1" si="5"/>
        <v>53</v>
      </c>
      <c r="H15" s="34">
        <f t="shared" ca="1" si="2"/>
        <v>6000</v>
      </c>
      <c r="I15" s="34">
        <f t="shared" ca="1" si="6"/>
        <v>101000</v>
      </c>
      <c r="O15" s="45" t="s">
        <v>41</v>
      </c>
      <c r="P15" s="46" t="s">
        <v>22</v>
      </c>
    </row>
    <row r="16" spans="1:16" x14ac:dyDescent="0.2">
      <c r="B16" s="29">
        <v>12</v>
      </c>
      <c r="C16" s="33">
        <f t="shared" ca="1" si="0"/>
        <v>0.74939710748381716</v>
      </c>
      <c r="D16" s="29">
        <f t="shared" ca="1" si="3"/>
        <v>5</v>
      </c>
      <c r="E16" s="29">
        <f t="shared" si="1"/>
        <v>5</v>
      </c>
      <c r="F16" s="29" t="str">
        <f t="shared" ca="1" si="4"/>
        <v>Breakdown</v>
      </c>
      <c r="G16" s="29">
        <f t="shared" ca="1" si="5"/>
        <v>58</v>
      </c>
      <c r="H16" s="34">
        <f t="shared" ca="1" si="2"/>
        <v>11000</v>
      </c>
      <c r="I16" s="34">
        <f t="shared" ca="1" si="6"/>
        <v>112000</v>
      </c>
    </row>
    <row r="17" spans="2:9" x14ac:dyDescent="0.2">
      <c r="B17" s="29">
        <v>13</v>
      </c>
      <c r="C17" s="33">
        <f t="shared" ca="1" si="0"/>
        <v>0.45153002855182234</v>
      </c>
      <c r="D17" s="29">
        <f t="shared" ca="1" si="3"/>
        <v>5</v>
      </c>
      <c r="E17" s="29">
        <f t="shared" si="1"/>
        <v>5</v>
      </c>
      <c r="F17" s="29" t="str">
        <f t="shared" ca="1" si="4"/>
        <v>Breakdown</v>
      </c>
      <c r="G17" s="29">
        <f t="shared" ca="1" si="5"/>
        <v>63</v>
      </c>
      <c r="H17" s="34">
        <f t="shared" ca="1" si="2"/>
        <v>11000</v>
      </c>
      <c r="I17" s="34">
        <f t="shared" ca="1" si="6"/>
        <v>123000</v>
      </c>
    </row>
    <row r="18" spans="2:9" x14ac:dyDescent="0.2">
      <c r="B18" s="29">
        <v>14</v>
      </c>
      <c r="C18" s="33">
        <f t="shared" ca="1" si="0"/>
        <v>0.67669082344734033</v>
      </c>
      <c r="D18" s="29">
        <f t="shared" ca="1" si="3"/>
        <v>5</v>
      </c>
      <c r="E18" s="29">
        <f t="shared" si="1"/>
        <v>5</v>
      </c>
      <c r="F18" s="29" t="str">
        <f t="shared" ca="1" si="4"/>
        <v>Breakdown</v>
      </c>
      <c r="G18" s="29">
        <f t="shared" ca="1" si="5"/>
        <v>68</v>
      </c>
      <c r="H18" s="34">
        <f t="shared" ca="1" si="2"/>
        <v>11000</v>
      </c>
      <c r="I18" s="34">
        <f t="shared" ca="1" si="6"/>
        <v>134000</v>
      </c>
    </row>
    <row r="19" spans="2:9" x14ac:dyDescent="0.2">
      <c r="B19" s="29">
        <v>15</v>
      </c>
      <c r="C19" s="33">
        <f t="shared" ca="1" si="0"/>
        <v>0.4366642089432341</v>
      </c>
      <c r="D19" s="29">
        <f t="shared" ca="1" si="3"/>
        <v>5</v>
      </c>
      <c r="E19" s="29">
        <f t="shared" si="1"/>
        <v>5</v>
      </c>
      <c r="F19" s="29" t="str">
        <f t="shared" ca="1" si="4"/>
        <v>Breakdown</v>
      </c>
      <c r="G19" s="29">
        <f t="shared" ca="1" si="5"/>
        <v>73</v>
      </c>
      <c r="H19" s="34">
        <f t="shared" ca="1" si="2"/>
        <v>11000</v>
      </c>
      <c r="I19" s="34">
        <f t="shared" ca="1" si="6"/>
        <v>145000</v>
      </c>
    </row>
    <row r="20" spans="2:9" x14ac:dyDescent="0.2">
      <c r="B20" s="29">
        <v>16</v>
      </c>
      <c r="C20" s="33">
        <f t="shared" ca="1" si="0"/>
        <v>0.70613212251037183</v>
      </c>
      <c r="D20" s="29">
        <f t="shared" ca="1" si="3"/>
        <v>5</v>
      </c>
      <c r="E20" s="29">
        <f t="shared" si="1"/>
        <v>5</v>
      </c>
      <c r="F20" s="29" t="str">
        <f t="shared" ca="1" si="4"/>
        <v>Breakdown</v>
      </c>
      <c r="G20" s="29">
        <f t="shared" ca="1" si="5"/>
        <v>78</v>
      </c>
      <c r="H20" s="34">
        <f t="shared" ca="1" si="2"/>
        <v>11000</v>
      </c>
      <c r="I20" s="34">
        <f t="shared" ca="1" si="6"/>
        <v>156000</v>
      </c>
    </row>
    <row r="21" spans="2:9" x14ac:dyDescent="0.2">
      <c r="B21" s="29">
        <v>17</v>
      </c>
      <c r="C21" s="33">
        <f t="shared" ca="1" si="0"/>
        <v>0.70138894572102872</v>
      </c>
      <c r="D21" s="29">
        <f t="shared" ca="1" si="3"/>
        <v>5</v>
      </c>
      <c r="E21" s="29">
        <f t="shared" si="1"/>
        <v>5</v>
      </c>
      <c r="F21" s="29" t="str">
        <f t="shared" ca="1" si="4"/>
        <v>Breakdown</v>
      </c>
      <c r="G21" s="29">
        <f t="shared" ca="1" si="5"/>
        <v>83</v>
      </c>
      <c r="H21" s="34">
        <f t="shared" ca="1" si="2"/>
        <v>11000</v>
      </c>
      <c r="I21" s="34">
        <f t="shared" ca="1" si="6"/>
        <v>167000</v>
      </c>
    </row>
    <row r="22" spans="2:9" x14ac:dyDescent="0.2">
      <c r="B22" s="29">
        <v>18</v>
      </c>
      <c r="C22" s="33">
        <f t="shared" ca="1" si="0"/>
        <v>0.5732086753241572</v>
      </c>
      <c r="D22" s="29">
        <f t="shared" ca="1" si="3"/>
        <v>5</v>
      </c>
      <c r="E22" s="29">
        <f t="shared" si="1"/>
        <v>5</v>
      </c>
      <c r="F22" s="29" t="str">
        <f t="shared" ca="1" si="4"/>
        <v>Breakdown</v>
      </c>
      <c r="G22" s="29">
        <f t="shared" ca="1" si="5"/>
        <v>88</v>
      </c>
      <c r="H22" s="34">
        <f t="shared" ca="1" si="2"/>
        <v>11000</v>
      </c>
      <c r="I22" s="34">
        <f t="shared" ca="1" si="6"/>
        <v>178000</v>
      </c>
    </row>
    <row r="23" spans="2:9" x14ac:dyDescent="0.2">
      <c r="B23" s="29">
        <v>19</v>
      </c>
      <c r="C23" s="33">
        <f t="shared" ca="1" si="0"/>
        <v>0.85992410399689045</v>
      </c>
      <c r="D23" s="29">
        <f t="shared" ca="1" si="3"/>
        <v>6</v>
      </c>
      <c r="E23" s="29">
        <f t="shared" si="1"/>
        <v>5</v>
      </c>
      <c r="F23" s="29" t="str">
        <f t="shared" ca="1" si="4"/>
        <v>Replacement</v>
      </c>
      <c r="G23" s="29">
        <f t="shared" ca="1" si="5"/>
        <v>93</v>
      </c>
      <c r="H23" s="34">
        <f t="shared" ca="1" si="2"/>
        <v>6000</v>
      </c>
      <c r="I23" s="34">
        <f t="shared" ca="1" si="6"/>
        <v>184000</v>
      </c>
    </row>
    <row r="24" spans="2:9" x14ac:dyDescent="0.2">
      <c r="B24" s="29">
        <v>20</v>
      </c>
      <c r="C24" s="33">
        <f t="shared" ca="1" si="0"/>
        <v>0.60857432287043112</v>
      </c>
      <c r="D24" s="29">
        <f t="shared" ca="1" si="3"/>
        <v>5</v>
      </c>
      <c r="E24" s="29">
        <f t="shared" si="1"/>
        <v>5</v>
      </c>
      <c r="F24" s="29" t="str">
        <f t="shared" ca="1" si="4"/>
        <v>Breakdown</v>
      </c>
      <c r="G24" s="29">
        <f t="shared" ca="1" si="5"/>
        <v>98</v>
      </c>
      <c r="H24" s="34">
        <f t="shared" ca="1" si="2"/>
        <v>11000</v>
      </c>
      <c r="I24" s="34">
        <f t="shared" ca="1" si="6"/>
        <v>195000</v>
      </c>
    </row>
    <row r="25" spans="2:9" x14ac:dyDescent="0.2">
      <c r="B25" s="29">
        <v>21</v>
      </c>
      <c r="C25" s="33">
        <f t="shared" ca="1" si="0"/>
        <v>0.70642744504251842</v>
      </c>
      <c r="D25" s="29">
        <f t="shared" ca="1" si="3"/>
        <v>5</v>
      </c>
      <c r="E25" s="29">
        <f t="shared" si="1"/>
        <v>5</v>
      </c>
      <c r="F25" s="29" t="str">
        <f t="shared" ca="1" si="4"/>
        <v>Breakdown</v>
      </c>
      <c r="G25" s="29">
        <f t="shared" ca="1" si="5"/>
        <v>103</v>
      </c>
      <c r="H25" s="34">
        <f t="shared" ca="1" si="2"/>
        <v>11000</v>
      </c>
      <c r="I25" s="34">
        <f t="shared" ca="1" si="6"/>
        <v>206000</v>
      </c>
    </row>
    <row r="26" spans="2:9" x14ac:dyDescent="0.2">
      <c r="B26" s="29">
        <v>22</v>
      </c>
      <c r="C26" s="33">
        <f t="shared" ca="1" si="0"/>
        <v>0.63466767334134222</v>
      </c>
      <c r="D26" s="29">
        <f t="shared" ca="1" si="3"/>
        <v>5</v>
      </c>
      <c r="E26" s="29">
        <f t="shared" si="1"/>
        <v>5</v>
      </c>
      <c r="F26" s="29" t="str">
        <f t="shared" ca="1" si="4"/>
        <v>Breakdown</v>
      </c>
      <c r="G26" s="29">
        <f t="shared" ca="1" si="5"/>
        <v>108</v>
      </c>
      <c r="H26" s="34">
        <f t="shared" ca="1" si="2"/>
        <v>11000</v>
      </c>
      <c r="I26" s="34">
        <f t="shared" ca="1" si="6"/>
        <v>217000</v>
      </c>
    </row>
    <row r="27" spans="2:9" x14ac:dyDescent="0.2">
      <c r="B27" s="29">
        <v>23</v>
      </c>
      <c r="C27" s="33">
        <f t="shared" ca="1" si="0"/>
        <v>0.80852600659139107</v>
      </c>
      <c r="D27" s="29">
        <f t="shared" ca="1" si="3"/>
        <v>6</v>
      </c>
      <c r="E27" s="29">
        <f t="shared" si="1"/>
        <v>5</v>
      </c>
      <c r="F27" s="29" t="str">
        <f t="shared" ca="1" si="4"/>
        <v>Replacement</v>
      </c>
      <c r="G27" s="29">
        <f t="shared" ca="1" si="5"/>
        <v>113</v>
      </c>
      <c r="H27" s="34">
        <f t="shared" ca="1" si="2"/>
        <v>6000</v>
      </c>
      <c r="I27" s="34">
        <f t="shared" ca="1" si="6"/>
        <v>223000</v>
      </c>
    </row>
    <row r="28" spans="2:9" x14ac:dyDescent="0.2">
      <c r="B28" s="29">
        <v>24</v>
      </c>
      <c r="C28" s="33">
        <f t="shared" ca="1" si="0"/>
        <v>6.4148913637797178E-2</v>
      </c>
      <c r="D28" s="29">
        <f t="shared" ca="1" si="3"/>
        <v>4</v>
      </c>
      <c r="E28" s="29">
        <f t="shared" si="1"/>
        <v>5</v>
      </c>
      <c r="F28" s="29" t="str">
        <f t="shared" ca="1" si="4"/>
        <v>Breakdown</v>
      </c>
      <c r="G28" s="29">
        <f t="shared" ca="1" si="5"/>
        <v>117</v>
      </c>
      <c r="H28" s="34">
        <f t="shared" ca="1" si="2"/>
        <v>11000</v>
      </c>
      <c r="I28" s="34">
        <f t="shared" ca="1" si="6"/>
        <v>234000</v>
      </c>
    </row>
    <row r="29" spans="2:9" x14ac:dyDescent="0.2">
      <c r="B29" s="29">
        <v>25</v>
      </c>
      <c r="C29" s="33">
        <f t="shared" ca="1" si="0"/>
        <v>0.92676029361362267</v>
      </c>
      <c r="D29" s="29">
        <f t="shared" ca="1" si="3"/>
        <v>6</v>
      </c>
      <c r="E29" s="29">
        <f t="shared" si="1"/>
        <v>5</v>
      </c>
      <c r="F29" s="29" t="str">
        <f t="shared" ca="1" si="4"/>
        <v>Replacement</v>
      </c>
      <c r="G29" s="29">
        <f t="shared" ca="1" si="5"/>
        <v>122</v>
      </c>
      <c r="H29" s="34">
        <f t="shared" ca="1" si="2"/>
        <v>6000</v>
      </c>
      <c r="I29" s="34">
        <f t="shared" ca="1" si="6"/>
        <v>240000</v>
      </c>
    </row>
    <row r="30" spans="2:9" x14ac:dyDescent="0.2">
      <c r="B30" s="29">
        <v>26</v>
      </c>
      <c r="C30" s="33">
        <f t="shared" ca="1" si="0"/>
        <v>0.71630629781626132</v>
      </c>
      <c r="D30" s="29">
        <f t="shared" ca="1" si="3"/>
        <v>5</v>
      </c>
      <c r="E30" s="29">
        <f t="shared" si="1"/>
        <v>5</v>
      </c>
      <c r="F30" s="29" t="str">
        <f t="shared" ca="1" si="4"/>
        <v>Breakdown</v>
      </c>
      <c r="G30" s="29">
        <f t="shared" ca="1" si="5"/>
        <v>127</v>
      </c>
      <c r="H30" s="34">
        <f t="shared" ca="1" si="2"/>
        <v>11000</v>
      </c>
      <c r="I30" s="34">
        <f t="shared" ca="1" si="6"/>
        <v>251000</v>
      </c>
    </row>
    <row r="31" spans="2:9" x14ac:dyDescent="0.2">
      <c r="B31" s="29">
        <v>27</v>
      </c>
      <c r="C31" s="33">
        <f t="shared" ca="1" si="0"/>
        <v>0.1790338358393716</v>
      </c>
      <c r="D31" s="29">
        <f t="shared" ca="1" si="3"/>
        <v>4</v>
      </c>
      <c r="E31" s="29">
        <f t="shared" si="1"/>
        <v>5</v>
      </c>
      <c r="F31" s="29" t="str">
        <f t="shared" ca="1" si="4"/>
        <v>Breakdown</v>
      </c>
      <c r="G31" s="29">
        <f t="shared" ca="1" si="5"/>
        <v>131</v>
      </c>
      <c r="H31" s="34">
        <f t="shared" ca="1" si="2"/>
        <v>11000</v>
      </c>
      <c r="I31" s="34">
        <f t="shared" ca="1" si="6"/>
        <v>262000</v>
      </c>
    </row>
    <row r="32" spans="2:9" x14ac:dyDescent="0.2">
      <c r="B32" s="29">
        <v>28</v>
      </c>
      <c r="C32" s="33">
        <f t="shared" ca="1" si="0"/>
        <v>5.5396121769496265E-2</v>
      </c>
      <c r="D32" s="29">
        <f t="shared" ca="1" si="3"/>
        <v>4</v>
      </c>
      <c r="E32" s="29">
        <f t="shared" si="1"/>
        <v>5</v>
      </c>
      <c r="F32" s="29" t="str">
        <f t="shared" ca="1" si="4"/>
        <v>Breakdown</v>
      </c>
      <c r="G32" s="29">
        <f t="shared" ca="1" si="5"/>
        <v>135</v>
      </c>
      <c r="H32" s="34">
        <f t="shared" ca="1" si="2"/>
        <v>11000</v>
      </c>
      <c r="I32" s="34">
        <f t="shared" ca="1" si="6"/>
        <v>273000</v>
      </c>
    </row>
    <row r="33" spans="2:12" ht="15" thickBot="1" x14ac:dyDescent="0.25">
      <c r="B33" s="29">
        <v>29</v>
      </c>
      <c r="C33" s="33">
        <f t="shared" ca="1" si="0"/>
        <v>0.33502667212886705</v>
      </c>
      <c r="D33" s="29">
        <f t="shared" ca="1" si="3"/>
        <v>5</v>
      </c>
      <c r="E33" s="29">
        <f t="shared" si="1"/>
        <v>5</v>
      </c>
      <c r="F33" s="29" t="str">
        <f t="shared" ca="1" si="4"/>
        <v>Breakdown</v>
      </c>
      <c r="G33" s="29">
        <f t="shared" ca="1" si="5"/>
        <v>140</v>
      </c>
      <c r="H33" s="34">
        <f t="shared" ca="1" si="2"/>
        <v>11000</v>
      </c>
      <c r="I33" s="34">
        <f t="shared" ca="1" si="6"/>
        <v>284000</v>
      </c>
      <c r="L33" s="29" t="s">
        <v>21</v>
      </c>
    </row>
    <row r="34" spans="2:12" ht="15" thickBot="1" x14ac:dyDescent="0.25">
      <c r="B34" s="29">
        <v>30</v>
      </c>
      <c r="C34" s="33">
        <f t="shared" ca="1" si="0"/>
        <v>0.75692952796547786</v>
      </c>
      <c r="D34" s="29">
        <f t="shared" ca="1" si="3"/>
        <v>6</v>
      </c>
      <c r="E34" s="29">
        <f t="shared" si="1"/>
        <v>5</v>
      </c>
      <c r="F34" s="29" t="str">
        <f t="shared" ca="1" si="4"/>
        <v>Replacement</v>
      </c>
      <c r="G34" s="29">
        <f t="shared" ca="1" si="5"/>
        <v>145</v>
      </c>
      <c r="H34" s="34">
        <f t="shared" ca="1" si="2"/>
        <v>6000</v>
      </c>
      <c r="I34" s="34">
        <f t="shared" ca="1" si="6"/>
        <v>290000</v>
      </c>
      <c r="L34" s="37">
        <f ca="1">I34/G34</f>
        <v>2000</v>
      </c>
    </row>
  </sheetData>
  <printOptions headings="1" gridLines="1"/>
  <pageMargins left="0.75" right="0.75" top="1" bottom="1" header="0.5" footer="0.5"/>
  <pageSetup paperSize="0" orientation="portrait" horizontalDpi="4294967292" verticalDpi="4294967292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FC9DD-FC6D-2948-BC7C-B7E76A4D4B1E}">
  <dimension ref="B4:C24"/>
  <sheetViews>
    <sheetView zoomScale="200" workbookViewId="0">
      <selection activeCell="H23" sqref="H23"/>
    </sheetView>
  </sheetViews>
  <sheetFormatPr baseColWidth="10" defaultRowHeight="11" x14ac:dyDescent="0.15"/>
  <cols>
    <col min="1" max="2" width="10.83203125" style="48"/>
    <col min="3" max="3" width="25.83203125" style="48" bestFit="1" customWidth="1"/>
    <col min="4" max="16384" width="10.83203125" style="48"/>
  </cols>
  <sheetData>
    <row r="4" spans="2:3" x14ac:dyDescent="0.15">
      <c r="B4" s="48" t="s">
        <v>100</v>
      </c>
    </row>
    <row r="7" spans="2:3" x14ac:dyDescent="0.15">
      <c r="B7" s="48" t="s">
        <v>101</v>
      </c>
    </row>
    <row r="8" spans="2:3" x14ac:dyDescent="0.15">
      <c r="B8" s="48" t="s">
        <v>102</v>
      </c>
      <c r="C8" s="48">
        <v>1.5</v>
      </c>
    </row>
    <row r="9" spans="2:3" x14ac:dyDescent="0.15">
      <c r="B9" s="48" t="s">
        <v>103</v>
      </c>
      <c r="C9" s="48">
        <v>0.7</v>
      </c>
    </row>
    <row r="11" spans="2:3" x14ac:dyDescent="0.15">
      <c r="B11" s="48" t="s">
        <v>104</v>
      </c>
    </row>
    <row r="12" spans="2:3" x14ac:dyDescent="0.15">
      <c r="B12" s="48">
        <f ca="1">NORMINV(RAND(), $C$8, $C$9)</f>
        <v>1.6327711670671623</v>
      </c>
      <c r="C12" s="49" t="str">
        <f ca="1">_xlfn.FORMULATEXT(B12)</f>
        <v>=NORMINV(RAND(), $C$8, $C$9)</v>
      </c>
    </row>
    <row r="13" spans="2:3" x14ac:dyDescent="0.15">
      <c r="B13" s="48">
        <f t="shared" ref="B13:B24" ca="1" si="0">NORMINV(RAND(), $C$8, $C$9)</f>
        <v>2.5886990371042478</v>
      </c>
    </row>
    <row r="14" spans="2:3" x14ac:dyDescent="0.15">
      <c r="B14" s="48">
        <f t="shared" ca="1" si="0"/>
        <v>0.66136497411694595</v>
      </c>
    </row>
    <row r="15" spans="2:3" x14ac:dyDescent="0.15">
      <c r="B15" s="48">
        <f t="shared" ca="1" si="0"/>
        <v>2.5381194666020228</v>
      </c>
    </row>
    <row r="16" spans="2:3" x14ac:dyDescent="0.15">
      <c r="B16" s="48">
        <f t="shared" ca="1" si="0"/>
        <v>1.2653759667034237</v>
      </c>
    </row>
    <row r="17" spans="2:2" x14ac:dyDescent="0.15">
      <c r="B17" s="48">
        <f t="shared" ca="1" si="0"/>
        <v>1.7721665046169592</v>
      </c>
    </row>
    <row r="18" spans="2:2" x14ac:dyDescent="0.15">
      <c r="B18" s="48">
        <f t="shared" ca="1" si="0"/>
        <v>1.8019421511841187</v>
      </c>
    </row>
    <row r="19" spans="2:2" x14ac:dyDescent="0.15">
      <c r="B19" s="48">
        <f t="shared" ca="1" si="0"/>
        <v>1.5442498981642279</v>
      </c>
    </row>
    <row r="20" spans="2:2" x14ac:dyDescent="0.15">
      <c r="B20" s="48">
        <f t="shared" ca="1" si="0"/>
        <v>2.5439323900350761</v>
      </c>
    </row>
    <row r="21" spans="2:2" x14ac:dyDescent="0.15">
      <c r="B21" s="48">
        <f t="shared" ca="1" si="0"/>
        <v>1.5433860724284436</v>
      </c>
    </row>
    <row r="22" spans="2:2" x14ac:dyDescent="0.15">
      <c r="B22" s="48">
        <f t="shared" ca="1" si="0"/>
        <v>1.937300354952981</v>
      </c>
    </row>
    <row r="23" spans="2:2" x14ac:dyDescent="0.15">
      <c r="B23" s="48">
        <f t="shared" ca="1" si="0"/>
        <v>0.11290644329546651</v>
      </c>
    </row>
    <row r="24" spans="2:2" x14ac:dyDescent="0.15">
      <c r="B24" s="48">
        <f t="shared" ca="1" si="0"/>
        <v>1.4452399191552969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D363-72EE-7643-A118-DD592FF4C498}">
  <dimension ref="A1:L515"/>
  <sheetViews>
    <sheetView zoomScale="156" workbookViewId="0">
      <selection activeCell="G10" sqref="G10"/>
    </sheetView>
  </sheetViews>
  <sheetFormatPr baseColWidth="10" defaultColWidth="10.83203125" defaultRowHeight="14" x14ac:dyDescent="0.2"/>
  <cols>
    <col min="1" max="1" width="4.33203125" style="30" customWidth="1"/>
    <col min="2" max="2" width="8" style="29" bestFit="1" customWidth="1"/>
    <col min="3" max="3" width="13.33203125" style="29" customWidth="1"/>
    <col min="4" max="4" width="9.33203125" style="29" customWidth="1"/>
    <col min="5" max="5" width="9" style="29" customWidth="1"/>
    <col min="6" max="6" width="7.5" style="29" customWidth="1"/>
    <col min="7" max="7" width="8.6640625" style="29" customWidth="1"/>
    <col min="8" max="8" width="6.83203125" style="29" customWidth="1"/>
    <col min="9" max="9" width="7.1640625" style="29" customWidth="1"/>
    <col min="10" max="10" width="5.83203125" style="30" customWidth="1"/>
    <col min="11" max="11" width="22.1640625" style="30" bestFit="1" customWidth="1"/>
    <col min="12" max="12" width="10.5" style="30" bestFit="1" customWidth="1"/>
    <col min="13" max="16384" width="10.83203125" style="30"/>
  </cols>
  <sheetData>
    <row r="1" spans="1:12" ht="19" x14ac:dyDescent="0.25">
      <c r="A1" s="28" t="s">
        <v>81</v>
      </c>
    </row>
    <row r="2" spans="1:12" x14ac:dyDescent="0.2">
      <c r="A2" s="50"/>
    </row>
    <row r="3" spans="1:12" x14ac:dyDescent="0.2">
      <c r="A3" s="50"/>
      <c r="D3" s="51" t="s">
        <v>80</v>
      </c>
      <c r="F3" s="30"/>
      <c r="K3" s="50"/>
      <c r="L3" s="50"/>
    </row>
    <row r="4" spans="1:12" x14ac:dyDescent="0.2">
      <c r="A4" s="50"/>
      <c r="B4" s="30"/>
      <c r="C4" s="52" t="s">
        <v>79</v>
      </c>
      <c r="D4" s="35">
        <v>30</v>
      </c>
      <c r="E4" s="53" t="s">
        <v>73</v>
      </c>
    </row>
    <row r="5" spans="1:12" x14ac:dyDescent="0.2">
      <c r="A5" s="50"/>
      <c r="B5" s="30"/>
      <c r="C5" s="52"/>
      <c r="E5" s="53"/>
    </row>
    <row r="6" spans="1:12" x14ac:dyDescent="0.2">
      <c r="A6" s="50"/>
      <c r="B6" s="30"/>
      <c r="C6" s="52"/>
      <c r="D6" s="51" t="s">
        <v>78</v>
      </c>
      <c r="E6" s="53"/>
      <c r="G6" s="30"/>
    </row>
    <row r="7" spans="1:12" x14ac:dyDescent="0.2">
      <c r="A7" s="50"/>
      <c r="B7" s="30"/>
      <c r="C7" s="52" t="s">
        <v>77</v>
      </c>
      <c r="D7" s="35">
        <v>15</v>
      </c>
      <c r="E7" s="53" t="s">
        <v>73</v>
      </c>
    </row>
    <row r="8" spans="1:12" x14ac:dyDescent="0.2">
      <c r="A8" s="50"/>
      <c r="B8" s="30"/>
      <c r="C8" s="52" t="s">
        <v>76</v>
      </c>
      <c r="D8" s="35">
        <v>25</v>
      </c>
      <c r="E8" s="53" t="s">
        <v>73</v>
      </c>
    </row>
    <row r="9" spans="1:12" ht="15" thickBot="1" x14ac:dyDescent="0.25">
      <c r="A9" s="50"/>
    </row>
    <row r="10" spans="1:12" x14ac:dyDescent="0.2">
      <c r="A10" s="50"/>
      <c r="B10" s="30"/>
      <c r="C10" s="52" t="s">
        <v>75</v>
      </c>
      <c r="D10" s="54">
        <f ca="1">AVERAGE(TimeInLine)</f>
        <v>20.721286449211355</v>
      </c>
      <c r="E10" s="53" t="s">
        <v>73</v>
      </c>
      <c r="F10" s="30"/>
    </row>
    <row r="11" spans="1:12" ht="15" thickBot="1" x14ac:dyDescent="0.25">
      <c r="A11" s="50"/>
      <c r="B11" s="30"/>
      <c r="C11" s="52" t="s">
        <v>74</v>
      </c>
      <c r="D11" s="55">
        <f ca="1">AVERAGE(TimeInSystem)</f>
        <v>40.895132782627087</v>
      </c>
      <c r="E11" s="53" t="s">
        <v>73</v>
      </c>
      <c r="F11" s="30"/>
    </row>
    <row r="12" spans="1:12" x14ac:dyDescent="0.2">
      <c r="A12" s="50"/>
    </row>
    <row r="13" spans="1:12" x14ac:dyDescent="0.2">
      <c r="C13" s="56"/>
      <c r="D13" s="29" t="s">
        <v>65</v>
      </c>
      <c r="E13" s="29" t="s">
        <v>65</v>
      </c>
      <c r="G13" s="57" t="s">
        <v>65</v>
      </c>
      <c r="H13" s="29" t="s">
        <v>65</v>
      </c>
      <c r="I13" s="29" t="s">
        <v>65</v>
      </c>
    </row>
    <row r="14" spans="1:12" x14ac:dyDescent="0.2">
      <c r="B14" s="29" t="s">
        <v>72</v>
      </c>
      <c r="C14" s="56" t="s">
        <v>71</v>
      </c>
      <c r="D14" s="29" t="s">
        <v>70</v>
      </c>
      <c r="E14" s="29" t="s">
        <v>69</v>
      </c>
      <c r="F14" s="29" t="s">
        <v>69</v>
      </c>
      <c r="G14" s="57" t="s">
        <v>69</v>
      </c>
      <c r="H14" s="29" t="s">
        <v>68</v>
      </c>
      <c r="I14" s="29" t="s">
        <v>68</v>
      </c>
    </row>
    <row r="15" spans="1:12" ht="15" thickBot="1" x14ac:dyDescent="0.25">
      <c r="B15" s="32" t="s">
        <v>67</v>
      </c>
      <c r="C15" s="58" t="s">
        <v>65</v>
      </c>
      <c r="D15" s="32" t="s">
        <v>67</v>
      </c>
      <c r="E15" s="32" t="s">
        <v>66</v>
      </c>
      <c r="F15" s="32" t="s">
        <v>65</v>
      </c>
      <c r="G15" s="59" t="s">
        <v>64</v>
      </c>
      <c r="H15" s="32" t="s">
        <v>63</v>
      </c>
      <c r="I15" s="32" t="s">
        <v>62</v>
      </c>
    </row>
    <row r="16" spans="1:12" x14ac:dyDescent="0.2">
      <c r="B16" s="29">
        <v>1</v>
      </c>
      <c r="C16" s="60">
        <f t="shared" ref="C16:C47" ca="1" si="0">-MeanInterarrivalTime*LN(RAND())</f>
        <v>41.023958581359125</v>
      </c>
      <c r="D16" s="61">
        <f ca="1">C16</f>
        <v>41.023958581359125</v>
      </c>
      <c r="E16" s="61">
        <f ca="1">D16</f>
        <v>41.023958581359125</v>
      </c>
      <c r="F16" s="61">
        <f t="shared" ref="F16:F47" ca="1" si="1">MinServiceTime+(MaxServiceTime-MinServiceTime)*RAND()</f>
        <v>19.57229313191991</v>
      </c>
      <c r="G16" s="62">
        <f ca="1">E16+F16</f>
        <v>60.596251713279031</v>
      </c>
      <c r="H16" s="61">
        <f ca="1">E16-D16</f>
        <v>0</v>
      </c>
      <c r="I16" s="61">
        <f ca="1">G16-D16</f>
        <v>19.572293131919906</v>
      </c>
    </row>
    <row r="17" spans="2:11" x14ac:dyDescent="0.2">
      <c r="B17" s="29">
        <v>2</v>
      </c>
      <c r="C17" s="60">
        <f t="shared" ca="1" si="0"/>
        <v>83.170312674884471</v>
      </c>
      <c r="D17" s="61">
        <f ca="1">C17+D16</f>
        <v>124.1942712562436</v>
      </c>
      <c r="E17" s="61">
        <f ca="1">MAX(G16,D17)</f>
        <v>124.1942712562436</v>
      </c>
      <c r="F17" s="61">
        <f t="shared" ca="1" si="1"/>
        <v>16.715080352452951</v>
      </c>
      <c r="G17" s="62">
        <f t="shared" ref="G17:G80" ca="1" si="2">E17+F17</f>
        <v>140.90935160869654</v>
      </c>
      <c r="H17" s="61">
        <f t="shared" ref="H17:H80" ca="1" si="3">E17-D17</f>
        <v>0</v>
      </c>
      <c r="I17" s="61">
        <f t="shared" ref="I17:I80" ca="1" si="4">G17-D17</f>
        <v>16.715080352452944</v>
      </c>
    </row>
    <row r="18" spans="2:11" x14ac:dyDescent="0.2">
      <c r="B18" s="29">
        <v>3</v>
      </c>
      <c r="C18" s="60">
        <f t="shared" ca="1" si="0"/>
        <v>2.1433929405911218</v>
      </c>
      <c r="D18" s="61">
        <f t="shared" ref="D18:D81" ca="1" si="5">C18+D17</f>
        <v>126.33766419683472</v>
      </c>
      <c r="E18" s="61">
        <f t="shared" ref="E18:E48" ca="1" si="6">MAX(G17,D18)</f>
        <v>140.90935160869654</v>
      </c>
      <c r="F18" s="61">
        <f t="shared" ca="1" si="1"/>
        <v>16.506534747405816</v>
      </c>
      <c r="G18" s="62">
        <f t="shared" ca="1" si="2"/>
        <v>157.41588635610236</v>
      </c>
      <c r="H18" s="61">
        <f t="shared" ca="1" si="3"/>
        <v>14.571687411861816</v>
      </c>
      <c r="I18" s="61">
        <f t="shared" ca="1" si="4"/>
        <v>31.078222159267639</v>
      </c>
    </row>
    <row r="19" spans="2:11" x14ac:dyDescent="0.2">
      <c r="B19" s="29">
        <v>4</v>
      </c>
      <c r="C19" s="60">
        <f t="shared" ca="1" si="0"/>
        <v>6.501954726271725</v>
      </c>
      <c r="D19" s="61">
        <f t="shared" ca="1" si="5"/>
        <v>132.83961892310646</v>
      </c>
      <c r="E19" s="61">
        <f t="shared" ca="1" si="6"/>
        <v>157.41588635610236</v>
      </c>
      <c r="F19" s="61">
        <f t="shared" ca="1" si="1"/>
        <v>20.202386091341207</v>
      </c>
      <c r="G19" s="62">
        <f t="shared" ca="1" si="2"/>
        <v>177.61827244744356</v>
      </c>
      <c r="H19" s="61">
        <f t="shared" ca="1" si="3"/>
        <v>24.576267432995905</v>
      </c>
      <c r="I19" s="61">
        <f t="shared" ca="1" si="4"/>
        <v>44.778653524337102</v>
      </c>
    </row>
    <row r="20" spans="2:11" x14ac:dyDescent="0.2">
      <c r="B20" s="29">
        <v>5</v>
      </c>
      <c r="C20" s="60">
        <f t="shared" ca="1" si="0"/>
        <v>27.689459505260807</v>
      </c>
      <c r="D20" s="61">
        <f t="shared" ca="1" si="5"/>
        <v>160.52907842836726</v>
      </c>
      <c r="E20" s="61">
        <f t="shared" ca="1" si="6"/>
        <v>177.61827244744356</v>
      </c>
      <c r="F20" s="61">
        <f t="shared" ca="1" si="1"/>
        <v>23.412189193689873</v>
      </c>
      <c r="G20" s="62">
        <f t="shared" ca="1" si="2"/>
        <v>201.03046164113343</v>
      </c>
      <c r="H20" s="61">
        <f t="shared" ca="1" si="3"/>
        <v>17.089194019076302</v>
      </c>
      <c r="I20" s="61">
        <f t="shared" ca="1" si="4"/>
        <v>40.501383212766171</v>
      </c>
    </row>
    <row r="21" spans="2:11" x14ac:dyDescent="0.2">
      <c r="B21" s="29">
        <v>6</v>
      </c>
      <c r="C21" s="60">
        <f t="shared" ca="1" si="0"/>
        <v>47.609080698004874</v>
      </c>
      <c r="D21" s="61">
        <f t="shared" ca="1" si="5"/>
        <v>208.13815912637213</v>
      </c>
      <c r="E21" s="61">
        <f t="shared" ca="1" si="6"/>
        <v>208.13815912637213</v>
      </c>
      <c r="F21" s="61">
        <f t="shared" ca="1" si="1"/>
        <v>18.00935377384782</v>
      </c>
      <c r="G21" s="62">
        <f t="shared" ca="1" si="2"/>
        <v>226.14751290021997</v>
      </c>
      <c r="H21" s="61">
        <f t="shared" ca="1" si="3"/>
        <v>0</v>
      </c>
      <c r="I21" s="61">
        <f t="shared" ca="1" si="4"/>
        <v>18.009353773847835</v>
      </c>
    </row>
    <row r="22" spans="2:11" x14ac:dyDescent="0.2">
      <c r="B22" s="29">
        <v>7</v>
      </c>
      <c r="C22" s="60">
        <f t="shared" ca="1" si="0"/>
        <v>60.782020957663214</v>
      </c>
      <c r="D22" s="61">
        <f t="shared" ca="1" si="5"/>
        <v>268.92018008403534</v>
      </c>
      <c r="E22" s="61">
        <f t="shared" ca="1" si="6"/>
        <v>268.92018008403534</v>
      </c>
      <c r="F22" s="61">
        <f t="shared" ca="1" si="1"/>
        <v>22.795136530049078</v>
      </c>
      <c r="G22" s="62">
        <f t="shared" ca="1" si="2"/>
        <v>291.71531661408443</v>
      </c>
      <c r="H22" s="61">
        <f t="shared" ca="1" si="3"/>
        <v>0</v>
      </c>
      <c r="I22" s="61">
        <f t="shared" ca="1" si="4"/>
        <v>22.795136530049092</v>
      </c>
      <c r="K22" s="63" t="s">
        <v>82</v>
      </c>
    </row>
    <row r="23" spans="2:11" x14ac:dyDescent="0.2">
      <c r="B23" s="29">
        <v>8</v>
      </c>
      <c r="C23" s="60">
        <f t="shared" ca="1" si="0"/>
        <v>16.716570479601479</v>
      </c>
      <c r="D23" s="61">
        <f t="shared" ca="1" si="5"/>
        <v>285.63675056363684</v>
      </c>
      <c r="E23" s="61">
        <f t="shared" ca="1" si="6"/>
        <v>291.71531661408443</v>
      </c>
      <c r="F23" s="61">
        <f t="shared" ca="1" si="1"/>
        <v>18.661700388753108</v>
      </c>
      <c r="G23" s="62">
        <f t="shared" ca="1" si="2"/>
        <v>310.37701700283753</v>
      </c>
      <c r="H23" s="61">
        <f t="shared" ca="1" si="3"/>
        <v>6.0785660504475914</v>
      </c>
      <c r="I23" s="61">
        <f t="shared" ca="1" si="4"/>
        <v>24.740266439200695</v>
      </c>
    </row>
    <row r="24" spans="2:11" x14ac:dyDescent="0.2">
      <c r="B24" s="29">
        <v>9</v>
      </c>
      <c r="C24" s="60">
        <f t="shared" ca="1" si="0"/>
        <v>40.390016333493023</v>
      </c>
      <c r="D24" s="61">
        <f t="shared" ca="1" si="5"/>
        <v>326.02676689712985</v>
      </c>
      <c r="E24" s="61">
        <f t="shared" ca="1" si="6"/>
        <v>326.02676689712985</v>
      </c>
      <c r="F24" s="61">
        <f t="shared" ca="1" si="1"/>
        <v>24.78863480623717</v>
      </c>
      <c r="G24" s="62">
        <f t="shared" ca="1" si="2"/>
        <v>350.815401703367</v>
      </c>
      <c r="H24" s="61">
        <f t="shared" ca="1" si="3"/>
        <v>0</v>
      </c>
      <c r="I24" s="61">
        <f t="shared" ca="1" si="4"/>
        <v>24.788634806237155</v>
      </c>
    </row>
    <row r="25" spans="2:11" x14ac:dyDescent="0.2">
      <c r="B25" s="29">
        <v>10</v>
      </c>
      <c r="C25" s="60">
        <f t="shared" ca="1" si="0"/>
        <v>34.604849371101913</v>
      </c>
      <c r="D25" s="61">
        <f t="shared" ca="1" si="5"/>
        <v>360.63161626823177</v>
      </c>
      <c r="E25" s="61">
        <f t="shared" ca="1" si="6"/>
        <v>360.63161626823177</v>
      </c>
      <c r="F25" s="61">
        <f t="shared" ca="1" si="1"/>
        <v>15.947454626220544</v>
      </c>
      <c r="G25" s="62">
        <f t="shared" ca="1" si="2"/>
        <v>376.57907089445229</v>
      </c>
      <c r="H25" s="61">
        <f t="shared" ca="1" si="3"/>
        <v>0</v>
      </c>
      <c r="I25" s="61">
        <f t="shared" ca="1" si="4"/>
        <v>15.947454626220519</v>
      </c>
      <c r="K25" s="47"/>
    </row>
    <row r="26" spans="2:11" x14ac:dyDescent="0.2">
      <c r="B26" s="29">
        <v>11</v>
      </c>
      <c r="C26" s="60">
        <f t="shared" ca="1" si="0"/>
        <v>1.8266564643009013</v>
      </c>
      <c r="D26" s="61">
        <f t="shared" ca="1" si="5"/>
        <v>362.45827273253269</v>
      </c>
      <c r="E26" s="61">
        <f t="shared" ca="1" si="6"/>
        <v>376.57907089445229</v>
      </c>
      <c r="F26" s="61">
        <f t="shared" ca="1" si="1"/>
        <v>23.643176215587577</v>
      </c>
      <c r="G26" s="62">
        <f t="shared" ca="1" si="2"/>
        <v>400.22224711003986</v>
      </c>
      <c r="H26" s="61">
        <f t="shared" ca="1" si="3"/>
        <v>14.120798161919595</v>
      </c>
      <c r="I26" s="61">
        <f t="shared" ca="1" si="4"/>
        <v>37.763974377507168</v>
      </c>
      <c r="K26" s="63"/>
    </row>
    <row r="27" spans="2:11" x14ac:dyDescent="0.2">
      <c r="B27" s="29">
        <v>12</v>
      </c>
      <c r="C27" s="60">
        <f t="shared" ca="1" si="0"/>
        <v>3.3373782658383204</v>
      </c>
      <c r="D27" s="61">
        <f t="shared" ca="1" si="5"/>
        <v>365.795650998371</v>
      </c>
      <c r="E27" s="61">
        <f t="shared" ca="1" si="6"/>
        <v>400.22224711003986</v>
      </c>
      <c r="F27" s="61">
        <f t="shared" ca="1" si="1"/>
        <v>20.97089859479178</v>
      </c>
      <c r="G27" s="62">
        <f t="shared" ca="1" si="2"/>
        <v>421.19314570483164</v>
      </c>
      <c r="H27" s="61">
        <f t="shared" ca="1" si="3"/>
        <v>34.426596111668857</v>
      </c>
      <c r="I27" s="61">
        <f t="shared" ca="1" si="4"/>
        <v>55.397494706460634</v>
      </c>
      <c r="K27" s="63"/>
    </row>
    <row r="28" spans="2:11" x14ac:dyDescent="0.2">
      <c r="B28" s="29">
        <v>13</v>
      </c>
      <c r="C28" s="60">
        <f t="shared" ca="1" si="0"/>
        <v>0.41971806716800691</v>
      </c>
      <c r="D28" s="61">
        <f t="shared" ca="1" si="5"/>
        <v>366.21536906553899</v>
      </c>
      <c r="E28" s="61">
        <f t="shared" ca="1" si="6"/>
        <v>421.19314570483164</v>
      </c>
      <c r="F28" s="61">
        <f t="shared" ca="1" si="1"/>
        <v>19.080749497926462</v>
      </c>
      <c r="G28" s="62">
        <f t="shared" ca="1" si="2"/>
        <v>440.27389520275813</v>
      </c>
      <c r="H28" s="61">
        <f t="shared" ca="1" si="3"/>
        <v>54.977776639292642</v>
      </c>
      <c r="I28" s="61">
        <f t="shared" ca="1" si="4"/>
        <v>74.058526137219133</v>
      </c>
    </row>
    <row r="29" spans="2:11" x14ac:dyDescent="0.2">
      <c r="B29" s="29">
        <v>14</v>
      </c>
      <c r="C29" s="60">
        <f t="shared" ca="1" si="0"/>
        <v>66.564780961728843</v>
      </c>
      <c r="D29" s="61">
        <f t="shared" ca="1" si="5"/>
        <v>432.78015002726784</v>
      </c>
      <c r="E29" s="61">
        <f t="shared" ca="1" si="6"/>
        <v>440.27389520275813</v>
      </c>
      <c r="F29" s="61">
        <f t="shared" ca="1" si="1"/>
        <v>21.461881687236705</v>
      </c>
      <c r="G29" s="62">
        <f t="shared" ca="1" si="2"/>
        <v>461.73577688999484</v>
      </c>
      <c r="H29" s="61">
        <f t="shared" ca="1" si="3"/>
        <v>7.4937451754902895</v>
      </c>
      <c r="I29" s="61">
        <f t="shared" ca="1" si="4"/>
        <v>28.955626862727001</v>
      </c>
    </row>
    <row r="30" spans="2:11" x14ac:dyDescent="0.2">
      <c r="B30" s="29">
        <v>15</v>
      </c>
      <c r="C30" s="60">
        <f t="shared" ca="1" si="0"/>
        <v>15.676955046605052</v>
      </c>
      <c r="D30" s="61">
        <f t="shared" ca="1" si="5"/>
        <v>448.45710507387287</v>
      </c>
      <c r="E30" s="61">
        <f t="shared" ca="1" si="6"/>
        <v>461.73577688999484</v>
      </c>
      <c r="F30" s="61">
        <f t="shared" ca="1" si="1"/>
        <v>15.45545274882911</v>
      </c>
      <c r="G30" s="62">
        <f t="shared" ca="1" si="2"/>
        <v>477.19122963882393</v>
      </c>
      <c r="H30" s="61">
        <f t="shared" ca="1" si="3"/>
        <v>13.278671816121971</v>
      </c>
      <c r="I30" s="61">
        <f t="shared" ca="1" si="4"/>
        <v>28.73412456495106</v>
      </c>
    </row>
    <row r="31" spans="2:11" x14ac:dyDescent="0.2">
      <c r="B31" s="29">
        <v>16</v>
      </c>
      <c r="C31" s="60">
        <f t="shared" ca="1" si="0"/>
        <v>34.177846420996651</v>
      </c>
      <c r="D31" s="61">
        <f t="shared" ca="1" si="5"/>
        <v>482.63495149486954</v>
      </c>
      <c r="E31" s="61">
        <f t="shared" ca="1" si="6"/>
        <v>482.63495149486954</v>
      </c>
      <c r="F31" s="61">
        <f t="shared" ca="1" si="1"/>
        <v>16.003466212618061</v>
      </c>
      <c r="G31" s="62">
        <f t="shared" ca="1" si="2"/>
        <v>498.63841770748758</v>
      </c>
      <c r="H31" s="61">
        <f t="shared" ca="1" si="3"/>
        <v>0</v>
      </c>
      <c r="I31" s="61">
        <f t="shared" ca="1" si="4"/>
        <v>16.003466212618036</v>
      </c>
    </row>
    <row r="32" spans="2:11" x14ac:dyDescent="0.2">
      <c r="B32" s="29">
        <v>17</v>
      </c>
      <c r="C32" s="60">
        <f t="shared" ca="1" si="0"/>
        <v>16.013071433544745</v>
      </c>
      <c r="D32" s="61">
        <f t="shared" ca="1" si="5"/>
        <v>498.64802292841426</v>
      </c>
      <c r="E32" s="61">
        <f t="shared" ca="1" si="6"/>
        <v>498.64802292841426</v>
      </c>
      <c r="F32" s="61">
        <f t="shared" ca="1" si="1"/>
        <v>21.974867990684359</v>
      </c>
      <c r="G32" s="62">
        <f t="shared" ca="1" si="2"/>
        <v>520.62289091909861</v>
      </c>
      <c r="H32" s="61">
        <f t="shared" ca="1" si="3"/>
        <v>0</v>
      </c>
      <c r="I32" s="61">
        <f t="shared" ca="1" si="4"/>
        <v>21.974867990684345</v>
      </c>
    </row>
    <row r="33" spans="2:9" x14ac:dyDescent="0.2">
      <c r="B33" s="29">
        <v>18</v>
      </c>
      <c r="C33" s="60">
        <f t="shared" ca="1" si="0"/>
        <v>12.565090429657525</v>
      </c>
      <c r="D33" s="61">
        <f t="shared" ca="1" si="5"/>
        <v>511.21311335807178</v>
      </c>
      <c r="E33" s="61">
        <f t="shared" ca="1" si="6"/>
        <v>520.62289091909861</v>
      </c>
      <c r="F33" s="61">
        <f t="shared" ca="1" si="1"/>
        <v>21.945755824935301</v>
      </c>
      <c r="G33" s="62">
        <f t="shared" ca="1" si="2"/>
        <v>542.56864674403391</v>
      </c>
      <c r="H33" s="61">
        <f t="shared" ca="1" si="3"/>
        <v>9.4097775610268286</v>
      </c>
      <c r="I33" s="61">
        <f t="shared" ca="1" si="4"/>
        <v>31.355533385962133</v>
      </c>
    </row>
    <row r="34" spans="2:9" x14ac:dyDescent="0.2">
      <c r="B34" s="29">
        <v>19</v>
      </c>
      <c r="C34" s="60">
        <f t="shared" ca="1" si="0"/>
        <v>52.946034457276767</v>
      </c>
      <c r="D34" s="61">
        <f t="shared" ca="1" si="5"/>
        <v>564.15914781534855</v>
      </c>
      <c r="E34" s="61">
        <f t="shared" ca="1" si="6"/>
        <v>564.15914781534855</v>
      </c>
      <c r="F34" s="61">
        <f t="shared" ca="1" si="1"/>
        <v>22.518751832361826</v>
      </c>
      <c r="G34" s="62">
        <f t="shared" ca="1" si="2"/>
        <v>586.67789964771032</v>
      </c>
      <c r="H34" s="61">
        <f t="shared" ca="1" si="3"/>
        <v>0</v>
      </c>
      <c r="I34" s="61">
        <f t="shared" ca="1" si="4"/>
        <v>22.518751832361772</v>
      </c>
    </row>
    <row r="35" spans="2:9" x14ac:dyDescent="0.2">
      <c r="B35" s="29">
        <v>20</v>
      </c>
      <c r="C35" s="60">
        <f t="shared" ca="1" si="0"/>
        <v>20.937862961907761</v>
      </c>
      <c r="D35" s="61">
        <f t="shared" ca="1" si="5"/>
        <v>585.09701077725629</v>
      </c>
      <c r="E35" s="61">
        <f t="shared" ca="1" si="6"/>
        <v>586.67789964771032</v>
      </c>
      <c r="F35" s="61">
        <f t="shared" ca="1" si="1"/>
        <v>17.151317623865907</v>
      </c>
      <c r="G35" s="62">
        <f t="shared" ca="1" si="2"/>
        <v>603.82921727157623</v>
      </c>
      <c r="H35" s="61">
        <f t="shared" ca="1" si="3"/>
        <v>1.5808888704540323</v>
      </c>
      <c r="I35" s="61">
        <f t="shared" ca="1" si="4"/>
        <v>18.732206494319939</v>
      </c>
    </row>
    <row r="36" spans="2:9" x14ac:dyDescent="0.2">
      <c r="B36" s="29">
        <v>21</v>
      </c>
      <c r="C36" s="60">
        <f t="shared" ca="1" si="0"/>
        <v>42.498109910230056</v>
      </c>
      <c r="D36" s="61">
        <f t="shared" ca="1" si="5"/>
        <v>627.59512068748631</v>
      </c>
      <c r="E36" s="61">
        <f t="shared" ca="1" si="6"/>
        <v>627.59512068748631</v>
      </c>
      <c r="F36" s="61">
        <f t="shared" ca="1" si="1"/>
        <v>15.176993045030603</v>
      </c>
      <c r="G36" s="62">
        <f t="shared" ca="1" si="2"/>
        <v>642.77211373251691</v>
      </c>
      <c r="H36" s="61">
        <f t="shared" ca="1" si="3"/>
        <v>0</v>
      </c>
      <c r="I36" s="61">
        <f t="shared" ca="1" si="4"/>
        <v>15.176993045030599</v>
      </c>
    </row>
    <row r="37" spans="2:9" x14ac:dyDescent="0.2">
      <c r="B37" s="29">
        <v>22</v>
      </c>
      <c r="C37" s="60">
        <f t="shared" ca="1" si="0"/>
        <v>36.253605575177367</v>
      </c>
      <c r="D37" s="61">
        <f t="shared" ca="1" si="5"/>
        <v>663.84872626266372</v>
      </c>
      <c r="E37" s="61">
        <f t="shared" ca="1" si="6"/>
        <v>663.84872626266372</v>
      </c>
      <c r="F37" s="61">
        <f t="shared" ca="1" si="1"/>
        <v>20.35642242775986</v>
      </c>
      <c r="G37" s="62">
        <f t="shared" ca="1" si="2"/>
        <v>684.20514869042358</v>
      </c>
      <c r="H37" s="61">
        <f t="shared" ca="1" si="3"/>
        <v>0</v>
      </c>
      <c r="I37" s="61">
        <f t="shared" ca="1" si="4"/>
        <v>20.356422427759867</v>
      </c>
    </row>
    <row r="38" spans="2:9" x14ac:dyDescent="0.2">
      <c r="B38" s="29">
        <v>23</v>
      </c>
      <c r="C38" s="60">
        <f t="shared" ca="1" si="0"/>
        <v>59.905970088395279</v>
      </c>
      <c r="D38" s="61">
        <f t="shared" ca="1" si="5"/>
        <v>723.75469635105901</v>
      </c>
      <c r="E38" s="61">
        <f t="shared" ca="1" si="6"/>
        <v>723.75469635105901</v>
      </c>
      <c r="F38" s="61">
        <f t="shared" ca="1" si="1"/>
        <v>22.427627448006078</v>
      </c>
      <c r="G38" s="62">
        <f t="shared" ca="1" si="2"/>
        <v>746.1823237990651</v>
      </c>
      <c r="H38" s="61">
        <f t="shared" ca="1" si="3"/>
        <v>0</v>
      </c>
      <c r="I38" s="61">
        <f t="shared" ca="1" si="4"/>
        <v>22.427627448006092</v>
      </c>
    </row>
    <row r="39" spans="2:9" x14ac:dyDescent="0.2">
      <c r="B39" s="29">
        <v>24</v>
      </c>
      <c r="C39" s="60">
        <f t="shared" ca="1" si="0"/>
        <v>0.87253710446269039</v>
      </c>
      <c r="D39" s="61">
        <f t="shared" ca="1" si="5"/>
        <v>724.62723345552172</v>
      </c>
      <c r="E39" s="61">
        <f t="shared" ca="1" si="6"/>
        <v>746.1823237990651</v>
      </c>
      <c r="F39" s="61">
        <f t="shared" ca="1" si="1"/>
        <v>20.532178001487296</v>
      </c>
      <c r="G39" s="62">
        <f t="shared" ca="1" si="2"/>
        <v>766.7145018005524</v>
      </c>
      <c r="H39" s="61">
        <f t="shared" ca="1" si="3"/>
        <v>21.555090343543384</v>
      </c>
      <c r="I39" s="61">
        <f t="shared" ca="1" si="4"/>
        <v>42.087268345030679</v>
      </c>
    </row>
    <row r="40" spans="2:9" x14ac:dyDescent="0.2">
      <c r="B40" s="29">
        <v>25</v>
      </c>
      <c r="C40" s="60">
        <f t="shared" ca="1" si="0"/>
        <v>91.984032249427273</v>
      </c>
      <c r="D40" s="61">
        <f t="shared" ca="1" si="5"/>
        <v>816.61126570494901</v>
      </c>
      <c r="E40" s="61">
        <f t="shared" ca="1" si="6"/>
        <v>816.61126570494901</v>
      </c>
      <c r="F40" s="61">
        <f t="shared" ca="1" si="1"/>
        <v>24.973786311739644</v>
      </c>
      <c r="G40" s="62">
        <f t="shared" ca="1" si="2"/>
        <v>841.58505201668868</v>
      </c>
      <c r="H40" s="61">
        <f t="shared" ca="1" si="3"/>
        <v>0</v>
      </c>
      <c r="I40" s="61">
        <f t="shared" ca="1" si="4"/>
        <v>24.973786311739673</v>
      </c>
    </row>
    <row r="41" spans="2:9" x14ac:dyDescent="0.2">
      <c r="B41" s="29">
        <v>26</v>
      </c>
      <c r="C41" s="60">
        <f t="shared" ca="1" si="0"/>
        <v>11.089951811771918</v>
      </c>
      <c r="D41" s="61">
        <f t="shared" ca="1" si="5"/>
        <v>827.70121751672093</v>
      </c>
      <c r="E41" s="61">
        <f t="shared" ca="1" si="6"/>
        <v>841.58505201668868</v>
      </c>
      <c r="F41" s="61">
        <f t="shared" ca="1" si="1"/>
        <v>24.356003086556335</v>
      </c>
      <c r="G41" s="62">
        <f t="shared" ca="1" si="2"/>
        <v>865.94105510324505</v>
      </c>
      <c r="H41" s="61">
        <f t="shared" ca="1" si="3"/>
        <v>13.883834499967747</v>
      </c>
      <c r="I41" s="61">
        <f t="shared" ca="1" si="4"/>
        <v>38.239837586524118</v>
      </c>
    </row>
    <row r="42" spans="2:9" x14ac:dyDescent="0.2">
      <c r="B42" s="29">
        <v>27</v>
      </c>
      <c r="C42" s="60">
        <f t="shared" ca="1" si="0"/>
        <v>6.2139212875762224</v>
      </c>
      <c r="D42" s="61">
        <f t="shared" ca="1" si="5"/>
        <v>833.91513880429716</v>
      </c>
      <c r="E42" s="61">
        <f t="shared" ca="1" si="6"/>
        <v>865.94105510324505</v>
      </c>
      <c r="F42" s="61">
        <f t="shared" ca="1" si="1"/>
        <v>24.625073127963361</v>
      </c>
      <c r="G42" s="62">
        <f t="shared" ca="1" si="2"/>
        <v>890.56612823120838</v>
      </c>
      <c r="H42" s="61">
        <f t="shared" ca="1" si="3"/>
        <v>32.025916298947891</v>
      </c>
      <c r="I42" s="61">
        <f t="shared" ca="1" si="4"/>
        <v>56.650989426911224</v>
      </c>
    </row>
    <row r="43" spans="2:9" x14ac:dyDescent="0.2">
      <c r="B43" s="29">
        <v>28</v>
      </c>
      <c r="C43" s="60">
        <f t="shared" ca="1" si="0"/>
        <v>54.73406390973404</v>
      </c>
      <c r="D43" s="61">
        <f t="shared" ca="1" si="5"/>
        <v>888.64920271403116</v>
      </c>
      <c r="E43" s="61">
        <f t="shared" ca="1" si="6"/>
        <v>890.56612823120838</v>
      </c>
      <c r="F43" s="61">
        <f t="shared" ca="1" si="1"/>
        <v>24.10837674099362</v>
      </c>
      <c r="G43" s="62">
        <f t="shared" ca="1" si="2"/>
        <v>914.67450497220204</v>
      </c>
      <c r="H43" s="61">
        <f t="shared" ca="1" si="3"/>
        <v>1.9169255171772193</v>
      </c>
      <c r="I43" s="61">
        <f t="shared" ca="1" si="4"/>
        <v>26.025302258170882</v>
      </c>
    </row>
    <row r="44" spans="2:9" x14ac:dyDescent="0.2">
      <c r="B44" s="29">
        <v>29</v>
      </c>
      <c r="C44" s="60">
        <f t="shared" ca="1" si="0"/>
        <v>46.063270033327271</v>
      </c>
      <c r="D44" s="61">
        <f t="shared" ca="1" si="5"/>
        <v>934.71247274735845</v>
      </c>
      <c r="E44" s="61">
        <f t="shared" ca="1" si="6"/>
        <v>934.71247274735845</v>
      </c>
      <c r="F44" s="61">
        <f t="shared" ca="1" si="1"/>
        <v>18.822396226048102</v>
      </c>
      <c r="G44" s="62">
        <f t="shared" ca="1" si="2"/>
        <v>953.53486897340656</v>
      </c>
      <c r="H44" s="61">
        <f t="shared" ca="1" si="3"/>
        <v>0</v>
      </c>
      <c r="I44" s="61">
        <f t="shared" ca="1" si="4"/>
        <v>18.822396226048113</v>
      </c>
    </row>
    <row r="45" spans="2:9" x14ac:dyDescent="0.2">
      <c r="B45" s="29">
        <v>30</v>
      </c>
      <c r="C45" s="60">
        <f t="shared" ca="1" si="0"/>
        <v>28.98429389151854</v>
      </c>
      <c r="D45" s="61">
        <f t="shared" ca="1" si="5"/>
        <v>963.69676663887697</v>
      </c>
      <c r="E45" s="61">
        <f t="shared" ca="1" si="6"/>
        <v>963.69676663887697</v>
      </c>
      <c r="F45" s="61">
        <f t="shared" ca="1" si="1"/>
        <v>18.275295235120858</v>
      </c>
      <c r="G45" s="62">
        <f t="shared" ca="1" si="2"/>
        <v>981.97206187399786</v>
      </c>
      <c r="H45" s="61">
        <f t="shared" ca="1" si="3"/>
        <v>0</v>
      </c>
      <c r="I45" s="61">
        <f t="shared" ca="1" si="4"/>
        <v>18.275295235120893</v>
      </c>
    </row>
    <row r="46" spans="2:9" x14ac:dyDescent="0.2">
      <c r="B46" s="29">
        <v>31</v>
      </c>
      <c r="C46" s="60">
        <f t="shared" ca="1" si="0"/>
        <v>29.250493228569418</v>
      </c>
      <c r="D46" s="61">
        <f t="shared" ca="1" si="5"/>
        <v>992.94725986744641</v>
      </c>
      <c r="E46" s="61">
        <f t="shared" ca="1" si="6"/>
        <v>992.94725986744641</v>
      </c>
      <c r="F46" s="61">
        <f t="shared" ca="1" si="1"/>
        <v>21.645528360752859</v>
      </c>
      <c r="G46" s="62">
        <f t="shared" ca="1" si="2"/>
        <v>1014.5927882281993</v>
      </c>
      <c r="H46" s="61">
        <f t="shared" ca="1" si="3"/>
        <v>0</v>
      </c>
      <c r="I46" s="61">
        <f t="shared" ca="1" si="4"/>
        <v>21.645528360752905</v>
      </c>
    </row>
    <row r="47" spans="2:9" x14ac:dyDescent="0.2">
      <c r="B47" s="29">
        <v>32</v>
      </c>
      <c r="C47" s="60">
        <f t="shared" ca="1" si="0"/>
        <v>4.2342688424061272</v>
      </c>
      <c r="D47" s="61">
        <f t="shared" ca="1" si="5"/>
        <v>997.1815287098525</v>
      </c>
      <c r="E47" s="61">
        <f t="shared" ca="1" si="6"/>
        <v>1014.5927882281993</v>
      </c>
      <c r="F47" s="61">
        <f t="shared" ca="1" si="1"/>
        <v>18.386070905574947</v>
      </c>
      <c r="G47" s="62">
        <f t="shared" ca="1" si="2"/>
        <v>1032.9788591337742</v>
      </c>
      <c r="H47" s="61">
        <f t="shared" ca="1" si="3"/>
        <v>17.41125951834681</v>
      </c>
      <c r="I47" s="61">
        <f t="shared" ca="1" si="4"/>
        <v>35.797330423921721</v>
      </c>
    </row>
    <row r="48" spans="2:9" x14ac:dyDescent="0.2">
      <c r="B48" s="29">
        <v>33</v>
      </c>
      <c r="C48" s="60">
        <f t="shared" ref="C48:C79" ca="1" si="7">-MeanInterarrivalTime*LN(RAND())</f>
        <v>50.699809086152214</v>
      </c>
      <c r="D48" s="61">
        <f t="shared" ca="1" si="5"/>
        <v>1047.8813377960048</v>
      </c>
      <c r="E48" s="61">
        <f t="shared" ca="1" si="6"/>
        <v>1047.8813377960048</v>
      </c>
      <c r="F48" s="61">
        <f t="shared" ref="F48:F79" ca="1" si="8">MinServiceTime+(MaxServiceTime-MinServiceTime)*RAND()</f>
        <v>19.7524327822067</v>
      </c>
      <c r="G48" s="62">
        <f t="shared" ca="1" si="2"/>
        <v>1067.6337705782114</v>
      </c>
      <c r="H48" s="61">
        <f t="shared" ca="1" si="3"/>
        <v>0</v>
      </c>
      <c r="I48" s="61">
        <f t="shared" ca="1" si="4"/>
        <v>19.752432782206597</v>
      </c>
    </row>
    <row r="49" spans="2:9" x14ac:dyDescent="0.2">
      <c r="B49" s="29">
        <v>34</v>
      </c>
      <c r="C49" s="60">
        <f t="shared" ca="1" si="7"/>
        <v>12.329833622933847</v>
      </c>
      <c r="D49" s="61">
        <f t="shared" ca="1" si="5"/>
        <v>1060.2111714189386</v>
      </c>
      <c r="E49" s="61">
        <f t="shared" ref="E49:E80" ca="1" si="9">MAX(G48,D49)</f>
        <v>1067.6337705782114</v>
      </c>
      <c r="F49" s="61">
        <f t="shared" ca="1" si="8"/>
        <v>18.851885885405231</v>
      </c>
      <c r="G49" s="62">
        <f t="shared" ca="1" si="2"/>
        <v>1086.4856564636166</v>
      </c>
      <c r="H49" s="61">
        <f t="shared" ca="1" si="3"/>
        <v>7.4225991592727496</v>
      </c>
      <c r="I49" s="61">
        <f t="shared" ca="1" si="4"/>
        <v>26.274485044677931</v>
      </c>
    </row>
    <row r="50" spans="2:9" x14ac:dyDescent="0.2">
      <c r="B50" s="29">
        <v>35</v>
      </c>
      <c r="C50" s="60">
        <f t="shared" ca="1" si="7"/>
        <v>10.775068997462233</v>
      </c>
      <c r="D50" s="61">
        <f t="shared" ca="1" si="5"/>
        <v>1070.986240416401</v>
      </c>
      <c r="E50" s="61">
        <f t="shared" ca="1" si="9"/>
        <v>1086.4856564636166</v>
      </c>
      <c r="F50" s="61">
        <f t="shared" ca="1" si="8"/>
        <v>17.354357960147851</v>
      </c>
      <c r="G50" s="62">
        <f t="shared" ca="1" si="2"/>
        <v>1103.8400144237644</v>
      </c>
      <c r="H50" s="61">
        <f t="shared" ca="1" si="3"/>
        <v>15.499416047215618</v>
      </c>
      <c r="I50" s="61">
        <f t="shared" ca="1" si="4"/>
        <v>32.853774007363427</v>
      </c>
    </row>
    <row r="51" spans="2:9" x14ac:dyDescent="0.2">
      <c r="B51" s="29">
        <v>36</v>
      </c>
      <c r="C51" s="60">
        <f t="shared" ca="1" si="7"/>
        <v>12.057717273191379</v>
      </c>
      <c r="D51" s="61">
        <f t="shared" ca="1" si="5"/>
        <v>1083.0439576895924</v>
      </c>
      <c r="E51" s="61">
        <f t="shared" ca="1" si="9"/>
        <v>1103.8400144237644</v>
      </c>
      <c r="F51" s="61">
        <f t="shared" ca="1" si="8"/>
        <v>21.710014245446494</v>
      </c>
      <c r="G51" s="62">
        <f t="shared" ca="1" si="2"/>
        <v>1125.5500286692109</v>
      </c>
      <c r="H51" s="61">
        <f t="shared" ca="1" si="3"/>
        <v>20.796056734171998</v>
      </c>
      <c r="I51" s="61">
        <f t="shared" ca="1" si="4"/>
        <v>42.506070979618471</v>
      </c>
    </row>
    <row r="52" spans="2:9" x14ac:dyDescent="0.2">
      <c r="B52" s="29">
        <v>37</v>
      </c>
      <c r="C52" s="60">
        <f t="shared" ca="1" si="7"/>
        <v>63.762495035263569</v>
      </c>
      <c r="D52" s="61">
        <f t="shared" ca="1" si="5"/>
        <v>1146.8064527248559</v>
      </c>
      <c r="E52" s="61">
        <f t="shared" ca="1" si="9"/>
        <v>1146.8064527248559</v>
      </c>
      <c r="F52" s="61">
        <f t="shared" ca="1" si="8"/>
        <v>19.770047490695465</v>
      </c>
      <c r="G52" s="62">
        <f t="shared" ca="1" si="2"/>
        <v>1166.5765002155515</v>
      </c>
      <c r="H52" s="61">
        <f t="shared" ca="1" si="3"/>
        <v>0</v>
      </c>
      <c r="I52" s="61">
        <f t="shared" ca="1" si="4"/>
        <v>19.770047490695561</v>
      </c>
    </row>
    <row r="53" spans="2:9" x14ac:dyDescent="0.2">
      <c r="B53" s="29">
        <v>38</v>
      </c>
      <c r="C53" s="60">
        <f t="shared" ca="1" si="7"/>
        <v>39.055218124867203</v>
      </c>
      <c r="D53" s="61">
        <f t="shared" ca="1" si="5"/>
        <v>1185.8616708497232</v>
      </c>
      <c r="E53" s="61">
        <f t="shared" ca="1" si="9"/>
        <v>1185.8616708497232</v>
      </c>
      <c r="F53" s="61">
        <f t="shared" ca="1" si="8"/>
        <v>17.214398202286283</v>
      </c>
      <c r="G53" s="62">
        <f t="shared" ca="1" si="2"/>
        <v>1203.0760690520094</v>
      </c>
      <c r="H53" s="61">
        <f t="shared" ca="1" si="3"/>
        <v>0</v>
      </c>
      <c r="I53" s="61">
        <f t="shared" ca="1" si="4"/>
        <v>17.214398202286247</v>
      </c>
    </row>
    <row r="54" spans="2:9" x14ac:dyDescent="0.2">
      <c r="B54" s="29">
        <v>39</v>
      </c>
      <c r="C54" s="60">
        <f t="shared" ca="1" si="7"/>
        <v>16.753123344367371</v>
      </c>
      <c r="D54" s="61">
        <f t="shared" ca="1" si="5"/>
        <v>1202.6147941940906</v>
      </c>
      <c r="E54" s="61">
        <f t="shared" ca="1" si="9"/>
        <v>1203.0760690520094</v>
      </c>
      <c r="F54" s="61">
        <f t="shared" ca="1" si="8"/>
        <v>22.259960571802523</v>
      </c>
      <c r="G54" s="62">
        <f t="shared" ca="1" si="2"/>
        <v>1225.336029623812</v>
      </c>
      <c r="H54" s="61">
        <f t="shared" ca="1" si="3"/>
        <v>0.46127485791885192</v>
      </c>
      <c r="I54" s="61">
        <f t="shared" ca="1" si="4"/>
        <v>22.721235429721446</v>
      </c>
    </row>
    <row r="55" spans="2:9" x14ac:dyDescent="0.2">
      <c r="B55" s="29">
        <v>40</v>
      </c>
      <c r="C55" s="60">
        <f t="shared" ca="1" si="7"/>
        <v>9.3245881707700651</v>
      </c>
      <c r="D55" s="61">
        <f t="shared" ca="1" si="5"/>
        <v>1211.9393823648606</v>
      </c>
      <c r="E55" s="61">
        <f t="shared" ca="1" si="9"/>
        <v>1225.336029623812</v>
      </c>
      <c r="F55" s="61">
        <f t="shared" ca="1" si="8"/>
        <v>22.136871657783608</v>
      </c>
      <c r="G55" s="62">
        <f t="shared" ca="1" si="2"/>
        <v>1247.4729012815956</v>
      </c>
      <c r="H55" s="61">
        <f t="shared" ca="1" si="3"/>
        <v>13.396647258951361</v>
      </c>
      <c r="I55" s="61">
        <f t="shared" ca="1" si="4"/>
        <v>35.53351891673492</v>
      </c>
    </row>
    <row r="56" spans="2:9" x14ac:dyDescent="0.2">
      <c r="B56" s="29">
        <v>41</v>
      </c>
      <c r="C56" s="60">
        <f t="shared" ca="1" si="7"/>
        <v>32.464575439624966</v>
      </c>
      <c r="D56" s="61">
        <f t="shared" ca="1" si="5"/>
        <v>1244.4039578044856</v>
      </c>
      <c r="E56" s="61">
        <f t="shared" ca="1" si="9"/>
        <v>1247.4729012815956</v>
      </c>
      <c r="F56" s="61">
        <f t="shared" ca="1" si="8"/>
        <v>19.64473866853838</v>
      </c>
      <c r="G56" s="62">
        <f t="shared" ca="1" si="2"/>
        <v>1267.1176399501339</v>
      </c>
      <c r="H56" s="61">
        <f t="shared" ca="1" si="3"/>
        <v>3.0689434771099968</v>
      </c>
      <c r="I56" s="61">
        <f t="shared" ca="1" si="4"/>
        <v>22.713682145648363</v>
      </c>
    </row>
    <row r="57" spans="2:9" x14ac:dyDescent="0.2">
      <c r="B57" s="29">
        <v>42</v>
      </c>
      <c r="C57" s="60">
        <f t="shared" ca="1" si="7"/>
        <v>36.491061092682571</v>
      </c>
      <c r="D57" s="61">
        <f t="shared" ca="1" si="5"/>
        <v>1280.895018897168</v>
      </c>
      <c r="E57" s="61">
        <f t="shared" ca="1" si="9"/>
        <v>1280.895018897168</v>
      </c>
      <c r="F57" s="61">
        <f t="shared" ca="1" si="8"/>
        <v>19.629043738601609</v>
      </c>
      <c r="G57" s="62">
        <f t="shared" ca="1" si="2"/>
        <v>1300.5240626357697</v>
      </c>
      <c r="H57" s="61">
        <f t="shared" ca="1" si="3"/>
        <v>0</v>
      </c>
      <c r="I57" s="61">
        <f t="shared" ca="1" si="4"/>
        <v>19.629043738601695</v>
      </c>
    </row>
    <row r="58" spans="2:9" x14ac:dyDescent="0.2">
      <c r="B58" s="29">
        <v>43</v>
      </c>
      <c r="C58" s="60">
        <f t="shared" ca="1" si="7"/>
        <v>27.20341832984618</v>
      </c>
      <c r="D58" s="61">
        <f t="shared" ca="1" si="5"/>
        <v>1308.0984372270143</v>
      </c>
      <c r="E58" s="61">
        <f t="shared" ca="1" si="9"/>
        <v>1308.0984372270143</v>
      </c>
      <c r="F58" s="61">
        <f t="shared" ca="1" si="8"/>
        <v>23.755985748777633</v>
      </c>
      <c r="G58" s="62">
        <f t="shared" ca="1" si="2"/>
        <v>1331.854422975792</v>
      </c>
      <c r="H58" s="61">
        <f t="shared" ca="1" si="3"/>
        <v>0</v>
      </c>
      <c r="I58" s="61">
        <f t="shared" ca="1" si="4"/>
        <v>23.755985748777675</v>
      </c>
    </row>
    <row r="59" spans="2:9" x14ac:dyDescent="0.2">
      <c r="B59" s="29">
        <v>44</v>
      </c>
      <c r="C59" s="60">
        <f t="shared" ca="1" si="7"/>
        <v>2.5555567829265873</v>
      </c>
      <c r="D59" s="61">
        <f t="shared" ca="1" si="5"/>
        <v>1310.6539940099408</v>
      </c>
      <c r="E59" s="61">
        <f t="shared" ca="1" si="9"/>
        <v>1331.854422975792</v>
      </c>
      <c r="F59" s="61">
        <f t="shared" ca="1" si="8"/>
        <v>15.997390447507598</v>
      </c>
      <c r="G59" s="62">
        <f t="shared" ca="1" si="2"/>
        <v>1347.8518134232995</v>
      </c>
      <c r="H59" s="61">
        <f t="shared" ca="1" si="3"/>
        <v>21.200428965851188</v>
      </c>
      <c r="I59" s="61">
        <f t="shared" ca="1" si="4"/>
        <v>37.197819413358729</v>
      </c>
    </row>
    <row r="60" spans="2:9" x14ac:dyDescent="0.2">
      <c r="B60" s="29">
        <v>45</v>
      </c>
      <c r="C60" s="60">
        <f t="shared" ca="1" si="7"/>
        <v>4.4447466799086603</v>
      </c>
      <c r="D60" s="61">
        <f t="shared" ca="1" si="5"/>
        <v>1315.0987406898494</v>
      </c>
      <c r="E60" s="61">
        <f t="shared" ca="1" si="9"/>
        <v>1347.8518134232995</v>
      </c>
      <c r="F60" s="61">
        <f t="shared" ca="1" si="8"/>
        <v>23.306728661358729</v>
      </c>
      <c r="G60" s="62">
        <f t="shared" ca="1" si="2"/>
        <v>1371.1585420846582</v>
      </c>
      <c r="H60" s="61">
        <f t="shared" ca="1" si="3"/>
        <v>32.753072733450153</v>
      </c>
      <c r="I60" s="61">
        <f t="shared" ca="1" si="4"/>
        <v>56.059801394808801</v>
      </c>
    </row>
    <row r="61" spans="2:9" x14ac:dyDescent="0.2">
      <c r="B61" s="29">
        <v>46</v>
      </c>
      <c r="C61" s="60">
        <f t="shared" ca="1" si="7"/>
        <v>31.596137451592405</v>
      </c>
      <c r="D61" s="61">
        <f t="shared" ca="1" si="5"/>
        <v>1346.6948781414417</v>
      </c>
      <c r="E61" s="61">
        <f t="shared" ca="1" si="9"/>
        <v>1371.1585420846582</v>
      </c>
      <c r="F61" s="61">
        <f t="shared" ca="1" si="8"/>
        <v>17.614393869921777</v>
      </c>
      <c r="G61" s="62">
        <f t="shared" ca="1" si="2"/>
        <v>1388.7729359545799</v>
      </c>
      <c r="H61" s="61">
        <f t="shared" ca="1" si="3"/>
        <v>24.463663943216488</v>
      </c>
      <c r="I61" s="61">
        <f t="shared" ca="1" si="4"/>
        <v>42.07805781313823</v>
      </c>
    </row>
    <row r="62" spans="2:9" x14ac:dyDescent="0.2">
      <c r="B62" s="29">
        <v>47</v>
      </c>
      <c r="C62" s="60">
        <f t="shared" ca="1" si="7"/>
        <v>5.530386215392797</v>
      </c>
      <c r="D62" s="61">
        <f t="shared" ca="1" si="5"/>
        <v>1352.2252643568345</v>
      </c>
      <c r="E62" s="61">
        <f t="shared" ca="1" si="9"/>
        <v>1388.7729359545799</v>
      </c>
      <c r="F62" s="61">
        <f t="shared" ca="1" si="8"/>
        <v>16.853236963688786</v>
      </c>
      <c r="G62" s="62">
        <f t="shared" ca="1" si="2"/>
        <v>1405.6261729182686</v>
      </c>
      <c r="H62" s="61">
        <f t="shared" ca="1" si="3"/>
        <v>36.547671597745421</v>
      </c>
      <c r="I62" s="61">
        <f t="shared" ca="1" si="4"/>
        <v>53.400908561434107</v>
      </c>
    </row>
    <row r="63" spans="2:9" x14ac:dyDescent="0.2">
      <c r="B63" s="29">
        <v>48</v>
      </c>
      <c r="C63" s="60">
        <f t="shared" ca="1" si="7"/>
        <v>1.7198831328772859</v>
      </c>
      <c r="D63" s="61">
        <f t="shared" ca="1" si="5"/>
        <v>1353.9451474897119</v>
      </c>
      <c r="E63" s="61">
        <f t="shared" ca="1" si="9"/>
        <v>1405.6261729182686</v>
      </c>
      <c r="F63" s="61">
        <f t="shared" ca="1" si="8"/>
        <v>16.984741804646738</v>
      </c>
      <c r="G63" s="62">
        <f t="shared" ca="1" si="2"/>
        <v>1422.6109147229154</v>
      </c>
      <c r="H63" s="61">
        <f t="shared" ca="1" si="3"/>
        <v>51.681025428556723</v>
      </c>
      <c r="I63" s="61">
        <f t="shared" ca="1" si="4"/>
        <v>68.665767233203496</v>
      </c>
    </row>
    <row r="64" spans="2:9" x14ac:dyDescent="0.2">
      <c r="B64" s="29">
        <v>49</v>
      </c>
      <c r="C64" s="60">
        <f t="shared" ca="1" si="7"/>
        <v>5.9249614521113143</v>
      </c>
      <c r="D64" s="61">
        <f t="shared" ca="1" si="5"/>
        <v>1359.8701089418232</v>
      </c>
      <c r="E64" s="61">
        <f t="shared" ca="1" si="9"/>
        <v>1422.6109147229154</v>
      </c>
      <c r="F64" s="61">
        <f t="shared" ca="1" si="8"/>
        <v>21.769387621198817</v>
      </c>
      <c r="G64" s="62">
        <f t="shared" ca="1" si="2"/>
        <v>1444.3803023441142</v>
      </c>
      <c r="H64" s="61">
        <f t="shared" ca="1" si="3"/>
        <v>62.740805781092149</v>
      </c>
      <c r="I64" s="61">
        <f t="shared" ca="1" si="4"/>
        <v>84.510193402290952</v>
      </c>
    </row>
    <row r="65" spans="2:9" x14ac:dyDescent="0.2">
      <c r="B65" s="29">
        <v>50</v>
      </c>
      <c r="C65" s="60">
        <f t="shared" ca="1" si="7"/>
        <v>14.07355511137494</v>
      </c>
      <c r="D65" s="61">
        <f t="shared" ca="1" si="5"/>
        <v>1373.9436640531981</v>
      </c>
      <c r="E65" s="61">
        <f t="shared" ca="1" si="9"/>
        <v>1444.3803023441142</v>
      </c>
      <c r="F65" s="61">
        <f t="shared" ca="1" si="8"/>
        <v>22.647823000163598</v>
      </c>
      <c r="G65" s="62">
        <f t="shared" ca="1" si="2"/>
        <v>1467.0281253442777</v>
      </c>
      <c r="H65" s="61">
        <f t="shared" ca="1" si="3"/>
        <v>70.436638290916108</v>
      </c>
      <c r="I65" s="61">
        <f t="shared" ca="1" si="4"/>
        <v>93.084461291079606</v>
      </c>
    </row>
    <row r="66" spans="2:9" x14ac:dyDescent="0.2">
      <c r="B66" s="29">
        <v>51</v>
      </c>
      <c r="C66" s="60">
        <f t="shared" ca="1" si="7"/>
        <v>33.928058456454806</v>
      </c>
      <c r="D66" s="61">
        <f t="shared" ca="1" si="5"/>
        <v>1407.871722509653</v>
      </c>
      <c r="E66" s="61">
        <f t="shared" ca="1" si="9"/>
        <v>1467.0281253442777</v>
      </c>
      <c r="F66" s="61">
        <f t="shared" ca="1" si="8"/>
        <v>21.045157716544523</v>
      </c>
      <c r="G66" s="62">
        <f t="shared" ca="1" si="2"/>
        <v>1488.0732830608222</v>
      </c>
      <c r="H66" s="61">
        <f t="shared" ca="1" si="3"/>
        <v>59.156402834624714</v>
      </c>
      <c r="I66" s="61">
        <f t="shared" ca="1" si="4"/>
        <v>80.201560551169223</v>
      </c>
    </row>
    <row r="67" spans="2:9" x14ac:dyDescent="0.2">
      <c r="B67" s="29">
        <v>52</v>
      </c>
      <c r="C67" s="60">
        <f t="shared" ca="1" si="7"/>
        <v>6.463043082253801</v>
      </c>
      <c r="D67" s="61">
        <f t="shared" ca="1" si="5"/>
        <v>1414.3347655919067</v>
      </c>
      <c r="E67" s="61">
        <f t="shared" ca="1" si="9"/>
        <v>1488.0732830608222</v>
      </c>
      <c r="F67" s="61">
        <f t="shared" ca="1" si="8"/>
        <v>16.993358354382678</v>
      </c>
      <c r="G67" s="62">
        <f t="shared" ca="1" si="2"/>
        <v>1505.0666414152049</v>
      </c>
      <c r="H67" s="61">
        <f t="shared" ca="1" si="3"/>
        <v>73.738517468915461</v>
      </c>
      <c r="I67" s="61">
        <f t="shared" ca="1" si="4"/>
        <v>90.731875823298196</v>
      </c>
    </row>
    <row r="68" spans="2:9" x14ac:dyDescent="0.2">
      <c r="B68" s="29">
        <v>53</v>
      </c>
      <c r="C68" s="60">
        <f t="shared" ca="1" si="7"/>
        <v>60.623977952395244</v>
      </c>
      <c r="D68" s="61">
        <f t="shared" ca="1" si="5"/>
        <v>1474.958743544302</v>
      </c>
      <c r="E68" s="61">
        <f t="shared" ca="1" si="9"/>
        <v>1505.0666414152049</v>
      </c>
      <c r="F68" s="61">
        <f t="shared" ca="1" si="8"/>
        <v>22.79256065837783</v>
      </c>
      <c r="G68" s="62">
        <f t="shared" ca="1" si="2"/>
        <v>1527.8592020735828</v>
      </c>
      <c r="H68" s="61">
        <f t="shared" ca="1" si="3"/>
        <v>30.107897870902889</v>
      </c>
      <c r="I68" s="61">
        <f t="shared" ca="1" si="4"/>
        <v>52.900458529280741</v>
      </c>
    </row>
    <row r="69" spans="2:9" x14ac:dyDescent="0.2">
      <c r="B69" s="29">
        <v>54</v>
      </c>
      <c r="C69" s="60">
        <f t="shared" ca="1" si="7"/>
        <v>15.381279830265921</v>
      </c>
      <c r="D69" s="61">
        <f t="shared" ca="1" si="5"/>
        <v>1490.3400233745679</v>
      </c>
      <c r="E69" s="61">
        <f t="shared" ca="1" si="9"/>
        <v>1527.8592020735828</v>
      </c>
      <c r="F69" s="61">
        <f t="shared" ca="1" si="8"/>
        <v>18.603109669396659</v>
      </c>
      <c r="G69" s="62">
        <f t="shared" ca="1" si="2"/>
        <v>1546.4623117429794</v>
      </c>
      <c r="H69" s="61">
        <f t="shared" ca="1" si="3"/>
        <v>37.519178699014901</v>
      </c>
      <c r="I69" s="61">
        <f t="shared" ca="1" si="4"/>
        <v>56.122288368411546</v>
      </c>
    </row>
    <row r="70" spans="2:9" x14ac:dyDescent="0.2">
      <c r="B70" s="29">
        <v>55</v>
      </c>
      <c r="C70" s="60">
        <f t="shared" ca="1" si="7"/>
        <v>8.2261389411394461</v>
      </c>
      <c r="D70" s="61">
        <f t="shared" ca="1" si="5"/>
        <v>1498.5661623157073</v>
      </c>
      <c r="E70" s="61">
        <f t="shared" ca="1" si="9"/>
        <v>1546.4623117429794</v>
      </c>
      <c r="F70" s="61">
        <f t="shared" ca="1" si="8"/>
        <v>21.376270638985055</v>
      </c>
      <c r="G70" s="62">
        <f t="shared" ca="1" si="2"/>
        <v>1567.8385823819644</v>
      </c>
      <c r="H70" s="61">
        <f t="shared" ca="1" si="3"/>
        <v>47.896149427272121</v>
      </c>
      <c r="I70" s="61">
        <f t="shared" ca="1" si="4"/>
        <v>69.272420066257155</v>
      </c>
    </row>
    <row r="71" spans="2:9" x14ac:dyDescent="0.2">
      <c r="B71" s="29">
        <v>56</v>
      </c>
      <c r="C71" s="60">
        <f t="shared" ca="1" si="7"/>
        <v>3.4064344063475276</v>
      </c>
      <c r="D71" s="61">
        <f t="shared" ca="1" si="5"/>
        <v>1501.9725967220547</v>
      </c>
      <c r="E71" s="61">
        <f t="shared" ca="1" si="9"/>
        <v>1567.8385823819644</v>
      </c>
      <c r="F71" s="61">
        <f t="shared" ca="1" si="8"/>
        <v>16.72808861493905</v>
      </c>
      <c r="G71" s="62">
        <f t="shared" ca="1" si="2"/>
        <v>1584.5666709969034</v>
      </c>
      <c r="H71" s="61">
        <f t="shared" ca="1" si="3"/>
        <v>65.865985659909711</v>
      </c>
      <c r="I71" s="61">
        <f t="shared" ca="1" si="4"/>
        <v>82.594074274848708</v>
      </c>
    </row>
    <row r="72" spans="2:9" x14ac:dyDescent="0.2">
      <c r="B72" s="29">
        <v>57</v>
      </c>
      <c r="C72" s="60">
        <f t="shared" ca="1" si="7"/>
        <v>64.359287314743014</v>
      </c>
      <c r="D72" s="61">
        <f t="shared" ca="1" si="5"/>
        <v>1566.3318840367976</v>
      </c>
      <c r="E72" s="61">
        <f t="shared" ca="1" si="9"/>
        <v>1584.5666709969034</v>
      </c>
      <c r="F72" s="61">
        <f t="shared" ca="1" si="8"/>
        <v>18.787929431665845</v>
      </c>
      <c r="G72" s="62">
        <f t="shared" ca="1" si="2"/>
        <v>1603.3546004285693</v>
      </c>
      <c r="H72" s="61">
        <f t="shared" ca="1" si="3"/>
        <v>18.234786960105794</v>
      </c>
      <c r="I72" s="61">
        <f t="shared" ca="1" si="4"/>
        <v>37.02271639177161</v>
      </c>
    </row>
    <row r="73" spans="2:9" x14ac:dyDescent="0.2">
      <c r="B73" s="29">
        <v>58</v>
      </c>
      <c r="C73" s="60">
        <f t="shared" ca="1" si="7"/>
        <v>12.550163826389435</v>
      </c>
      <c r="D73" s="61">
        <f t="shared" ca="1" si="5"/>
        <v>1578.8820478631872</v>
      </c>
      <c r="E73" s="61">
        <f t="shared" ca="1" si="9"/>
        <v>1603.3546004285693</v>
      </c>
      <c r="F73" s="61">
        <f t="shared" ca="1" si="8"/>
        <v>15.034576344288558</v>
      </c>
      <c r="G73" s="62">
        <f t="shared" ca="1" si="2"/>
        <v>1618.3891767728578</v>
      </c>
      <c r="H73" s="61">
        <f t="shared" ca="1" si="3"/>
        <v>24.472552565382102</v>
      </c>
      <c r="I73" s="61">
        <f t="shared" ca="1" si="4"/>
        <v>39.507128909670655</v>
      </c>
    </row>
    <row r="74" spans="2:9" x14ac:dyDescent="0.2">
      <c r="B74" s="29">
        <v>59</v>
      </c>
      <c r="C74" s="60">
        <f t="shared" ca="1" si="7"/>
        <v>60.022165684456034</v>
      </c>
      <c r="D74" s="61">
        <f t="shared" ca="1" si="5"/>
        <v>1638.9042135476432</v>
      </c>
      <c r="E74" s="61">
        <f t="shared" ca="1" si="9"/>
        <v>1638.9042135476432</v>
      </c>
      <c r="F74" s="61">
        <f t="shared" ca="1" si="8"/>
        <v>23.910737423772204</v>
      </c>
      <c r="G74" s="62">
        <f t="shared" ca="1" si="2"/>
        <v>1662.8149509714153</v>
      </c>
      <c r="H74" s="61">
        <f t="shared" ca="1" si="3"/>
        <v>0</v>
      </c>
      <c r="I74" s="61">
        <f t="shared" ca="1" si="4"/>
        <v>23.910737423772161</v>
      </c>
    </row>
    <row r="75" spans="2:9" x14ac:dyDescent="0.2">
      <c r="B75" s="29">
        <v>60</v>
      </c>
      <c r="C75" s="60">
        <f t="shared" ca="1" si="7"/>
        <v>38.018389117334117</v>
      </c>
      <c r="D75" s="61">
        <f t="shared" ca="1" si="5"/>
        <v>1676.9226026649774</v>
      </c>
      <c r="E75" s="61">
        <f t="shared" ca="1" si="9"/>
        <v>1676.9226026649774</v>
      </c>
      <c r="F75" s="61">
        <f t="shared" ca="1" si="8"/>
        <v>22.60653972157187</v>
      </c>
      <c r="G75" s="62">
        <f t="shared" ca="1" si="2"/>
        <v>1699.5291423865492</v>
      </c>
      <c r="H75" s="61">
        <f t="shared" ca="1" si="3"/>
        <v>0</v>
      </c>
      <c r="I75" s="61">
        <f t="shared" ca="1" si="4"/>
        <v>22.606539721571835</v>
      </c>
    </row>
    <row r="76" spans="2:9" x14ac:dyDescent="0.2">
      <c r="B76" s="29">
        <v>61</v>
      </c>
      <c r="C76" s="60">
        <f t="shared" ca="1" si="7"/>
        <v>2.7016411471173374</v>
      </c>
      <c r="D76" s="61">
        <f t="shared" ca="1" si="5"/>
        <v>1679.6242438120946</v>
      </c>
      <c r="E76" s="61">
        <f t="shared" ca="1" si="9"/>
        <v>1699.5291423865492</v>
      </c>
      <c r="F76" s="61">
        <f t="shared" ca="1" si="8"/>
        <v>16.996687733881409</v>
      </c>
      <c r="G76" s="62">
        <f t="shared" ca="1" si="2"/>
        <v>1716.5258301204306</v>
      </c>
      <c r="H76" s="61">
        <f t="shared" ca="1" si="3"/>
        <v>19.904898574454592</v>
      </c>
      <c r="I76" s="61">
        <f t="shared" ca="1" si="4"/>
        <v>36.901586308335936</v>
      </c>
    </row>
    <row r="77" spans="2:9" x14ac:dyDescent="0.2">
      <c r="B77" s="29">
        <v>62</v>
      </c>
      <c r="C77" s="60">
        <f t="shared" ca="1" si="7"/>
        <v>2.8687512239323261</v>
      </c>
      <c r="D77" s="61">
        <f t="shared" ca="1" si="5"/>
        <v>1682.492995036027</v>
      </c>
      <c r="E77" s="61">
        <f t="shared" ca="1" si="9"/>
        <v>1716.5258301204306</v>
      </c>
      <c r="F77" s="61">
        <f t="shared" ca="1" si="8"/>
        <v>24.325682314460856</v>
      </c>
      <c r="G77" s="62">
        <f t="shared" ca="1" si="2"/>
        <v>1740.8515124348914</v>
      </c>
      <c r="H77" s="61">
        <f t="shared" ca="1" si="3"/>
        <v>34.032835084403587</v>
      </c>
      <c r="I77" s="61">
        <f t="shared" ca="1" si="4"/>
        <v>58.358517398864478</v>
      </c>
    </row>
    <row r="78" spans="2:9" x14ac:dyDescent="0.2">
      <c r="B78" s="29">
        <v>63</v>
      </c>
      <c r="C78" s="60">
        <f t="shared" ca="1" si="7"/>
        <v>82.420186465782479</v>
      </c>
      <c r="D78" s="61">
        <f t="shared" ca="1" si="5"/>
        <v>1764.9131815018095</v>
      </c>
      <c r="E78" s="61">
        <f t="shared" ca="1" si="9"/>
        <v>1764.9131815018095</v>
      </c>
      <c r="F78" s="61">
        <f t="shared" ca="1" si="8"/>
        <v>16.163049429170812</v>
      </c>
      <c r="G78" s="62">
        <f t="shared" ca="1" si="2"/>
        <v>1781.0762309309803</v>
      </c>
      <c r="H78" s="61">
        <f t="shared" ca="1" si="3"/>
        <v>0</v>
      </c>
      <c r="I78" s="61">
        <f t="shared" ca="1" si="4"/>
        <v>16.163049429170769</v>
      </c>
    </row>
    <row r="79" spans="2:9" x14ac:dyDescent="0.2">
      <c r="B79" s="29">
        <v>64</v>
      </c>
      <c r="C79" s="60">
        <f t="shared" ca="1" si="7"/>
        <v>44.641998561281497</v>
      </c>
      <c r="D79" s="61">
        <f t="shared" ca="1" si="5"/>
        <v>1809.555180063091</v>
      </c>
      <c r="E79" s="61">
        <f t="shared" ca="1" si="9"/>
        <v>1809.555180063091</v>
      </c>
      <c r="F79" s="61">
        <f t="shared" ca="1" si="8"/>
        <v>20.766623932535932</v>
      </c>
      <c r="G79" s="62">
        <f t="shared" ca="1" si="2"/>
        <v>1830.3218039956269</v>
      </c>
      <c r="H79" s="61">
        <f t="shared" ca="1" si="3"/>
        <v>0</v>
      </c>
      <c r="I79" s="61">
        <f t="shared" ca="1" si="4"/>
        <v>20.766623932535822</v>
      </c>
    </row>
    <row r="80" spans="2:9" x14ac:dyDescent="0.2">
      <c r="B80" s="29">
        <v>65</v>
      </c>
      <c r="C80" s="60">
        <f t="shared" ref="C80:C115" ca="1" si="10">-MeanInterarrivalTime*LN(RAND())</f>
        <v>28.729162181731297</v>
      </c>
      <c r="D80" s="61">
        <f t="shared" ca="1" si="5"/>
        <v>1838.2843422448223</v>
      </c>
      <c r="E80" s="61">
        <f t="shared" ca="1" si="9"/>
        <v>1838.2843422448223</v>
      </c>
      <c r="F80" s="61">
        <f t="shared" ref="F80:F115" ca="1" si="11">MinServiceTime+(MaxServiceTime-MinServiceTime)*RAND()</f>
        <v>21.840625829008186</v>
      </c>
      <c r="G80" s="62">
        <f t="shared" ca="1" si="2"/>
        <v>1860.1249680738304</v>
      </c>
      <c r="H80" s="61">
        <f t="shared" ca="1" si="3"/>
        <v>0</v>
      </c>
      <c r="I80" s="61">
        <f t="shared" ca="1" si="4"/>
        <v>21.840625829008104</v>
      </c>
    </row>
    <row r="81" spans="2:9" x14ac:dyDescent="0.2">
      <c r="B81" s="29">
        <v>66</v>
      </c>
      <c r="C81" s="60">
        <f t="shared" ca="1" si="10"/>
        <v>58.908867192998777</v>
      </c>
      <c r="D81" s="61">
        <f t="shared" ca="1" si="5"/>
        <v>1897.193209437821</v>
      </c>
      <c r="E81" s="61">
        <f t="shared" ref="E81:E112" ca="1" si="12">MAX(G80,D81)</f>
        <v>1897.193209437821</v>
      </c>
      <c r="F81" s="61">
        <f t="shared" ca="1" si="11"/>
        <v>20.597903811653961</v>
      </c>
      <c r="G81" s="62">
        <f t="shared" ref="G81:G115" ca="1" si="13">E81+F81</f>
        <v>1917.7911132494748</v>
      </c>
      <c r="H81" s="61">
        <f t="shared" ref="H81:H115" ca="1" si="14">E81-D81</f>
        <v>0</v>
      </c>
      <c r="I81" s="61">
        <f t="shared" ref="I81:I115" ca="1" si="15">G81-D81</f>
        <v>20.59790381165385</v>
      </c>
    </row>
    <row r="82" spans="2:9" x14ac:dyDescent="0.2">
      <c r="B82" s="29">
        <v>67</v>
      </c>
      <c r="C82" s="60">
        <f t="shared" ca="1" si="10"/>
        <v>3.0631187265410023</v>
      </c>
      <c r="D82" s="61">
        <f t="shared" ref="D82:D115" ca="1" si="16">C82+D81</f>
        <v>1900.256328164362</v>
      </c>
      <c r="E82" s="61">
        <f t="shared" ca="1" si="12"/>
        <v>1917.7911132494748</v>
      </c>
      <c r="F82" s="61">
        <f t="shared" ca="1" si="11"/>
        <v>20.522560174461926</v>
      </c>
      <c r="G82" s="62">
        <f t="shared" ca="1" si="13"/>
        <v>1938.3136734239367</v>
      </c>
      <c r="H82" s="61">
        <f t="shared" ca="1" si="14"/>
        <v>17.534785085112844</v>
      </c>
      <c r="I82" s="61">
        <f t="shared" ca="1" si="15"/>
        <v>38.057345259574731</v>
      </c>
    </row>
    <row r="83" spans="2:9" x14ac:dyDescent="0.2">
      <c r="B83" s="29">
        <v>68</v>
      </c>
      <c r="C83" s="60">
        <f t="shared" ca="1" si="10"/>
        <v>30.830563462832014</v>
      </c>
      <c r="D83" s="61">
        <f t="shared" ca="1" si="16"/>
        <v>1931.0868916271941</v>
      </c>
      <c r="E83" s="61">
        <f t="shared" ca="1" si="12"/>
        <v>1938.3136734239367</v>
      </c>
      <c r="F83" s="61">
        <f t="shared" ca="1" si="11"/>
        <v>15.168664262225573</v>
      </c>
      <c r="G83" s="62">
        <f t="shared" ca="1" si="13"/>
        <v>1953.4823376861623</v>
      </c>
      <c r="H83" s="61">
        <f t="shared" ca="1" si="14"/>
        <v>7.2267817967426708</v>
      </c>
      <c r="I83" s="61">
        <f t="shared" ca="1" si="15"/>
        <v>22.395446058968218</v>
      </c>
    </row>
    <row r="84" spans="2:9" x14ac:dyDescent="0.2">
      <c r="B84" s="29">
        <v>69</v>
      </c>
      <c r="C84" s="60">
        <f t="shared" ca="1" si="10"/>
        <v>45.84776197581099</v>
      </c>
      <c r="D84" s="61">
        <f t="shared" ca="1" si="16"/>
        <v>1976.934653603005</v>
      </c>
      <c r="E84" s="61">
        <f t="shared" ca="1" si="12"/>
        <v>1976.934653603005</v>
      </c>
      <c r="F84" s="61">
        <f t="shared" ca="1" si="11"/>
        <v>22.168404015803617</v>
      </c>
      <c r="G84" s="62">
        <f t="shared" ca="1" si="13"/>
        <v>1999.1030576188086</v>
      </c>
      <c r="H84" s="61">
        <f t="shared" ca="1" si="14"/>
        <v>0</v>
      </c>
      <c r="I84" s="61">
        <f t="shared" ca="1" si="15"/>
        <v>22.168404015803617</v>
      </c>
    </row>
    <row r="85" spans="2:9" x14ac:dyDescent="0.2">
      <c r="B85" s="29">
        <v>70</v>
      </c>
      <c r="C85" s="60">
        <f t="shared" ca="1" si="10"/>
        <v>66.938945226520104</v>
      </c>
      <c r="D85" s="61">
        <f t="shared" ca="1" si="16"/>
        <v>2043.8735988295252</v>
      </c>
      <c r="E85" s="61">
        <f t="shared" ca="1" si="12"/>
        <v>2043.8735988295252</v>
      </c>
      <c r="F85" s="61">
        <f t="shared" ca="1" si="11"/>
        <v>24.528932142427813</v>
      </c>
      <c r="G85" s="62">
        <f t="shared" ca="1" si="13"/>
        <v>2068.4025309719532</v>
      </c>
      <c r="H85" s="61">
        <f t="shared" ca="1" si="14"/>
        <v>0</v>
      </c>
      <c r="I85" s="61">
        <f t="shared" ca="1" si="15"/>
        <v>24.528932142427948</v>
      </c>
    </row>
    <row r="86" spans="2:9" x14ac:dyDescent="0.2">
      <c r="B86" s="29">
        <v>71</v>
      </c>
      <c r="C86" s="60">
        <f t="shared" ca="1" si="10"/>
        <v>18.343656075312367</v>
      </c>
      <c r="D86" s="61">
        <f t="shared" ca="1" si="16"/>
        <v>2062.2172549048378</v>
      </c>
      <c r="E86" s="61">
        <f t="shared" ca="1" si="12"/>
        <v>2068.4025309719532</v>
      </c>
      <c r="F86" s="61">
        <f t="shared" ca="1" si="11"/>
        <v>20.897252162264984</v>
      </c>
      <c r="G86" s="62">
        <f t="shared" ca="1" si="13"/>
        <v>2089.2997831342182</v>
      </c>
      <c r="H86" s="61">
        <f t="shared" ca="1" si="14"/>
        <v>6.1852760671154101</v>
      </c>
      <c r="I86" s="61">
        <f t="shared" ca="1" si="15"/>
        <v>27.082528229380387</v>
      </c>
    </row>
    <row r="87" spans="2:9" x14ac:dyDescent="0.2">
      <c r="B87" s="29">
        <v>72</v>
      </c>
      <c r="C87" s="60">
        <f t="shared" ca="1" si="10"/>
        <v>6.3635871722115924</v>
      </c>
      <c r="D87" s="61">
        <f t="shared" ca="1" si="16"/>
        <v>2068.5808420770495</v>
      </c>
      <c r="E87" s="61">
        <f t="shared" ca="1" si="12"/>
        <v>2089.2997831342182</v>
      </c>
      <c r="F87" s="61">
        <f t="shared" ca="1" si="11"/>
        <v>24.254314464853472</v>
      </c>
      <c r="G87" s="62">
        <f t="shared" ca="1" si="13"/>
        <v>2113.5540975990716</v>
      </c>
      <c r="H87" s="61">
        <f t="shared" ca="1" si="14"/>
        <v>20.718941057168649</v>
      </c>
      <c r="I87" s="61">
        <f t="shared" ca="1" si="15"/>
        <v>44.9732555220221</v>
      </c>
    </row>
    <row r="88" spans="2:9" x14ac:dyDescent="0.2">
      <c r="B88" s="29">
        <v>73</v>
      </c>
      <c r="C88" s="60">
        <f t="shared" ca="1" si="10"/>
        <v>34.680595108695492</v>
      </c>
      <c r="D88" s="61">
        <f t="shared" ca="1" si="16"/>
        <v>2103.2614371857449</v>
      </c>
      <c r="E88" s="61">
        <f t="shared" ca="1" si="12"/>
        <v>2113.5540975990716</v>
      </c>
      <c r="F88" s="61">
        <f t="shared" ca="1" si="11"/>
        <v>23.644459766725276</v>
      </c>
      <c r="G88" s="62">
        <f t="shared" ca="1" si="13"/>
        <v>2137.1985573657967</v>
      </c>
      <c r="H88" s="61">
        <f t="shared" ca="1" si="14"/>
        <v>10.292660413326757</v>
      </c>
      <c r="I88" s="61">
        <f t="shared" ca="1" si="15"/>
        <v>33.937120180051807</v>
      </c>
    </row>
    <row r="89" spans="2:9" x14ac:dyDescent="0.2">
      <c r="B89" s="29">
        <v>74</v>
      </c>
      <c r="C89" s="60">
        <f t="shared" ca="1" si="10"/>
        <v>46.146060483175631</v>
      </c>
      <c r="D89" s="61">
        <f t="shared" ca="1" si="16"/>
        <v>2149.4074976689203</v>
      </c>
      <c r="E89" s="61">
        <f t="shared" ca="1" si="12"/>
        <v>2149.4074976689203</v>
      </c>
      <c r="F89" s="61">
        <f t="shared" ca="1" si="11"/>
        <v>23.042636281933294</v>
      </c>
      <c r="G89" s="62">
        <f t="shared" ca="1" si="13"/>
        <v>2172.4501339508538</v>
      </c>
      <c r="H89" s="61">
        <f t="shared" ca="1" si="14"/>
        <v>0</v>
      </c>
      <c r="I89" s="61">
        <f t="shared" ca="1" si="15"/>
        <v>23.042636281933483</v>
      </c>
    </row>
    <row r="90" spans="2:9" x14ac:dyDescent="0.2">
      <c r="B90" s="29">
        <v>75</v>
      </c>
      <c r="C90" s="60">
        <f t="shared" ca="1" si="10"/>
        <v>5.1844648287613531</v>
      </c>
      <c r="D90" s="61">
        <f t="shared" ca="1" si="16"/>
        <v>2154.5919624976818</v>
      </c>
      <c r="E90" s="61">
        <f t="shared" ca="1" si="12"/>
        <v>2172.4501339508538</v>
      </c>
      <c r="F90" s="61">
        <f t="shared" ca="1" si="11"/>
        <v>22.835973258760067</v>
      </c>
      <c r="G90" s="62">
        <f t="shared" ca="1" si="13"/>
        <v>2195.2861072096139</v>
      </c>
      <c r="H90" s="61">
        <f t="shared" ca="1" si="14"/>
        <v>17.858171453171963</v>
      </c>
      <c r="I90" s="61">
        <f t="shared" ca="1" si="15"/>
        <v>40.69414471193204</v>
      </c>
    </row>
    <row r="91" spans="2:9" x14ac:dyDescent="0.2">
      <c r="B91" s="29">
        <v>76</v>
      </c>
      <c r="C91" s="60">
        <f t="shared" ca="1" si="10"/>
        <v>5.1725369029405606</v>
      </c>
      <c r="D91" s="61">
        <f t="shared" ca="1" si="16"/>
        <v>2159.7644994006223</v>
      </c>
      <c r="E91" s="61">
        <f t="shared" ca="1" si="12"/>
        <v>2195.2861072096139</v>
      </c>
      <c r="F91" s="61">
        <f t="shared" ca="1" si="11"/>
        <v>23.316995289554725</v>
      </c>
      <c r="G91" s="62">
        <f t="shared" ca="1" si="13"/>
        <v>2218.6031024991685</v>
      </c>
      <c r="H91" s="61">
        <f t="shared" ca="1" si="14"/>
        <v>35.521607808991575</v>
      </c>
      <c r="I91" s="61">
        <f t="shared" ca="1" si="15"/>
        <v>58.838603098546173</v>
      </c>
    </row>
    <row r="92" spans="2:9" x14ac:dyDescent="0.2">
      <c r="B92" s="29">
        <v>77</v>
      </c>
      <c r="C92" s="60">
        <f t="shared" ca="1" si="10"/>
        <v>13.044264837723217</v>
      </c>
      <c r="D92" s="61">
        <f t="shared" ca="1" si="16"/>
        <v>2172.8087642383457</v>
      </c>
      <c r="E92" s="61">
        <f t="shared" ca="1" si="12"/>
        <v>2218.6031024991685</v>
      </c>
      <c r="F92" s="61">
        <f t="shared" ca="1" si="11"/>
        <v>20.774373899047426</v>
      </c>
      <c r="G92" s="62">
        <f t="shared" ca="1" si="13"/>
        <v>2239.377476398216</v>
      </c>
      <c r="H92" s="61">
        <f t="shared" ca="1" si="14"/>
        <v>45.794338260822769</v>
      </c>
      <c r="I92" s="61">
        <f t="shared" ca="1" si="15"/>
        <v>66.568712159870302</v>
      </c>
    </row>
    <row r="93" spans="2:9" x14ac:dyDescent="0.2">
      <c r="B93" s="29">
        <v>78</v>
      </c>
      <c r="C93" s="60">
        <f t="shared" ca="1" si="10"/>
        <v>63.171423753827327</v>
      </c>
      <c r="D93" s="61">
        <f t="shared" ca="1" si="16"/>
        <v>2235.9801879921729</v>
      </c>
      <c r="E93" s="61">
        <f t="shared" ca="1" si="12"/>
        <v>2239.377476398216</v>
      </c>
      <c r="F93" s="61">
        <f t="shared" ca="1" si="11"/>
        <v>17.243281187248673</v>
      </c>
      <c r="G93" s="62">
        <f t="shared" ca="1" si="13"/>
        <v>2256.6207575854646</v>
      </c>
      <c r="H93" s="61">
        <f t="shared" ca="1" si="14"/>
        <v>3.397288406043117</v>
      </c>
      <c r="I93" s="61">
        <f t="shared" ca="1" si="15"/>
        <v>20.64056959329173</v>
      </c>
    </row>
    <row r="94" spans="2:9" x14ac:dyDescent="0.2">
      <c r="B94" s="29">
        <v>79</v>
      </c>
      <c r="C94" s="60">
        <f t="shared" ca="1" si="10"/>
        <v>5.5160850313736542</v>
      </c>
      <c r="D94" s="61">
        <f t="shared" ca="1" si="16"/>
        <v>2241.4962730235466</v>
      </c>
      <c r="E94" s="61">
        <f t="shared" ca="1" si="12"/>
        <v>2256.6207575854646</v>
      </c>
      <c r="F94" s="61">
        <f t="shared" ca="1" si="11"/>
        <v>17.311759624396533</v>
      </c>
      <c r="G94" s="62">
        <f t="shared" ca="1" si="13"/>
        <v>2273.9325172098611</v>
      </c>
      <c r="H94" s="61">
        <f t="shared" ca="1" si="14"/>
        <v>15.124484561918052</v>
      </c>
      <c r="I94" s="61">
        <f t="shared" ca="1" si="15"/>
        <v>32.436244186314525</v>
      </c>
    </row>
    <row r="95" spans="2:9" x14ac:dyDescent="0.2">
      <c r="B95" s="29">
        <v>80</v>
      </c>
      <c r="C95" s="60">
        <f t="shared" ca="1" si="10"/>
        <v>2.2626934962502401</v>
      </c>
      <c r="D95" s="61">
        <f t="shared" ca="1" si="16"/>
        <v>2243.758966519797</v>
      </c>
      <c r="E95" s="61">
        <f t="shared" ca="1" si="12"/>
        <v>2273.9325172098611</v>
      </c>
      <c r="F95" s="61">
        <f t="shared" ca="1" si="11"/>
        <v>19.769663893826667</v>
      </c>
      <c r="G95" s="62">
        <f t="shared" ca="1" si="13"/>
        <v>2293.702181103688</v>
      </c>
      <c r="H95" s="61">
        <f t="shared" ca="1" si="14"/>
        <v>30.173550690064076</v>
      </c>
      <c r="I95" s="61">
        <f t="shared" ca="1" si="15"/>
        <v>49.943214583890949</v>
      </c>
    </row>
    <row r="96" spans="2:9" x14ac:dyDescent="0.2">
      <c r="B96" s="29">
        <v>81</v>
      </c>
      <c r="C96" s="60">
        <f t="shared" ca="1" si="10"/>
        <v>1.0263487627307195</v>
      </c>
      <c r="D96" s="61">
        <f t="shared" ca="1" si="16"/>
        <v>2244.7853152825278</v>
      </c>
      <c r="E96" s="61">
        <f t="shared" ca="1" si="12"/>
        <v>2293.702181103688</v>
      </c>
      <c r="F96" s="61">
        <f t="shared" ca="1" si="11"/>
        <v>16.100313992344226</v>
      </c>
      <c r="G96" s="62">
        <f t="shared" ca="1" si="13"/>
        <v>2309.8024950960321</v>
      </c>
      <c r="H96" s="61">
        <f t="shared" ca="1" si="14"/>
        <v>48.916865821160172</v>
      </c>
      <c r="I96" s="61">
        <f t="shared" ca="1" si="15"/>
        <v>65.017179813504299</v>
      </c>
    </row>
    <row r="97" spans="2:9" x14ac:dyDescent="0.2">
      <c r="B97" s="29">
        <v>82</v>
      </c>
      <c r="C97" s="60">
        <f t="shared" ca="1" si="10"/>
        <v>2.1944679613081375</v>
      </c>
      <c r="D97" s="61">
        <f t="shared" ca="1" si="16"/>
        <v>2246.9797832438358</v>
      </c>
      <c r="E97" s="61">
        <f t="shared" ca="1" si="12"/>
        <v>2309.8024950960321</v>
      </c>
      <c r="F97" s="61">
        <f t="shared" ca="1" si="11"/>
        <v>20.734869388048011</v>
      </c>
      <c r="G97" s="62">
        <f t="shared" ca="1" si="13"/>
        <v>2330.5373644840802</v>
      </c>
      <c r="H97" s="61">
        <f t="shared" ca="1" si="14"/>
        <v>62.822711852196335</v>
      </c>
      <c r="I97" s="61">
        <f t="shared" ca="1" si="15"/>
        <v>83.557581240244417</v>
      </c>
    </row>
    <row r="98" spans="2:9" x14ac:dyDescent="0.2">
      <c r="B98" s="29">
        <v>83</v>
      </c>
      <c r="C98" s="60">
        <f t="shared" ca="1" si="10"/>
        <v>11.509326811489785</v>
      </c>
      <c r="D98" s="61">
        <f t="shared" ca="1" si="16"/>
        <v>2258.4891100553255</v>
      </c>
      <c r="E98" s="61">
        <f t="shared" ca="1" si="12"/>
        <v>2330.5373644840802</v>
      </c>
      <c r="F98" s="61">
        <f t="shared" ca="1" si="11"/>
        <v>16.164555978093581</v>
      </c>
      <c r="G98" s="62">
        <f t="shared" ca="1" si="13"/>
        <v>2346.7019204621738</v>
      </c>
      <c r="H98" s="61">
        <f t="shared" ca="1" si="14"/>
        <v>72.048254428754717</v>
      </c>
      <c r="I98" s="61">
        <f t="shared" ca="1" si="15"/>
        <v>88.212810406848348</v>
      </c>
    </row>
    <row r="99" spans="2:9" x14ac:dyDescent="0.2">
      <c r="B99" s="29">
        <v>84</v>
      </c>
      <c r="C99" s="60">
        <f t="shared" ca="1" si="10"/>
        <v>52.338209393863437</v>
      </c>
      <c r="D99" s="61">
        <f t="shared" ca="1" si="16"/>
        <v>2310.827319449189</v>
      </c>
      <c r="E99" s="61">
        <f t="shared" ca="1" si="12"/>
        <v>2346.7019204621738</v>
      </c>
      <c r="F99" s="61">
        <f t="shared" ca="1" si="11"/>
        <v>18.738742336925863</v>
      </c>
      <c r="G99" s="62">
        <f t="shared" ca="1" si="13"/>
        <v>2365.4406627990998</v>
      </c>
      <c r="H99" s="61">
        <f t="shared" ca="1" si="14"/>
        <v>35.87460101298484</v>
      </c>
      <c r="I99" s="61">
        <f t="shared" ca="1" si="15"/>
        <v>54.613343349910792</v>
      </c>
    </row>
    <row r="100" spans="2:9" x14ac:dyDescent="0.2">
      <c r="B100" s="29">
        <v>85</v>
      </c>
      <c r="C100" s="60">
        <f t="shared" ca="1" si="10"/>
        <v>46.15341998602905</v>
      </c>
      <c r="D100" s="61">
        <f t="shared" ca="1" si="16"/>
        <v>2356.9807394352179</v>
      </c>
      <c r="E100" s="61">
        <f t="shared" ca="1" si="12"/>
        <v>2365.4406627990998</v>
      </c>
      <c r="F100" s="61">
        <f t="shared" ca="1" si="11"/>
        <v>24.330143319823883</v>
      </c>
      <c r="G100" s="62">
        <f t="shared" ca="1" si="13"/>
        <v>2389.7708061189237</v>
      </c>
      <c r="H100" s="61">
        <f t="shared" ca="1" si="14"/>
        <v>8.4599233638818987</v>
      </c>
      <c r="I100" s="61">
        <f t="shared" ca="1" si="15"/>
        <v>32.790066683705845</v>
      </c>
    </row>
    <row r="101" spans="2:9" x14ac:dyDescent="0.2">
      <c r="B101" s="29">
        <v>86</v>
      </c>
      <c r="C101" s="60">
        <f t="shared" ca="1" si="10"/>
        <v>5.4343538114360511E-2</v>
      </c>
      <c r="D101" s="61">
        <f t="shared" ca="1" si="16"/>
        <v>2357.035082973332</v>
      </c>
      <c r="E101" s="61">
        <f t="shared" ca="1" si="12"/>
        <v>2389.7708061189237</v>
      </c>
      <c r="F101" s="61">
        <f t="shared" ca="1" si="11"/>
        <v>19.378872843551353</v>
      </c>
      <c r="G101" s="62">
        <f t="shared" ca="1" si="13"/>
        <v>2409.1496789624753</v>
      </c>
      <c r="H101" s="61">
        <f t="shared" ca="1" si="14"/>
        <v>32.735723145591692</v>
      </c>
      <c r="I101" s="61">
        <f t="shared" ca="1" si="15"/>
        <v>52.114595989143254</v>
      </c>
    </row>
    <row r="102" spans="2:9" x14ac:dyDescent="0.2">
      <c r="B102" s="29">
        <v>87</v>
      </c>
      <c r="C102" s="60">
        <f t="shared" ca="1" si="10"/>
        <v>55.489247710566218</v>
      </c>
      <c r="D102" s="61">
        <f t="shared" ca="1" si="16"/>
        <v>2412.5243306838984</v>
      </c>
      <c r="E102" s="61">
        <f t="shared" ca="1" si="12"/>
        <v>2412.5243306838984</v>
      </c>
      <c r="F102" s="61">
        <f t="shared" ca="1" si="11"/>
        <v>15.138234363057947</v>
      </c>
      <c r="G102" s="62">
        <f t="shared" ca="1" si="13"/>
        <v>2427.6625650469564</v>
      </c>
      <c r="H102" s="61">
        <f t="shared" ca="1" si="14"/>
        <v>0</v>
      </c>
      <c r="I102" s="61">
        <f t="shared" ca="1" si="15"/>
        <v>15.138234363058018</v>
      </c>
    </row>
    <row r="103" spans="2:9" x14ac:dyDescent="0.2">
      <c r="B103" s="29">
        <v>88</v>
      </c>
      <c r="C103" s="60">
        <f t="shared" ca="1" si="10"/>
        <v>4.5764130270010419</v>
      </c>
      <c r="D103" s="61">
        <f t="shared" ca="1" si="16"/>
        <v>2417.1007437108992</v>
      </c>
      <c r="E103" s="61">
        <f t="shared" ca="1" si="12"/>
        <v>2427.6625650469564</v>
      </c>
      <c r="F103" s="61">
        <f t="shared" ca="1" si="11"/>
        <v>16.973620862758725</v>
      </c>
      <c r="G103" s="62">
        <f t="shared" ca="1" si="13"/>
        <v>2444.6361859097151</v>
      </c>
      <c r="H103" s="61">
        <f t="shared" ca="1" si="14"/>
        <v>10.561821336057164</v>
      </c>
      <c r="I103" s="61">
        <f t="shared" ca="1" si="15"/>
        <v>27.535442198815872</v>
      </c>
    </row>
    <row r="104" spans="2:9" x14ac:dyDescent="0.2">
      <c r="B104" s="29">
        <v>89</v>
      </c>
      <c r="C104" s="60">
        <f t="shared" ca="1" si="10"/>
        <v>16.487132333493374</v>
      </c>
      <c r="D104" s="61">
        <f t="shared" ca="1" si="16"/>
        <v>2433.5878760443925</v>
      </c>
      <c r="E104" s="61">
        <f t="shared" ca="1" si="12"/>
        <v>2444.6361859097151</v>
      </c>
      <c r="F104" s="61">
        <f t="shared" ca="1" si="11"/>
        <v>24.027635766335663</v>
      </c>
      <c r="G104" s="62">
        <f t="shared" ca="1" si="13"/>
        <v>2468.6638216760507</v>
      </c>
      <c r="H104" s="61">
        <f t="shared" ca="1" si="14"/>
        <v>11.048309865322608</v>
      </c>
      <c r="I104" s="61">
        <f t="shared" ca="1" si="15"/>
        <v>35.075945631658215</v>
      </c>
    </row>
    <row r="105" spans="2:9" x14ac:dyDescent="0.2">
      <c r="B105" s="29">
        <v>90</v>
      </c>
      <c r="C105" s="60">
        <f t="shared" ca="1" si="10"/>
        <v>19.129731330541013</v>
      </c>
      <c r="D105" s="61">
        <f t="shared" ca="1" si="16"/>
        <v>2452.7176073749333</v>
      </c>
      <c r="E105" s="61">
        <f t="shared" ca="1" si="12"/>
        <v>2468.6638216760507</v>
      </c>
      <c r="F105" s="61">
        <f t="shared" ca="1" si="11"/>
        <v>18.875159547192581</v>
      </c>
      <c r="G105" s="62">
        <f t="shared" ca="1" si="13"/>
        <v>2487.5389812232434</v>
      </c>
      <c r="H105" s="61">
        <f t="shared" ca="1" si="14"/>
        <v>15.946214301117379</v>
      </c>
      <c r="I105" s="61">
        <f t="shared" ca="1" si="15"/>
        <v>34.821373848310031</v>
      </c>
    </row>
    <row r="106" spans="2:9" x14ac:dyDescent="0.2">
      <c r="B106" s="29">
        <v>91</v>
      </c>
      <c r="C106" s="60">
        <f t="shared" ca="1" si="10"/>
        <v>7.622276845921907</v>
      </c>
      <c r="D106" s="61">
        <f t="shared" ca="1" si="16"/>
        <v>2460.3398842208553</v>
      </c>
      <c r="E106" s="61">
        <f t="shared" ca="1" si="12"/>
        <v>2487.5389812232434</v>
      </c>
      <c r="F106" s="61">
        <f t="shared" ca="1" si="11"/>
        <v>21.012555030080492</v>
      </c>
      <c r="G106" s="62">
        <f t="shared" ca="1" si="13"/>
        <v>2508.5515362533238</v>
      </c>
      <c r="H106" s="61">
        <f t="shared" ca="1" si="14"/>
        <v>27.199097002388044</v>
      </c>
      <c r="I106" s="61">
        <f t="shared" ca="1" si="15"/>
        <v>48.211652032468464</v>
      </c>
    </row>
    <row r="107" spans="2:9" x14ac:dyDescent="0.2">
      <c r="B107" s="29">
        <v>92</v>
      </c>
      <c r="C107" s="60">
        <f t="shared" ca="1" si="10"/>
        <v>4.2960658505739264</v>
      </c>
      <c r="D107" s="61">
        <f t="shared" ca="1" si="16"/>
        <v>2464.6359500714293</v>
      </c>
      <c r="E107" s="61">
        <f t="shared" ca="1" si="12"/>
        <v>2508.5515362533238</v>
      </c>
      <c r="F107" s="61">
        <f t="shared" ca="1" si="11"/>
        <v>24.201670694750568</v>
      </c>
      <c r="G107" s="62">
        <f t="shared" ca="1" si="13"/>
        <v>2532.7532069480744</v>
      </c>
      <c r="H107" s="61">
        <f t="shared" ca="1" si="14"/>
        <v>43.915586181894469</v>
      </c>
      <c r="I107" s="61">
        <f t="shared" ca="1" si="15"/>
        <v>68.117256876645115</v>
      </c>
    </row>
    <row r="108" spans="2:9" x14ac:dyDescent="0.2">
      <c r="B108" s="29">
        <v>93</v>
      </c>
      <c r="C108" s="60">
        <f t="shared" ca="1" si="10"/>
        <v>20.950186690328245</v>
      </c>
      <c r="D108" s="61">
        <f t="shared" ca="1" si="16"/>
        <v>2485.5861367617576</v>
      </c>
      <c r="E108" s="61">
        <f t="shared" ca="1" si="12"/>
        <v>2532.7532069480744</v>
      </c>
      <c r="F108" s="61">
        <f t="shared" ca="1" si="11"/>
        <v>22.136297974453008</v>
      </c>
      <c r="G108" s="62">
        <f t="shared" ca="1" si="13"/>
        <v>2554.8895049225275</v>
      </c>
      <c r="H108" s="61">
        <f t="shared" ca="1" si="14"/>
        <v>47.167070186316778</v>
      </c>
      <c r="I108" s="61">
        <f t="shared" ca="1" si="15"/>
        <v>69.303368160769878</v>
      </c>
    </row>
    <row r="109" spans="2:9" x14ac:dyDescent="0.2">
      <c r="B109" s="29">
        <v>94</v>
      </c>
      <c r="C109" s="60">
        <f t="shared" ca="1" si="10"/>
        <v>42.207112855809271</v>
      </c>
      <c r="D109" s="61">
        <f t="shared" ca="1" si="16"/>
        <v>2527.7932496175667</v>
      </c>
      <c r="E109" s="61">
        <f t="shared" ca="1" si="12"/>
        <v>2554.8895049225275</v>
      </c>
      <c r="F109" s="61">
        <f t="shared" ca="1" si="11"/>
        <v>21.270805922813182</v>
      </c>
      <c r="G109" s="62">
        <f t="shared" ca="1" si="13"/>
        <v>2576.1603108453405</v>
      </c>
      <c r="H109" s="61">
        <f t="shared" ca="1" si="14"/>
        <v>27.096255304960778</v>
      </c>
      <c r="I109" s="61">
        <f t="shared" ca="1" si="15"/>
        <v>48.367061227773775</v>
      </c>
    </row>
    <row r="110" spans="2:9" x14ac:dyDescent="0.2">
      <c r="B110" s="29">
        <v>95</v>
      </c>
      <c r="C110" s="60">
        <f t="shared" ca="1" si="10"/>
        <v>2.6512055298666981</v>
      </c>
      <c r="D110" s="61">
        <f t="shared" ca="1" si="16"/>
        <v>2530.4444551474335</v>
      </c>
      <c r="E110" s="61">
        <f t="shared" ca="1" si="12"/>
        <v>2576.1603108453405</v>
      </c>
      <c r="F110" s="61">
        <f t="shared" ca="1" si="11"/>
        <v>16.68145575383604</v>
      </c>
      <c r="G110" s="62">
        <f t="shared" ca="1" si="13"/>
        <v>2592.8417665991765</v>
      </c>
      <c r="H110" s="61">
        <f t="shared" ca="1" si="14"/>
        <v>45.715855697907045</v>
      </c>
      <c r="I110" s="61">
        <f t="shared" ca="1" si="15"/>
        <v>62.397311451743008</v>
      </c>
    </row>
    <row r="111" spans="2:9" x14ac:dyDescent="0.2">
      <c r="B111" s="29">
        <v>96</v>
      </c>
      <c r="C111" s="60">
        <f t="shared" ca="1" si="10"/>
        <v>24.51216698047179</v>
      </c>
      <c r="D111" s="61">
        <f t="shared" ca="1" si="16"/>
        <v>2554.9566221279051</v>
      </c>
      <c r="E111" s="61">
        <f t="shared" ca="1" si="12"/>
        <v>2592.8417665991765</v>
      </c>
      <c r="F111" s="61">
        <f t="shared" ca="1" si="11"/>
        <v>15.780193595781022</v>
      </c>
      <c r="G111" s="62">
        <f t="shared" ca="1" si="13"/>
        <v>2608.6219601949574</v>
      </c>
      <c r="H111" s="61">
        <f t="shared" ca="1" si="14"/>
        <v>37.88514447127136</v>
      </c>
      <c r="I111" s="61">
        <f t="shared" ca="1" si="15"/>
        <v>53.665338067052289</v>
      </c>
    </row>
    <row r="112" spans="2:9" x14ac:dyDescent="0.2">
      <c r="B112" s="29">
        <v>97</v>
      </c>
      <c r="C112" s="60">
        <f t="shared" ca="1" si="10"/>
        <v>6.9142909894720397</v>
      </c>
      <c r="D112" s="61">
        <f t="shared" ca="1" si="16"/>
        <v>2561.8709131173773</v>
      </c>
      <c r="E112" s="61">
        <f t="shared" ca="1" si="12"/>
        <v>2608.6219601949574</v>
      </c>
      <c r="F112" s="61">
        <f t="shared" ca="1" si="11"/>
        <v>24.992405243747676</v>
      </c>
      <c r="G112" s="62">
        <f t="shared" ca="1" si="13"/>
        <v>2633.6143654387051</v>
      </c>
      <c r="H112" s="61">
        <f t="shared" ca="1" si="14"/>
        <v>46.751047077580097</v>
      </c>
      <c r="I112" s="61">
        <f t="shared" ca="1" si="15"/>
        <v>71.743452321327823</v>
      </c>
    </row>
    <row r="113" spans="2:9" x14ac:dyDescent="0.2">
      <c r="B113" s="29">
        <v>98</v>
      </c>
      <c r="C113" s="60">
        <f t="shared" ca="1" si="10"/>
        <v>9.4531240105295034</v>
      </c>
      <c r="D113" s="61">
        <f t="shared" ca="1" si="16"/>
        <v>2571.3240371279066</v>
      </c>
      <c r="E113" s="61">
        <f t="shared" ref="E113:E115" ca="1" si="17">MAX(G112,D113)</f>
        <v>2633.6143654387051</v>
      </c>
      <c r="F113" s="61">
        <f t="shared" ca="1" si="11"/>
        <v>17.111394806768143</v>
      </c>
      <c r="G113" s="62">
        <f t="shared" ca="1" si="13"/>
        <v>2650.7257602454733</v>
      </c>
      <c r="H113" s="61">
        <f t="shared" ca="1" si="14"/>
        <v>62.290328310798486</v>
      </c>
      <c r="I113" s="61">
        <f t="shared" ca="1" si="15"/>
        <v>79.401723117566689</v>
      </c>
    </row>
    <row r="114" spans="2:9" x14ac:dyDescent="0.2">
      <c r="B114" s="29">
        <v>99</v>
      </c>
      <c r="C114" s="60">
        <f t="shared" ca="1" si="10"/>
        <v>3.7287512614962126</v>
      </c>
      <c r="D114" s="61">
        <f t="shared" ca="1" si="16"/>
        <v>2575.0527883894028</v>
      </c>
      <c r="E114" s="61">
        <f t="shared" ca="1" si="17"/>
        <v>2650.7257602454733</v>
      </c>
      <c r="F114" s="61">
        <f t="shared" ca="1" si="11"/>
        <v>19.006515242551139</v>
      </c>
      <c r="G114" s="62">
        <f t="shared" ca="1" si="13"/>
        <v>2669.7322754880247</v>
      </c>
      <c r="H114" s="61">
        <f t="shared" ca="1" si="14"/>
        <v>75.67297185607049</v>
      </c>
      <c r="I114" s="61">
        <f t="shared" ca="1" si="15"/>
        <v>94.679487098621848</v>
      </c>
    </row>
    <row r="115" spans="2:9" x14ac:dyDescent="0.2">
      <c r="B115" s="29">
        <v>100</v>
      </c>
      <c r="C115" s="60">
        <f t="shared" ca="1" si="10"/>
        <v>0.28095384301210308</v>
      </c>
      <c r="D115" s="61">
        <f t="shared" ca="1" si="16"/>
        <v>2575.3337422324148</v>
      </c>
      <c r="E115" s="61">
        <f t="shared" ca="1" si="17"/>
        <v>2669.7322754880247</v>
      </c>
      <c r="F115" s="61">
        <f t="shared" ca="1" si="11"/>
        <v>22.924746522528771</v>
      </c>
      <c r="G115" s="62">
        <f t="shared" ca="1" si="13"/>
        <v>2692.6570220105536</v>
      </c>
      <c r="H115" s="61">
        <f t="shared" ca="1" si="14"/>
        <v>94.398533255609891</v>
      </c>
      <c r="I115" s="61">
        <f t="shared" ca="1" si="15"/>
        <v>117.32327977813884</v>
      </c>
    </row>
    <row r="116" spans="2:9" x14ac:dyDescent="0.2">
      <c r="C116" s="64"/>
      <c r="D116" s="64"/>
      <c r="E116" s="64"/>
      <c r="F116" s="64"/>
      <c r="G116" s="64"/>
      <c r="H116" s="64"/>
      <c r="I116" s="64"/>
    </row>
    <row r="117" spans="2:9" x14ac:dyDescent="0.2">
      <c r="C117" s="64"/>
      <c r="D117" s="64"/>
      <c r="E117" s="64"/>
      <c r="F117" s="64"/>
      <c r="G117" s="64"/>
      <c r="H117" s="64"/>
      <c r="I117" s="64"/>
    </row>
    <row r="118" spans="2:9" x14ac:dyDescent="0.2">
      <c r="C118" s="64"/>
      <c r="D118" s="64"/>
      <c r="E118" s="64"/>
      <c r="F118" s="64"/>
      <c r="G118" s="64"/>
      <c r="H118" s="64"/>
      <c r="I118" s="64"/>
    </row>
    <row r="119" spans="2:9" x14ac:dyDescent="0.2">
      <c r="C119" s="64"/>
      <c r="D119" s="64"/>
      <c r="E119" s="64"/>
      <c r="F119" s="64"/>
      <c r="G119" s="64"/>
      <c r="H119" s="64"/>
      <c r="I119" s="64"/>
    </row>
    <row r="120" spans="2:9" x14ac:dyDescent="0.2">
      <c r="C120" s="64"/>
      <c r="D120" s="64"/>
      <c r="E120" s="64"/>
      <c r="F120" s="64"/>
      <c r="G120" s="64"/>
      <c r="H120" s="64"/>
      <c r="I120" s="64"/>
    </row>
    <row r="121" spans="2:9" x14ac:dyDescent="0.2">
      <c r="C121" s="64"/>
      <c r="D121" s="64"/>
      <c r="E121" s="64"/>
      <c r="F121" s="64"/>
      <c r="G121" s="64"/>
      <c r="H121" s="64"/>
      <c r="I121" s="64"/>
    </row>
    <row r="122" spans="2:9" x14ac:dyDescent="0.2">
      <c r="C122" s="64"/>
      <c r="D122" s="64"/>
      <c r="E122" s="64"/>
      <c r="F122" s="64"/>
      <c r="G122" s="64"/>
      <c r="H122" s="64"/>
      <c r="I122" s="64"/>
    </row>
    <row r="123" spans="2:9" x14ac:dyDescent="0.2">
      <c r="C123" s="64"/>
      <c r="D123" s="64"/>
      <c r="E123" s="64"/>
      <c r="F123" s="64"/>
      <c r="G123" s="64"/>
      <c r="H123" s="64"/>
      <c r="I123" s="64"/>
    </row>
    <row r="124" spans="2:9" x14ac:dyDescent="0.2">
      <c r="C124" s="64"/>
      <c r="D124" s="64"/>
      <c r="E124" s="64"/>
      <c r="F124" s="64"/>
      <c r="G124" s="64"/>
      <c r="H124" s="64"/>
      <c r="I124" s="64"/>
    </row>
    <row r="125" spans="2:9" x14ac:dyDescent="0.2">
      <c r="C125" s="64"/>
      <c r="D125" s="64"/>
      <c r="E125" s="64"/>
      <c r="F125" s="64"/>
      <c r="G125" s="64"/>
      <c r="H125" s="64"/>
      <c r="I125" s="64"/>
    </row>
    <row r="126" spans="2:9" x14ac:dyDescent="0.2">
      <c r="C126" s="64"/>
      <c r="D126" s="64"/>
      <c r="E126" s="64"/>
      <c r="F126" s="64"/>
      <c r="G126" s="64"/>
      <c r="H126" s="64"/>
      <c r="I126" s="64"/>
    </row>
    <row r="127" spans="2:9" x14ac:dyDescent="0.2">
      <c r="C127" s="64"/>
      <c r="D127" s="64"/>
      <c r="E127" s="64"/>
      <c r="F127" s="64"/>
      <c r="G127" s="64"/>
      <c r="H127" s="64"/>
      <c r="I127" s="64"/>
    </row>
    <row r="128" spans="2:9" x14ac:dyDescent="0.2">
      <c r="C128" s="64"/>
      <c r="D128" s="64"/>
      <c r="E128" s="64"/>
      <c r="F128" s="64"/>
      <c r="G128" s="64"/>
      <c r="H128" s="64"/>
      <c r="I128" s="64"/>
    </row>
    <row r="129" spans="3:9" x14ac:dyDescent="0.2">
      <c r="C129" s="64"/>
      <c r="D129" s="64"/>
      <c r="E129" s="64"/>
      <c r="F129" s="64"/>
      <c r="G129" s="64"/>
      <c r="H129" s="64"/>
      <c r="I129" s="64"/>
    </row>
    <row r="130" spans="3:9" x14ac:dyDescent="0.2">
      <c r="C130" s="64"/>
      <c r="D130" s="64"/>
      <c r="E130" s="64"/>
      <c r="F130" s="64"/>
      <c r="G130" s="64"/>
      <c r="H130" s="64"/>
      <c r="I130" s="64"/>
    </row>
    <row r="131" spans="3:9" x14ac:dyDescent="0.2">
      <c r="C131" s="64"/>
      <c r="D131" s="64"/>
      <c r="E131" s="64"/>
      <c r="F131" s="64"/>
      <c r="G131" s="64"/>
      <c r="H131" s="64"/>
      <c r="I131" s="64"/>
    </row>
    <row r="132" spans="3:9" x14ac:dyDescent="0.2">
      <c r="C132" s="64"/>
      <c r="D132" s="64"/>
      <c r="E132" s="64"/>
      <c r="F132" s="64"/>
      <c r="G132" s="64"/>
      <c r="H132" s="64"/>
      <c r="I132" s="64"/>
    </row>
    <row r="133" spans="3:9" x14ac:dyDescent="0.2">
      <c r="C133" s="64"/>
      <c r="D133" s="64"/>
      <c r="E133" s="64"/>
      <c r="F133" s="64"/>
      <c r="G133" s="64"/>
      <c r="H133" s="64"/>
      <c r="I133" s="64"/>
    </row>
    <row r="134" spans="3:9" x14ac:dyDescent="0.2">
      <c r="C134" s="64"/>
      <c r="D134" s="64"/>
      <c r="E134" s="64"/>
      <c r="F134" s="64"/>
      <c r="G134" s="64"/>
      <c r="H134" s="64"/>
      <c r="I134" s="64"/>
    </row>
    <row r="135" spans="3:9" x14ac:dyDescent="0.2">
      <c r="C135" s="64"/>
      <c r="D135" s="64"/>
      <c r="E135" s="64"/>
      <c r="F135" s="64"/>
      <c r="G135" s="64"/>
      <c r="H135" s="64"/>
      <c r="I135" s="64"/>
    </row>
    <row r="136" spans="3:9" x14ac:dyDescent="0.2">
      <c r="C136" s="64"/>
      <c r="D136" s="64"/>
      <c r="E136" s="64"/>
      <c r="F136" s="64"/>
      <c r="G136" s="64"/>
      <c r="H136" s="64"/>
      <c r="I136" s="64"/>
    </row>
    <row r="137" spans="3:9" x14ac:dyDescent="0.2">
      <c r="C137" s="64"/>
      <c r="D137" s="64"/>
      <c r="E137" s="64"/>
      <c r="F137" s="64"/>
      <c r="G137" s="64"/>
      <c r="H137" s="64"/>
      <c r="I137" s="64"/>
    </row>
    <row r="138" spans="3:9" x14ac:dyDescent="0.2">
      <c r="C138" s="64"/>
      <c r="D138" s="64"/>
      <c r="E138" s="64"/>
      <c r="F138" s="64"/>
      <c r="G138" s="64"/>
      <c r="H138" s="64"/>
      <c r="I138" s="64"/>
    </row>
    <row r="139" spans="3:9" x14ac:dyDescent="0.2">
      <c r="C139" s="64"/>
      <c r="D139" s="64"/>
      <c r="E139" s="64"/>
      <c r="F139" s="64"/>
      <c r="G139" s="64"/>
      <c r="H139" s="64"/>
      <c r="I139" s="64"/>
    </row>
    <row r="140" spans="3:9" x14ac:dyDescent="0.2">
      <c r="C140" s="64"/>
      <c r="D140" s="64"/>
      <c r="E140" s="64"/>
      <c r="F140" s="64"/>
      <c r="G140" s="64"/>
      <c r="H140" s="64"/>
      <c r="I140" s="64"/>
    </row>
    <row r="141" spans="3:9" x14ac:dyDescent="0.2">
      <c r="C141" s="64"/>
      <c r="D141" s="64"/>
      <c r="E141" s="64"/>
      <c r="F141" s="64"/>
      <c r="G141" s="64"/>
      <c r="H141" s="64"/>
      <c r="I141" s="64"/>
    </row>
    <row r="142" spans="3:9" x14ac:dyDescent="0.2">
      <c r="C142" s="64"/>
      <c r="D142" s="64"/>
      <c r="E142" s="64"/>
      <c r="F142" s="64"/>
      <c r="G142" s="64"/>
      <c r="H142" s="64"/>
      <c r="I142" s="64"/>
    </row>
    <row r="143" spans="3:9" x14ac:dyDescent="0.2">
      <c r="C143" s="64"/>
      <c r="D143" s="64"/>
      <c r="E143" s="64"/>
      <c r="F143" s="64"/>
      <c r="G143" s="64"/>
      <c r="H143" s="64"/>
      <c r="I143" s="64"/>
    </row>
    <row r="144" spans="3:9" x14ac:dyDescent="0.2">
      <c r="C144" s="64"/>
      <c r="D144" s="64"/>
      <c r="E144" s="64"/>
      <c r="F144" s="64"/>
      <c r="G144" s="64"/>
      <c r="H144" s="64"/>
      <c r="I144" s="64"/>
    </row>
    <row r="145" spans="3:9" x14ac:dyDescent="0.2">
      <c r="C145" s="64"/>
      <c r="D145" s="64"/>
      <c r="E145" s="64"/>
      <c r="F145" s="64"/>
      <c r="G145" s="64"/>
      <c r="H145" s="64"/>
      <c r="I145" s="64"/>
    </row>
    <row r="146" spans="3:9" x14ac:dyDescent="0.2">
      <c r="C146" s="64"/>
      <c r="D146" s="64"/>
      <c r="E146" s="64"/>
      <c r="F146" s="64"/>
      <c r="G146" s="64"/>
      <c r="H146" s="64"/>
      <c r="I146" s="64"/>
    </row>
    <row r="147" spans="3:9" x14ac:dyDescent="0.2">
      <c r="C147" s="64"/>
      <c r="D147" s="64"/>
      <c r="E147" s="64"/>
      <c r="F147" s="64"/>
      <c r="G147" s="64"/>
      <c r="H147" s="64"/>
      <c r="I147" s="64"/>
    </row>
    <row r="148" spans="3:9" x14ac:dyDescent="0.2">
      <c r="C148" s="64"/>
      <c r="D148" s="64"/>
      <c r="E148" s="64"/>
      <c r="F148" s="64"/>
      <c r="G148" s="64"/>
      <c r="H148" s="64"/>
      <c r="I148" s="64"/>
    </row>
    <row r="149" spans="3:9" x14ac:dyDescent="0.2">
      <c r="C149" s="64"/>
      <c r="D149" s="64"/>
      <c r="E149" s="64"/>
      <c r="F149" s="64"/>
      <c r="G149" s="64"/>
      <c r="H149" s="64"/>
      <c r="I149" s="64"/>
    </row>
    <row r="150" spans="3:9" x14ac:dyDescent="0.2">
      <c r="C150" s="64"/>
      <c r="D150" s="64"/>
      <c r="E150" s="64"/>
      <c r="F150" s="64"/>
      <c r="G150" s="64"/>
      <c r="H150" s="64"/>
      <c r="I150" s="64"/>
    </row>
    <row r="151" spans="3:9" x14ac:dyDescent="0.2">
      <c r="C151" s="64"/>
      <c r="D151" s="64"/>
      <c r="E151" s="64"/>
      <c r="F151" s="64"/>
      <c r="G151" s="64"/>
      <c r="H151" s="64"/>
      <c r="I151" s="64"/>
    </row>
    <row r="152" spans="3:9" x14ac:dyDescent="0.2">
      <c r="C152" s="64"/>
      <c r="D152" s="64"/>
      <c r="E152" s="64"/>
      <c r="F152" s="64"/>
      <c r="G152" s="64"/>
      <c r="H152" s="64"/>
      <c r="I152" s="64"/>
    </row>
    <row r="153" spans="3:9" x14ac:dyDescent="0.2">
      <c r="C153" s="64"/>
      <c r="D153" s="64"/>
      <c r="E153" s="64"/>
      <c r="F153" s="64"/>
      <c r="G153" s="64"/>
      <c r="H153" s="64"/>
      <c r="I153" s="64"/>
    </row>
    <row r="154" spans="3:9" x14ac:dyDescent="0.2">
      <c r="C154" s="64"/>
      <c r="D154" s="64"/>
      <c r="E154" s="64"/>
      <c r="F154" s="64"/>
      <c r="G154" s="64"/>
      <c r="H154" s="64"/>
      <c r="I154" s="64"/>
    </row>
    <row r="155" spans="3:9" x14ac:dyDescent="0.2">
      <c r="C155" s="64"/>
      <c r="D155" s="64"/>
      <c r="E155" s="64"/>
      <c r="F155" s="64"/>
      <c r="G155" s="64"/>
      <c r="H155" s="64"/>
      <c r="I155" s="64"/>
    </row>
    <row r="156" spans="3:9" x14ac:dyDescent="0.2">
      <c r="C156" s="64"/>
      <c r="D156" s="64"/>
      <c r="E156" s="64"/>
      <c r="F156" s="64"/>
      <c r="G156" s="64"/>
      <c r="H156" s="64"/>
      <c r="I156" s="64"/>
    </row>
    <row r="157" spans="3:9" x14ac:dyDescent="0.2">
      <c r="C157" s="64"/>
      <c r="D157" s="64"/>
      <c r="E157" s="64"/>
      <c r="F157" s="64"/>
      <c r="G157" s="64"/>
      <c r="H157" s="64"/>
      <c r="I157" s="64"/>
    </row>
    <row r="158" spans="3:9" x14ac:dyDescent="0.2">
      <c r="C158" s="64"/>
      <c r="D158" s="64"/>
      <c r="E158" s="64"/>
      <c r="F158" s="64"/>
      <c r="G158" s="64"/>
      <c r="H158" s="64"/>
      <c r="I158" s="64"/>
    </row>
    <row r="159" spans="3:9" x14ac:dyDescent="0.2">
      <c r="C159" s="64"/>
      <c r="D159" s="64"/>
      <c r="E159" s="64"/>
      <c r="F159" s="64"/>
      <c r="G159" s="64"/>
      <c r="H159" s="64"/>
      <c r="I159" s="64"/>
    </row>
    <row r="160" spans="3:9" x14ac:dyDescent="0.2">
      <c r="C160" s="64"/>
      <c r="D160" s="64"/>
      <c r="E160" s="64"/>
      <c r="F160" s="64"/>
      <c r="G160" s="64"/>
      <c r="H160" s="64"/>
      <c r="I160" s="64"/>
    </row>
    <row r="161" spans="3:9" x14ac:dyDescent="0.2">
      <c r="C161" s="64"/>
      <c r="D161" s="64"/>
      <c r="E161" s="64"/>
      <c r="F161" s="64"/>
      <c r="G161" s="64"/>
      <c r="H161" s="64"/>
      <c r="I161" s="64"/>
    </row>
    <row r="162" spans="3:9" x14ac:dyDescent="0.2">
      <c r="C162" s="64"/>
      <c r="D162" s="64"/>
      <c r="E162" s="64"/>
      <c r="F162" s="64"/>
      <c r="G162" s="64"/>
      <c r="H162" s="64"/>
      <c r="I162" s="64"/>
    </row>
    <row r="163" spans="3:9" x14ac:dyDescent="0.2">
      <c r="C163" s="64"/>
      <c r="D163" s="64"/>
      <c r="E163" s="64"/>
      <c r="F163" s="64"/>
      <c r="G163" s="64"/>
      <c r="H163" s="64"/>
      <c r="I163" s="64"/>
    </row>
    <row r="164" spans="3:9" x14ac:dyDescent="0.2">
      <c r="C164" s="64"/>
      <c r="D164" s="64"/>
      <c r="E164" s="64"/>
      <c r="F164" s="64"/>
      <c r="G164" s="64"/>
      <c r="H164" s="64"/>
      <c r="I164" s="64"/>
    </row>
    <row r="165" spans="3:9" x14ac:dyDescent="0.2">
      <c r="C165" s="64"/>
      <c r="D165" s="64"/>
      <c r="E165" s="64"/>
      <c r="F165" s="64"/>
      <c r="G165" s="64"/>
      <c r="H165" s="64"/>
      <c r="I165" s="64"/>
    </row>
    <row r="166" spans="3:9" x14ac:dyDescent="0.2">
      <c r="C166" s="64"/>
      <c r="D166" s="64"/>
      <c r="E166" s="64"/>
      <c r="F166" s="64"/>
      <c r="G166" s="64"/>
      <c r="H166" s="64"/>
      <c r="I166" s="64"/>
    </row>
    <row r="167" spans="3:9" x14ac:dyDescent="0.2">
      <c r="C167" s="64"/>
      <c r="D167" s="64"/>
      <c r="E167" s="64"/>
      <c r="F167" s="64"/>
      <c r="G167" s="64"/>
      <c r="H167" s="64"/>
      <c r="I167" s="64"/>
    </row>
    <row r="168" spans="3:9" x14ac:dyDescent="0.2">
      <c r="C168" s="64"/>
      <c r="D168" s="64"/>
      <c r="E168" s="64"/>
      <c r="F168" s="64"/>
      <c r="G168" s="64"/>
      <c r="H168" s="64"/>
      <c r="I168" s="64"/>
    </row>
    <row r="169" spans="3:9" x14ac:dyDescent="0.2">
      <c r="C169" s="64"/>
      <c r="D169" s="64"/>
      <c r="E169" s="64"/>
      <c r="F169" s="64"/>
      <c r="G169" s="64"/>
      <c r="H169" s="64"/>
      <c r="I169" s="64"/>
    </row>
    <row r="170" spans="3:9" x14ac:dyDescent="0.2">
      <c r="C170" s="64"/>
      <c r="D170" s="64"/>
      <c r="E170" s="64"/>
      <c r="F170" s="64"/>
      <c r="G170" s="64"/>
      <c r="H170" s="64"/>
      <c r="I170" s="64"/>
    </row>
    <row r="171" spans="3:9" x14ac:dyDescent="0.2">
      <c r="C171" s="64"/>
      <c r="D171" s="64"/>
      <c r="E171" s="64"/>
      <c r="F171" s="64"/>
      <c r="G171" s="64"/>
      <c r="H171" s="64"/>
      <c r="I171" s="64"/>
    </row>
    <row r="172" spans="3:9" x14ac:dyDescent="0.2">
      <c r="C172" s="64"/>
      <c r="D172" s="64"/>
      <c r="E172" s="64"/>
      <c r="F172" s="64"/>
      <c r="G172" s="64"/>
      <c r="H172" s="64"/>
      <c r="I172" s="64"/>
    </row>
    <row r="173" spans="3:9" x14ac:dyDescent="0.2">
      <c r="C173" s="64"/>
      <c r="D173" s="64"/>
      <c r="E173" s="64"/>
      <c r="F173" s="64"/>
      <c r="G173" s="64"/>
      <c r="H173" s="64"/>
      <c r="I173" s="64"/>
    </row>
    <row r="174" spans="3:9" x14ac:dyDescent="0.2">
      <c r="C174" s="64"/>
      <c r="D174" s="64"/>
      <c r="E174" s="64"/>
      <c r="F174" s="64"/>
      <c r="G174" s="64"/>
      <c r="H174" s="64"/>
      <c r="I174" s="64"/>
    </row>
    <row r="175" spans="3:9" x14ac:dyDescent="0.2">
      <c r="C175" s="64"/>
      <c r="D175" s="64"/>
      <c r="E175" s="64"/>
      <c r="F175" s="64"/>
      <c r="G175" s="64"/>
      <c r="H175" s="64"/>
      <c r="I175" s="64"/>
    </row>
    <row r="176" spans="3:9" x14ac:dyDescent="0.2">
      <c r="C176" s="64"/>
      <c r="D176" s="64"/>
      <c r="E176" s="64"/>
      <c r="F176" s="64"/>
      <c r="G176" s="64"/>
      <c r="H176" s="64"/>
      <c r="I176" s="64"/>
    </row>
    <row r="177" spans="3:9" x14ac:dyDescent="0.2">
      <c r="C177" s="64"/>
      <c r="D177" s="64"/>
      <c r="E177" s="64"/>
      <c r="F177" s="64"/>
      <c r="G177" s="64"/>
      <c r="H177" s="64"/>
      <c r="I177" s="64"/>
    </row>
    <row r="178" spans="3:9" x14ac:dyDescent="0.2">
      <c r="C178" s="64"/>
      <c r="D178" s="64"/>
      <c r="E178" s="64"/>
      <c r="F178" s="64"/>
      <c r="G178" s="64"/>
      <c r="H178" s="64"/>
      <c r="I178" s="64"/>
    </row>
    <row r="179" spans="3:9" x14ac:dyDescent="0.2">
      <c r="C179" s="64"/>
      <c r="D179" s="64"/>
      <c r="E179" s="64"/>
      <c r="F179" s="64"/>
      <c r="G179" s="64"/>
      <c r="H179" s="64"/>
      <c r="I179" s="64"/>
    </row>
    <row r="180" spans="3:9" x14ac:dyDescent="0.2">
      <c r="C180" s="64"/>
      <c r="D180" s="64"/>
      <c r="E180" s="64"/>
      <c r="F180" s="64"/>
      <c r="G180" s="64"/>
      <c r="H180" s="64"/>
      <c r="I180" s="64"/>
    </row>
    <row r="181" spans="3:9" x14ac:dyDescent="0.2">
      <c r="C181" s="64"/>
      <c r="D181" s="64"/>
      <c r="E181" s="64"/>
      <c r="F181" s="64"/>
      <c r="G181" s="64"/>
      <c r="H181" s="64"/>
      <c r="I181" s="64"/>
    </row>
    <row r="182" spans="3:9" x14ac:dyDescent="0.2">
      <c r="C182" s="64"/>
      <c r="D182" s="64"/>
      <c r="E182" s="64"/>
      <c r="F182" s="64"/>
      <c r="G182" s="64"/>
      <c r="H182" s="64"/>
      <c r="I182" s="64"/>
    </row>
    <row r="183" spans="3:9" x14ac:dyDescent="0.2">
      <c r="C183" s="64"/>
      <c r="D183" s="64"/>
      <c r="E183" s="64"/>
      <c r="F183" s="64"/>
      <c r="G183" s="64"/>
      <c r="H183" s="64"/>
      <c r="I183" s="64"/>
    </row>
    <row r="184" spans="3:9" x14ac:dyDescent="0.2">
      <c r="C184" s="64"/>
      <c r="D184" s="64"/>
      <c r="E184" s="64"/>
      <c r="F184" s="64"/>
      <c r="G184" s="64"/>
      <c r="H184" s="64"/>
      <c r="I184" s="64"/>
    </row>
    <row r="185" spans="3:9" x14ac:dyDescent="0.2">
      <c r="C185" s="64"/>
      <c r="D185" s="64"/>
      <c r="E185" s="64"/>
      <c r="F185" s="64"/>
      <c r="G185" s="64"/>
      <c r="H185" s="64"/>
      <c r="I185" s="64"/>
    </row>
    <row r="186" spans="3:9" x14ac:dyDescent="0.2">
      <c r="C186" s="64"/>
      <c r="D186" s="64"/>
      <c r="E186" s="64"/>
      <c r="F186" s="64"/>
      <c r="G186" s="64"/>
      <c r="H186" s="64"/>
      <c r="I186" s="64"/>
    </row>
    <row r="187" spans="3:9" x14ac:dyDescent="0.2">
      <c r="C187" s="64"/>
      <c r="D187" s="64"/>
      <c r="E187" s="64"/>
      <c r="F187" s="64"/>
      <c r="G187" s="64"/>
      <c r="H187" s="64"/>
      <c r="I187" s="64"/>
    </row>
    <row r="188" spans="3:9" x14ac:dyDescent="0.2">
      <c r="C188" s="64"/>
      <c r="D188" s="64"/>
      <c r="E188" s="64"/>
      <c r="F188" s="64"/>
      <c r="G188" s="64"/>
      <c r="H188" s="64"/>
      <c r="I188" s="64"/>
    </row>
    <row r="189" spans="3:9" x14ac:dyDescent="0.2">
      <c r="C189" s="64"/>
      <c r="D189" s="64"/>
      <c r="E189" s="64"/>
      <c r="F189" s="64"/>
      <c r="G189" s="64"/>
      <c r="H189" s="64"/>
      <c r="I189" s="64"/>
    </row>
    <row r="190" spans="3:9" x14ac:dyDescent="0.2">
      <c r="C190" s="64"/>
      <c r="D190" s="64"/>
      <c r="E190" s="64"/>
      <c r="F190" s="64"/>
      <c r="G190" s="64"/>
      <c r="H190" s="64"/>
      <c r="I190" s="64"/>
    </row>
    <row r="191" spans="3:9" x14ac:dyDescent="0.2">
      <c r="C191" s="64"/>
      <c r="D191" s="64"/>
      <c r="E191" s="64"/>
      <c r="F191" s="64"/>
      <c r="G191" s="64"/>
      <c r="H191" s="64"/>
      <c r="I191" s="64"/>
    </row>
    <row r="192" spans="3:9" x14ac:dyDescent="0.2">
      <c r="C192" s="64"/>
      <c r="D192" s="64"/>
      <c r="E192" s="64"/>
      <c r="F192" s="64"/>
      <c r="G192" s="64"/>
      <c r="H192" s="64"/>
      <c r="I192" s="64"/>
    </row>
    <row r="193" spans="3:9" x14ac:dyDescent="0.2">
      <c r="C193" s="64"/>
      <c r="D193" s="64"/>
      <c r="E193" s="64"/>
      <c r="F193" s="64"/>
      <c r="G193" s="64"/>
      <c r="H193" s="64"/>
      <c r="I193" s="64"/>
    </row>
    <row r="194" spans="3:9" x14ac:dyDescent="0.2">
      <c r="C194" s="64"/>
      <c r="D194" s="64"/>
      <c r="E194" s="64"/>
      <c r="F194" s="64"/>
      <c r="G194" s="64"/>
      <c r="H194" s="64"/>
      <c r="I194" s="64"/>
    </row>
    <row r="195" spans="3:9" x14ac:dyDescent="0.2">
      <c r="C195" s="64"/>
      <c r="D195" s="64"/>
      <c r="E195" s="64"/>
      <c r="F195" s="64"/>
      <c r="G195" s="64"/>
      <c r="H195" s="64"/>
      <c r="I195" s="64"/>
    </row>
    <row r="196" spans="3:9" x14ac:dyDescent="0.2">
      <c r="C196" s="64"/>
      <c r="D196" s="64"/>
      <c r="E196" s="64"/>
      <c r="F196" s="64"/>
      <c r="G196" s="64"/>
      <c r="H196" s="64"/>
      <c r="I196" s="64"/>
    </row>
    <row r="197" spans="3:9" x14ac:dyDescent="0.2">
      <c r="C197" s="64"/>
      <c r="D197" s="64"/>
      <c r="E197" s="64"/>
      <c r="F197" s="64"/>
      <c r="G197" s="64"/>
      <c r="H197" s="64"/>
      <c r="I197" s="64"/>
    </row>
    <row r="198" spans="3:9" x14ac:dyDescent="0.2">
      <c r="C198" s="64"/>
      <c r="D198" s="64"/>
      <c r="E198" s="64"/>
      <c r="F198" s="64"/>
      <c r="G198" s="64"/>
      <c r="H198" s="64"/>
      <c r="I198" s="64"/>
    </row>
    <row r="199" spans="3:9" x14ac:dyDescent="0.2">
      <c r="C199" s="64"/>
      <c r="D199" s="64"/>
      <c r="E199" s="64"/>
      <c r="F199" s="64"/>
      <c r="G199" s="64"/>
      <c r="H199" s="64"/>
      <c r="I199" s="64"/>
    </row>
    <row r="200" spans="3:9" x14ac:dyDescent="0.2">
      <c r="C200" s="64"/>
      <c r="D200" s="64"/>
      <c r="E200" s="64"/>
      <c r="F200" s="64"/>
      <c r="G200" s="64"/>
      <c r="H200" s="64"/>
      <c r="I200" s="64"/>
    </row>
    <row r="201" spans="3:9" x14ac:dyDescent="0.2">
      <c r="C201" s="64"/>
      <c r="D201" s="64"/>
      <c r="E201" s="64"/>
      <c r="F201" s="64"/>
      <c r="G201" s="64"/>
      <c r="H201" s="64"/>
      <c r="I201" s="64"/>
    </row>
    <row r="202" spans="3:9" x14ac:dyDescent="0.2">
      <c r="C202" s="64"/>
      <c r="D202" s="64"/>
      <c r="E202" s="64"/>
      <c r="F202" s="64"/>
      <c r="G202" s="64"/>
      <c r="H202" s="64"/>
      <c r="I202" s="64"/>
    </row>
    <row r="203" spans="3:9" x14ac:dyDescent="0.2">
      <c r="C203" s="64"/>
      <c r="D203" s="64"/>
      <c r="E203" s="64"/>
      <c r="F203" s="64"/>
      <c r="G203" s="64"/>
      <c r="H203" s="64"/>
      <c r="I203" s="64"/>
    </row>
    <row r="204" spans="3:9" x14ac:dyDescent="0.2">
      <c r="C204" s="64"/>
      <c r="D204" s="64"/>
      <c r="E204" s="64"/>
      <c r="F204" s="64"/>
      <c r="G204" s="64"/>
      <c r="H204" s="64"/>
      <c r="I204" s="64"/>
    </row>
    <row r="205" spans="3:9" x14ac:dyDescent="0.2">
      <c r="C205" s="64"/>
      <c r="D205" s="64"/>
      <c r="E205" s="64"/>
      <c r="F205" s="64"/>
      <c r="G205" s="64"/>
      <c r="H205" s="64"/>
      <c r="I205" s="64"/>
    </row>
    <row r="206" spans="3:9" x14ac:dyDescent="0.2">
      <c r="C206" s="64"/>
      <c r="D206" s="64"/>
      <c r="E206" s="64"/>
      <c r="F206" s="64"/>
      <c r="G206" s="64"/>
      <c r="H206" s="64"/>
      <c r="I206" s="64"/>
    </row>
    <row r="207" spans="3:9" x14ac:dyDescent="0.2">
      <c r="C207" s="64"/>
      <c r="D207" s="64"/>
      <c r="E207" s="64"/>
      <c r="F207" s="64"/>
      <c r="G207" s="64"/>
      <c r="H207" s="64"/>
      <c r="I207" s="64"/>
    </row>
    <row r="208" spans="3:9" x14ac:dyDescent="0.2">
      <c r="C208" s="64"/>
      <c r="D208" s="64"/>
      <c r="E208" s="64"/>
      <c r="F208" s="64"/>
      <c r="G208" s="64"/>
      <c r="H208" s="64"/>
      <c r="I208" s="64"/>
    </row>
    <row r="209" spans="3:9" x14ac:dyDescent="0.2">
      <c r="C209" s="64"/>
      <c r="D209" s="64"/>
      <c r="E209" s="64"/>
      <c r="F209" s="64"/>
      <c r="G209" s="64"/>
      <c r="H209" s="64"/>
      <c r="I209" s="64"/>
    </row>
    <row r="210" spans="3:9" x14ac:dyDescent="0.2">
      <c r="C210" s="64"/>
      <c r="D210" s="64"/>
      <c r="E210" s="64"/>
      <c r="F210" s="64"/>
      <c r="G210" s="64"/>
      <c r="H210" s="64"/>
      <c r="I210" s="64"/>
    </row>
    <row r="211" spans="3:9" x14ac:dyDescent="0.2">
      <c r="C211" s="64"/>
      <c r="D211" s="64"/>
      <c r="E211" s="64"/>
      <c r="F211" s="64"/>
      <c r="G211" s="64"/>
      <c r="H211" s="64"/>
      <c r="I211" s="64"/>
    </row>
    <row r="212" spans="3:9" x14ac:dyDescent="0.2">
      <c r="C212" s="64"/>
      <c r="D212" s="64"/>
      <c r="E212" s="64"/>
      <c r="F212" s="64"/>
      <c r="G212" s="64"/>
      <c r="H212" s="64"/>
      <c r="I212" s="64"/>
    </row>
    <row r="213" spans="3:9" x14ac:dyDescent="0.2">
      <c r="C213" s="64"/>
      <c r="D213" s="64"/>
      <c r="E213" s="64"/>
      <c r="F213" s="64"/>
      <c r="G213" s="64"/>
      <c r="H213" s="64"/>
      <c r="I213" s="64"/>
    </row>
    <row r="214" spans="3:9" x14ac:dyDescent="0.2">
      <c r="C214" s="64"/>
      <c r="D214" s="64"/>
      <c r="E214" s="64"/>
      <c r="F214" s="64"/>
      <c r="G214" s="64"/>
      <c r="H214" s="64"/>
      <c r="I214" s="64"/>
    </row>
    <row r="215" spans="3:9" x14ac:dyDescent="0.2">
      <c r="C215" s="64"/>
      <c r="D215" s="64"/>
      <c r="E215" s="64"/>
      <c r="F215" s="64"/>
      <c r="G215" s="64"/>
      <c r="H215" s="64"/>
      <c r="I215" s="64"/>
    </row>
    <row r="216" spans="3:9" x14ac:dyDescent="0.2">
      <c r="C216" s="64"/>
      <c r="D216" s="64"/>
      <c r="E216" s="64"/>
      <c r="F216" s="64"/>
      <c r="G216" s="64"/>
      <c r="H216" s="64"/>
      <c r="I216" s="64"/>
    </row>
    <row r="217" spans="3:9" x14ac:dyDescent="0.2">
      <c r="C217" s="64"/>
      <c r="D217" s="64"/>
      <c r="E217" s="64"/>
      <c r="F217" s="64"/>
      <c r="G217" s="64"/>
      <c r="H217" s="64"/>
      <c r="I217" s="64"/>
    </row>
    <row r="218" spans="3:9" x14ac:dyDescent="0.2">
      <c r="C218" s="64"/>
      <c r="D218" s="64"/>
      <c r="E218" s="64"/>
      <c r="F218" s="64"/>
      <c r="G218" s="64"/>
      <c r="H218" s="64"/>
      <c r="I218" s="64"/>
    </row>
    <row r="219" spans="3:9" x14ac:dyDescent="0.2">
      <c r="C219" s="64"/>
      <c r="D219" s="64"/>
      <c r="E219" s="64"/>
      <c r="F219" s="64"/>
      <c r="G219" s="64"/>
      <c r="H219" s="64"/>
      <c r="I219" s="64"/>
    </row>
    <row r="220" spans="3:9" x14ac:dyDescent="0.2">
      <c r="C220" s="64"/>
      <c r="D220" s="64"/>
      <c r="E220" s="64"/>
      <c r="F220" s="64"/>
      <c r="G220" s="64"/>
      <c r="H220" s="64"/>
      <c r="I220" s="64"/>
    </row>
    <row r="221" spans="3:9" x14ac:dyDescent="0.2">
      <c r="C221" s="64"/>
      <c r="D221" s="64"/>
      <c r="E221" s="64"/>
      <c r="F221" s="64"/>
      <c r="G221" s="64"/>
      <c r="H221" s="64"/>
      <c r="I221" s="64"/>
    </row>
    <row r="222" spans="3:9" x14ac:dyDescent="0.2">
      <c r="C222" s="64"/>
      <c r="D222" s="64"/>
      <c r="E222" s="64"/>
      <c r="F222" s="64"/>
      <c r="G222" s="64"/>
      <c r="H222" s="64"/>
      <c r="I222" s="64"/>
    </row>
    <row r="223" spans="3:9" x14ac:dyDescent="0.2">
      <c r="C223" s="64"/>
      <c r="D223" s="64"/>
      <c r="E223" s="64"/>
      <c r="F223" s="64"/>
      <c r="G223" s="64"/>
      <c r="H223" s="64"/>
      <c r="I223" s="64"/>
    </row>
    <row r="224" spans="3:9" x14ac:dyDescent="0.2">
      <c r="C224" s="64"/>
      <c r="D224" s="64"/>
      <c r="E224" s="64"/>
      <c r="F224" s="64"/>
      <c r="G224" s="64"/>
      <c r="H224" s="64"/>
      <c r="I224" s="64"/>
    </row>
    <row r="225" spans="3:9" x14ac:dyDescent="0.2">
      <c r="C225" s="64"/>
      <c r="D225" s="64"/>
      <c r="E225" s="64"/>
      <c r="F225" s="64"/>
      <c r="G225" s="64"/>
      <c r="H225" s="64"/>
      <c r="I225" s="64"/>
    </row>
    <row r="226" spans="3:9" x14ac:dyDescent="0.2">
      <c r="C226" s="64"/>
      <c r="D226" s="64"/>
      <c r="E226" s="64"/>
      <c r="F226" s="64"/>
      <c r="G226" s="64"/>
      <c r="H226" s="64"/>
      <c r="I226" s="64"/>
    </row>
    <row r="227" spans="3:9" x14ac:dyDescent="0.2">
      <c r="C227" s="64"/>
      <c r="D227" s="64"/>
      <c r="E227" s="64"/>
      <c r="F227" s="64"/>
      <c r="G227" s="64"/>
      <c r="H227" s="64"/>
      <c r="I227" s="64"/>
    </row>
    <row r="228" spans="3:9" x14ac:dyDescent="0.2">
      <c r="C228" s="64"/>
      <c r="D228" s="64"/>
      <c r="E228" s="64"/>
      <c r="F228" s="64"/>
      <c r="G228" s="64"/>
      <c r="H228" s="64"/>
      <c r="I228" s="64"/>
    </row>
    <row r="229" spans="3:9" x14ac:dyDescent="0.2">
      <c r="C229" s="64"/>
      <c r="D229" s="64"/>
      <c r="E229" s="64"/>
      <c r="F229" s="64"/>
      <c r="G229" s="64"/>
      <c r="H229" s="64"/>
      <c r="I229" s="64"/>
    </row>
    <row r="230" spans="3:9" x14ac:dyDescent="0.2">
      <c r="C230" s="64"/>
      <c r="D230" s="64"/>
      <c r="E230" s="64"/>
      <c r="F230" s="64"/>
      <c r="G230" s="64"/>
      <c r="H230" s="64"/>
      <c r="I230" s="64"/>
    </row>
    <row r="231" spans="3:9" x14ac:dyDescent="0.2">
      <c r="C231" s="64"/>
      <c r="D231" s="64"/>
      <c r="E231" s="64"/>
      <c r="F231" s="64"/>
      <c r="G231" s="64"/>
      <c r="H231" s="64"/>
      <c r="I231" s="64"/>
    </row>
    <row r="232" spans="3:9" x14ac:dyDescent="0.2">
      <c r="C232" s="64"/>
      <c r="D232" s="64"/>
      <c r="E232" s="64"/>
      <c r="F232" s="64"/>
      <c r="G232" s="64"/>
      <c r="H232" s="64"/>
      <c r="I232" s="64"/>
    </row>
    <row r="233" spans="3:9" x14ac:dyDescent="0.2">
      <c r="C233" s="64"/>
      <c r="D233" s="64"/>
      <c r="E233" s="64"/>
      <c r="F233" s="64"/>
      <c r="G233" s="64"/>
      <c r="H233" s="64"/>
      <c r="I233" s="64"/>
    </row>
    <row r="234" spans="3:9" x14ac:dyDescent="0.2">
      <c r="C234" s="64"/>
      <c r="D234" s="64"/>
      <c r="E234" s="64"/>
      <c r="F234" s="64"/>
      <c r="G234" s="64"/>
      <c r="H234" s="64"/>
      <c r="I234" s="64"/>
    </row>
    <row r="235" spans="3:9" x14ac:dyDescent="0.2">
      <c r="C235" s="64"/>
      <c r="D235" s="64"/>
      <c r="E235" s="64"/>
      <c r="F235" s="64"/>
      <c r="G235" s="64"/>
      <c r="H235" s="64"/>
      <c r="I235" s="64"/>
    </row>
    <row r="236" spans="3:9" x14ac:dyDescent="0.2">
      <c r="C236" s="64"/>
      <c r="D236" s="64"/>
      <c r="E236" s="64"/>
      <c r="F236" s="64"/>
      <c r="G236" s="64"/>
      <c r="H236" s="64"/>
      <c r="I236" s="64"/>
    </row>
    <row r="237" spans="3:9" x14ac:dyDescent="0.2">
      <c r="C237" s="64"/>
      <c r="D237" s="64"/>
      <c r="E237" s="64"/>
      <c r="F237" s="64"/>
      <c r="G237" s="64"/>
      <c r="H237" s="64"/>
      <c r="I237" s="64"/>
    </row>
    <row r="238" spans="3:9" x14ac:dyDescent="0.2">
      <c r="C238" s="64"/>
      <c r="D238" s="64"/>
      <c r="E238" s="64"/>
      <c r="F238" s="64"/>
      <c r="G238" s="64"/>
      <c r="H238" s="64"/>
      <c r="I238" s="64"/>
    </row>
    <row r="239" spans="3:9" x14ac:dyDescent="0.2">
      <c r="C239" s="64"/>
      <c r="D239" s="64"/>
      <c r="E239" s="64"/>
      <c r="F239" s="64"/>
      <c r="G239" s="64"/>
      <c r="H239" s="64"/>
      <c r="I239" s="64"/>
    </row>
    <row r="240" spans="3:9" x14ac:dyDescent="0.2">
      <c r="C240" s="64"/>
      <c r="D240" s="64"/>
      <c r="E240" s="64"/>
      <c r="F240" s="64"/>
      <c r="G240" s="64"/>
      <c r="H240" s="64"/>
      <c r="I240" s="64"/>
    </row>
    <row r="241" spans="3:9" x14ac:dyDescent="0.2">
      <c r="C241" s="64"/>
      <c r="D241" s="64"/>
      <c r="E241" s="64"/>
      <c r="F241" s="64"/>
      <c r="G241" s="64"/>
      <c r="H241" s="64"/>
      <c r="I241" s="64"/>
    </row>
    <row r="242" spans="3:9" x14ac:dyDescent="0.2">
      <c r="C242" s="64"/>
      <c r="D242" s="64"/>
      <c r="E242" s="64"/>
      <c r="F242" s="64"/>
      <c r="G242" s="64"/>
      <c r="H242" s="64"/>
      <c r="I242" s="64"/>
    </row>
    <row r="243" spans="3:9" x14ac:dyDescent="0.2">
      <c r="C243" s="64"/>
      <c r="D243" s="64"/>
      <c r="E243" s="64"/>
      <c r="F243" s="64"/>
      <c r="G243" s="64"/>
      <c r="H243" s="64"/>
      <c r="I243" s="64"/>
    </row>
    <row r="244" spans="3:9" x14ac:dyDescent="0.2">
      <c r="C244" s="64"/>
      <c r="D244" s="64"/>
      <c r="E244" s="64"/>
      <c r="F244" s="64"/>
      <c r="G244" s="64"/>
      <c r="H244" s="64"/>
      <c r="I244" s="64"/>
    </row>
    <row r="245" spans="3:9" x14ac:dyDescent="0.2">
      <c r="C245" s="64"/>
      <c r="D245" s="64"/>
      <c r="E245" s="64"/>
      <c r="F245" s="64"/>
      <c r="G245" s="64"/>
      <c r="H245" s="64"/>
      <c r="I245" s="64"/>
    </row>
    <row r="246" spans="3:9" x14ac:dyDescent="0.2">
      <c r="C246" s="64"/>
      <c r="D246" s="64"/>
      <c r="E246" s="64"/>
      <c r="F246" s="64"/>
      <c r="G246" s="64"/>
      <c r="H246" s="64"/>
      <c r="I246" s="64"/>
    </row>
    <row r="247" spans="3:9" x14ac:dyDescent="0.2">
      <c r="C247" s="64"/>
      <c r="D247" s="64"/>
      <c r="E247" s="64"/>
      <c r="F247" s="64"/>
      <c r="G247" s="64"/>
      <c r="H247" s="64"/>
      <c r="I247" s="64"/>
    </row>
    <row r="248" spans="3:9" x14ac:dyDescent="0.2">
      <c r="C248" s="64"/>
      <c r="D248" s="64"/>
      <c r="E248" s="64"/>
      <c r="F248" s="64"/>
      <c r="G248" s="64"/>
      <c r="H248" s="64"/>
      <c r="I248" s="64"/>
    </row>
    <row r="249" spans="3:9" x14ac:dyDescent="0.2">
      <c r="C249" s="64"/>
      <c r="D249" s="64"/>
      <c r="E249" s="64"/>
      <c r="F249" s="64"/>
      <c r="G249" s="64"/>
      <c r="H249" s="64"/>
      <c r="I249" s="64"/>
    </row>
    <row r="250" spans="3:9" x14ac:dyDescent="0.2">
      <c r="C250" s="64"/>
      <c r="D250" s="64"/>
      <c r="E250" s="64"/>
      <c r="F250" s="64"/>
      <c r="G250" s="64"/>
      <c r="H250" s="64"/>
      <c r="I250" s="64"/>
    </row>
    <row r="251" spans="3:9" x14ac:dyDescent="0.2">
      <c r="C251" s="64"/>
      <c r="D251" s="64"/>
      <c r="E251" s="64"/>
      <c r="F251" s="64"/>
      <c r="G251" s="64"/>
      <c r="H251" s="64"/>
      <c r="I251" s="64"/>
    </row>
    <row r="252" spans="3:9" x14ac:dyDescent="0.2">
      <c r="C252" s="64"/>
      <c r="D252" s="64"/>
      <c r="E252" s="64"/>
      <c r="F252" s="64"/>
      <c r="G252" s="64"/>
      <c r="H252" s="64"/>
      <c r="I252" s="64"/>
    </row>
    <row r="253" spans="3:9" x14ac:dyDescent="0.2">
      <c r="C253" s="64"/>
      <c r="D253" s="64"/>
      <c r="E253" s="64"/>
      <c r="F253" s="64"/>
      <c r="G253" s="64"/>
      <c r="H253" s="64"/>
      <c r="I253" s="64"/>
    </row>
    <row r="254" spans="3:9" x14ac:dyDescent="0.2">
      <c r="C254" s="64"/>
      <c r="D254" s="64"/>
      <c r="E254" s="64"/>
      <c r="F254" s="64"/>
      <c r="G254" s="64"/>
      <c r="H254" s="64"/>
      <c r="I254" s="64"/>
    </row>
    <row r="255" spans="3:9" x14ac:dyDescent="0.2">
      <c r="C255" s="64"/>
      <c r="D255" s="64"/>
      <c r="E255" s="64"/>
      <c r="F255" s="64"/>
      <c r="G255" s="64"/>
      <c r="H255" s="64"/>
      <c r="I255" s="64"/>
    </row>
    <row r="256" spans="3:9" x14ac:dyDescent="0.2">
      <c r="C256" s="64"/>
      <c r="D256" s="64"/>
      <c r="E256" s="64"/>
      <c r="F256" s="64"/>
      <c r="G256" s="64"/>
      <c r="H256" s="64"/>
      <c r="I256" s="64"/>
    </row>
    <row r="257" spans="3:9" x14ac:dyDescent="0.2">
      <c r="C257" s="64"/>
      <c r="D257" s="64"/>
      <c r="E257" s="64"/>
      <c r="F257" s="64"/>
      <c r="G257" s="64"/>
      <c r="H257" s="64"/>
      <c r="I257" s="64"/>
    </row>
    <row r="258" spans="3:9" x14ac:dyDescent="0.2">
      <c r="C258" s="64"/>
      <c r="D258" s="64"/>
      <c r="E258" s="64"/>
      <c r="F258" s="64"/>
      <c r="G258" s="64"/>
      <c r="H258" s="64"/>
      <c r="I258" s="64"/>
    </row>
    <row r="259" spans="3:9" x14ac:dyDescent="0.2">
      <c r="C259" s="64"/>
      <c r="D259" s="64"/>
      <c r="E259" s="64"/>
      <c r="F259" s="64"/>
      <c r="G259" s="64"/>
      <c r="H259" s="64"/>
      <c r="I259" s="64"/>
    </row>
    <row r="260" spans="3:9" x14ac:dyDescent="0.2">
      <c r="C260" s="64"/>
      <c r="D260" s="64"/>
      <c r="E260" s="64"/>
      <c r="F260" s="64"/>
      <c r="G260" s="64"/>
      <c r="H260" s="64"/>
      <c r="I260" s="64"/>
    </row>
    <row r="261" spans="3:9" x14ac:dyDescent="0.2">
      <c r="C261" s="64"/>
      <c r="D261" s="64"/>
      <c r="E261" s="64"/>
      <c r="F261" s="64"/>
      <c r="G261" s="64"/>
      <c r="H261" s="64"/>
      <c r="I261" s="64"/>
    </row>
    <row r="262" spans="3:9" x14ac:dyDescent="0.2">
      <c r="C262" s="64"/>
      <c r="D262" s="64"/>
      <c r="E262" s="64"/>
      <c r="F262" s="64"/>
      <c r="G262" s="64"/>
      <c r="H262" s="64"/>
      <c r="I262" s="64"/>
    </row>
    <row r="263" spans="3:9" x14ac:dyDescent="0.2">
      <c r="C263" s="64"/>
      <c r="D263" s="64"/>
      <c r="E263" s="64"/>
      <c r="F263" s="64"/>
      <c r="G263" s="64"/>
      <c r="H263" s="64"/>
      <c r="I263" s="64"/>
    </row>
    <row r="264" spans="3:9" x14ac:dyDescent="0.2">
      <c r="C264" s="64"/>
      <c r="D264" s="64"/>
      <c r="E264" s="64"/>
      <c r="F264" s="64"/>
      <c r="G264" s="64"/>
      <c r="H264" s="64"/>
      <c r="I264" s="64"/>
    </row>
    <row r="265" spans="3:9" x14ac:dyDescent="0.2">
      <c r="C265" s="64"/>
      <c r="D265" s="64"/>
      <c r="E265" s="64"/>
      <c r="F265" s="64"/>
      <c r="G265" s="64"/>
      <c r="H265" s="64"/>
      <c r="I265" s="64"/>
    </row>
    <row r="266" spans="3:9" x14ac:dyDescent="0.2">
      <c r="C266" s="64"/>
      <c r="D266" s="64"/>
      <c r="E266" s="64"/>
      <c r="F266" s="64"/>
      <c r="G266" s="64"/>
      <c r="H266" s="64"/>
      <c r="I266" s="64"/>
    </row>
    <row r="267" spans="3:9" x14ac:dyDescent="0.2">
      <c r="C267" s="64"/>
      <c r="D267" s="64"/>
      <c r="E267" s="64"/>
      <c r="F267" s="64"/>
      <c r="G267" s="64"/>
      <c r="H267" s="64"/>
      <c r="I267" s="64"/>
    </row>
    <row r="268" spans="3:9" x14ac:dyDescent="0.2">
      <c r="C268" s="64"/>
      <c r="D268" s="64"/>
      <c r="E268" s="64"/>
      <c r="F268" s="64"/>
      <c r="G268" s="64"/>
      <c r="H268" s="64"/>
      <c r="I268" s="64"/>
    </row>
    <row r="269" spans="3:9" x14ac:dyDescent="0.2">
      <c r="C269" s="64"/>
      <c r="D269" s="64"/>
      <c r="E269" s="64"/>
      <c r="F269" s="64"/>
      <c r="G269" s="64"/>
      <c r="H269" s="64"/>
      <c r="I269" s="64"/>
    </row>
    <row r="270" spans="3:9" x14ac:dyDescent="0.2">
      <c r="C270" s="64"/>
      <c r="D270" s="64"/>
      <c r="E270" s="64"/>
      <c r="F270" s="64"/>
      <c r="G270" s="64"/>
      <c r="H270" s="64"/>
      <c r="I270" s="64"/>
    </row>
    <row r="271" spans="3:9" x14ac:dyDescent="0.2">
      <c r="C271" s="64"/>
      <c r="D271" s="64"/>
      <c r="E271" s="64"/>
      <c r="F271" s="64"/>
      <c r="G271" s="64"/>
      <c r="H271" s="64"/>
      <c r="I271" s="64"/>
    </row>
    <row r="272" spans="3:9" x14ac:dyDescent="0.2">
      <c r="C272" s="64"/>
      <c r="D272" s="64"/>
      <c r="E272" s="64"/>
      <c r="F272" s="64"/>
      <c r="G272" s="64"/>
      <c r="H272" s="64"/>
      <c r="I272" s="64"/>
    </row>
    <row r="273" spans="3:9" x14ac:dyDescent="0.2">
      <c r="C273" s="64"/>
      <c r="D273" s="64"/>
      <c r="E273" s="64"/>
      <c r="F273" s="64"/>
      <c r="G273" s="64"/>
      <c r="H273" s="64"/>
      <c r="I273" s="64"/>
    </row>
    <row r="274" spans="3:9" x14ac:dyDescent="0.2">
      <c r="C274" s="64"/>
      <c r="D274" s="64"/>
      <c r="E274" s="64"/>
      <c r="F274" s="64"/>
      <c r="G274" s="64"/>
      <c r="H274" s="64"/>
      <c r="I274" s="64"/>
    </row>
    <row r="275" spans="3:9" x14ac:dyDescent="0.2">
      <c r="C275" s="64"/>
      <c r="D275" s="64"/>
      <c r="E275" s="64"/>
      <c r="F275" s="64"/>
      <c r="G275" s="64"/>
      <c r="H275" s="64"/>
      <c r="I275" s="64"/>
    </row>
    <row r="276" spans="3:9" x14ac:dyDescent="0.2">
      <c r="C276" s="64"/>
      <c r="D276" s="64"/>
      <c r="E276" s="64"/>
      <c r="F276" s="64"/>
      <c r="G276" s="64"/>
      <c r="H276" s="64"/>
      <c r="I276" s="64"/>
    </row>
    <row r="277" spans="3:9" x14ac:dyDescent="0.2">
      <c r="C277" s="64"/>
      <c r="D277" s="64"/>
      <c r="E277" s="64"/>
      <c r="F277" s="64"/>
      <c r="G277" s="64"/>
      <c r="H277" s="64"/>
      <c r="I277" s="64"/>
    </row>
    <row r="278" spans="3:9" x14ac:dyDescent="0.2">
      <c r="C278" s="64"/>
      <c r="D278" s="64"/>
      <c r="E278" s="64"/>
      <c r="F278" s="64"/>
      <c r="G278" s="64"/>
      <c r="H278" s="64"/>
      <c r="I278" s="64"/>
    </row>
    <row r="279" spans="3:9" x14ac:dyDescent="0.2">
      <c r="C279" s="64"/>
      <c r="D279" s="64"/>
      <c r="E279" s="64"/>
      <c r="F279" s="64"/>
      <c r="G279" s="64"/>
      <c r="H279" s="64"/>
      <c r="I279" s="64"/>
    </row>
    <row r="280" spans="3:9" x14ac:dyDescent="0.2">
      <c r="C280" s="64"/>
      <c r="D280" s="64"/>
      <c r="E280" s="64"/>
      <c r="F280" s="64"/>
      <c r="G280" s="64"/>
      <c r="H280" s="64"/>
      <c r="I280" s="64"/>
    </row>
    <row r="281" spans="3:9" x14ac:dyDescent="0.2">
      <c r="C281" s="64"/>
      <c r="D281" s="64"/>
      <c r="E281" s="64"/>
      <c r="F281" s="64"/>
      <c r="G281" s="64"/>
      <c r="H281" s="64"/>
      <c r="I281" s="64"/>
    </row>
    <row r="282" spans="3:9" x14ac:dyDescent="0.2">
      <c r="C282" s="64"/>
      <c r="D282" s="64"/>
      <c r="E282" s="64"/>
      <c r="F282" s="64"/>
      <c r="G282" s="64"/>
      <c r="H282" s="64"/>
      <c r="I282" s="64"/>
    </row>
    <row r="283" spans="3:9" x14ac:dyDescent="0.2">
      <c r="C283" s="64"/>
      <c r="D283" s="64"/>
      <c r="E283" s="64"/>
      <c r="F283" s="64"/>
      <c r="G283" s="64"/>
      <c r="H283" s="64"/>
      <c r="I283" s="64"/>
    </row>
    <row r="284" spans="3:9" x14ac:dyDescent="0.2">
      <c r="C284" s="64"/>
      <c r="D284" s="64"/>
      <c r="E284" s="64"/>
      <c r="F284" s="64"/>
      <c r="G284" s="64"/>
      <c r="H284" s="64"/>
      <c r="I284" s="64"/>
    </row>
    <row r="285" spans="3:9" x14ac:dyDescent="0.2">
      <c r="C285" s="64"/>
      <c r="D285" s="64"/>
      <c r="E285" s="64"/>
      <c r="F285" s="64"/>
      <c r="G285" s="64"/>
      <c r="H285" s="64"/>
      <c r="I285" s="64"/>
    </row>
    <row r="286" spans="3:9" x14ac:dyDescent="0.2">
      <c r="C286" s="64"/>
      <c r="D286" s="64"/>
      <c r="E286" s="64"/>
      <c r="F286" s="64"/>
      <c r="G286" s="64"/>
      <c r="H286" s="64"/>
      <c r="I286" s="64"/>
    </row>
    <row r="287" spans="3:9" x14ac:dyDescent="0.2">
      <c r="C287" s="64"/>
      <c r="D287" s="64"/>
      <c r="E287" s="64"/>
      <c r="F287" s="64"/>
      <c r="G287" s="64"/>
      <c r="H287" s="64"/>
      <c r="I287" s="64"/>
    </row>
    <row r="288" spans="3:9" x14ac:dyDescent="0.2">
      <c r="C288" s="64"/>
      <c r="D288" s="64"/>
      <c r="E288" s="64"/>
      <c r="F288" s="64"/>
      <c r="G288" s="64"/>
      <c r="H288" s="64"/>
      <c r="I288" s="64"/>
    </row>
    <row r="289" spans="3:9" x14ac:dyDescent="0.2">
      <c r="C289" s="64"/>
      <c r="D289" s="64"/>
      <c r="E289" s="64"/>
      <c r="F289" s="64"/>
      <c r="G289" s="64"/>
      <c r="H289" s="64"/>
      <c r="I289" s="64"/>
    </row>
    <row r="290" spans="3:9" x14ac:dyDescent="0.2">
      <c r="C290" s="64"/>
      <c r="D290" s="64"/>
      <c r="E290" s="64"/>
      <c r="F290" s="64"/>
      <c r="G290" s="64"/>
      <c r="H290" s="64"/>
      <c r="I290" s="64"/>
    </row>
    <row r="291" spans="3:9" x14ac:dyDescent="0.2">
      <c r="C291" s="64"/>
      <c r="D291" s="64"/>
      <c r="E291" s="64"/>
      <c r="F291" s="64"/>
      <c r="G291" s="64"/>
      <c r="H291" s="64"/>
      <c r="I291" s="64"/>
    </row>
    <row r="292" spans="3:9" x14ac:dyDescent="0.2">
      <c r="C292" s="64"/>
      <c r="D292" s="64"/>
      <c r="E292" s="64"/>
      <c r="F292" s="64"/>
      <c r="G292" s="64"/>
      <c r="H292" s="64"/>
      <c r="I292" s="64"/>
    </row>
    <row r="293" spans="3:9" x14ac:dyDescent="0.2">
      <c r="C293" s="64"/>
      <c r="D293" s="64"/>
      <c r="E293" s="64"/>
      <c r="F293" s="64"/>
      <c r="G293" s="64"/>
      <c r="H293" s="64"/>
      <c r="I293" s="64"/>
    </row>
    <row r="294" spans="3:9" x14ac:dyDescent="0.2">
      <c r="C294" s="64"/>
      <c r="D294" s="64"/>
      <c r="E294" s="64"/>
      <c r="F294" s="64"/>
      <c r="G294" s="64"/>
      <c r="H294" s="64"/>
      <c r="I294" s="64"/>
    </row>
    <row r="295" spans="3:9" x14ac:dyDescent="0.2">
      <c r="C295" s="64"/>
      <c r="D295" s="64"/>
      <c r="E295" s="64"/>
      <c r="F295" s="64"/>
      <c r="G295" s="64"/>
      <c r="H295" s="64"/>
      <c r="I295" s="64"/>
    </row>
    <row r="296" spans="3:9" x14ac:dyDescent="0.2">
      <c r="C296" s="64"/>
      <c r="D296" s="64"/>
      <c r="E296" s="64"/>
      <c r="F296" s="64"/>
      <c r="G296" s="64"/>
      <c r="H296" s="64"/>
      <c r="I296" s="64"/>
    </row>
    <row r="297" spans="3:9" x14ac:dyDescent="0.2">
      <c r="C297" s="64"/>
      <c r="D297" s="64"/>
      <c r="E297" s="64"/>
      <c r="F297" s="64"/>
      <c r="G297" s="64"/>
      <c r="H297" s="64"/>
      <c r="I297" s="64"/>
    </row>
    <row r="298" spans="3:9" x14ac:dyDescent="0.2">
      <c r="C298" s="64"/>
      <c r="D298" s="64"/>
      <c r="E298" s="64"/>
      <c r="F298" s="64"/>
      <c r="G298" s="64"/>
      <c r="H298" s="64"/>
      <c r="I298" s="64"/>
    </row>
    <row r="299" spans="3:9" x14ac:dyDescent="0.2">
      <c r="C299" s="64"/>
      <c r="D299" s="64"/>
      <c r="E299" s="64"/>
      <c r="F299" s="64"/>
      <c r="G299" s="64"/>
      <c r="H299" s="64"/>
      <c r="I299" s="64"/>
    </row>
    <row r="300" spans="3:9" x14ac:dyDescent="0.2">
      <c r="C300" s="64"/>
      <c r="D300" s="64"/>
      <c r="E300" s="64"/>
      <c r="F300" s="64"/>
      <c r="G300" s="64"/>
      <c r="H300" s="64"/>
      <c r="I300" s="64"/>
    </row>
    <row r="301" spans="3:9" x14ac:dyDescent="0.2">
      <c r="C301" s="64"/>
      <c r="D301" s="64"/>
      <c r="E301" s="64"/>
      <c r="F301" s="64"/>
      <c r="G301" s="64"/>
      <c r="H301" s="64"/>
      <c r="I301" s="64"/>
    </row>
    <row r="302" spans="3:9" x14ac:dyDescent="0.2">
      <c r="C302" s="64"/>
      <c r="D302" s="64"/>
      <c r="E302" s="64"/>
      <c r="F302" s="64"/>
      <c r="G302" s="64"/>
      <c r="H302" s="64"/>
      <c r="I302" s="64"/>
    </row>
    <row r="303" spans="3:9" x14ac:dyDescent="0.2">
      <c r="C303" s="64"/>
      <c r="D303" s="64"/>
      <c r="E303" s="64"/>
      <c r="F303" s="64"/>
      <c r="G303" s="64"/>
      <c r="H303" s="64"/>
      <c r="I303" s="64"/>
    </row>
    <row r="304" spans="3:9" x14ac:dyDescent="0.2">
      <c r="C304" s="64"/>
      <c r="D304" s="64"/>
      <c r="E304" s="64"/>
      <c r="F304" s="64"/>
      <c r="G304" s="64"/>
      <c r="H304" s="64"/>
      <c r="I304" s="64"/>
    </row>
    <row r="305" spans="3:9" x14ac:dyDescent="0.2">
      <c r="C305" s="64"/>
      <c r="D305" s="64"/>
      <c r="E305" s="64"/>
      <c r="F305" s="64"/>
      <c r="G305" s="64"/>
      <c r="H305" s="64"/>
      <c r="I305" s="64"/>
    </row>
    <row r="306" spans="3:9" x14ac:dyDescent="0.2">
      <c r="C306" s="64"/>
      <c r="D306" s="64"/>
      <c r="E306" s="64"/>
      <c r="F306" s="64"/>
      <c r="G306" s="64"/>
      <c r="H306" s="64"/>
      <c r="I306" s="64"/>
    </row>
    <row r="307" spans="3:9" x14ac:dyDescent="0.2">
      <c r="C307" s="64"/>
      <c r="D307" s="64"/>
      <c r="E307" s="64"/>
      <c r="F307" s="64"/>
      <c r="G307" s="64"/>
      <c r="H307" s="64"/>
      <c r="I307" s="64"/>
    </row>
    <row r="308" spans="3:9" x14ac:dyDescent="0.2">
      <c r="C308" s="64"/>
      <c r="D308" s="64"/>
      <c r="E308" s="64"/>
      <c r="F308" s="64"/>
      <c r="G308" s="64"/>
      <c r="H308" s="64"/>
      <c r="I308" s="64"/>
    </row>
    <row r="309" spans="3:9" x14ac:dyDescent="0.2">
      <c r="C309" s="64"/>
      <c r="D309" s="64"/>
      <c r="E309" s="64"/>
      <c r="F309" s="64"/>
      <c r="G309" s="64"/>
      <c r="H309" s="64"/>
      <c r="I309" s="64"/>
    </row>
    <row r="310" spans="3:9" x14ac:dyDescent="0.2">
      <c r="C310" s="64"/>
      <c r="D310" s="64"/>
      <c r="E310" s="64"/>
      <c r="F310" s="64"/>
      <c r="G310" s="64"/>
      <c r="H310" s="64"/>
      <c r="I310" s="64"/>
    </row>
    <row r="311" spans="3:9" x14ac:dyDescent="0.2">
      <c r="C311" s="64"/>
      <c r="D311" s="64"/>
      <c r="E311" s="64"/>
      <c r="F311" s="64"/>
      <c r="G311" s="64"/>
      <c r="H311" s="64"/>
      <c r="I311" s="64"/>
    </row>
    <row r="312" spans="3:9" x14ac:dyDescent="0.2">
      <c r="C312" s="64"/>
      <c r="D312" s="64"/>
      <c r="E312" s="64"/>
      <c r="F312" s="64"/>
      <c r="G312" s="64"/>
      <c r="H312" s="64"/>
      <c r="I312" s="64"/>
    </row>
    <row r="313" spans="3:9" x14ac:dyDescent="0.2">
      <c r="C313" s="64"/>
      <c r="D313" s="64"/>
      <c r="E313" s="64"/>
      <c r="F313" s="64"/>
      <c r="G313" s="64"/>
      <c r="H313" s="64"/>
      <c r="I313" s="64"/>
    </row>
    <row r="314" spans="3:9" x14ac:dyDescent="0.2">
      <c r="C314" s="64"/>
      <c r="D314" s="64"/>
      <c r="E314" s="64"/>
      <c r="F314" s="64"/>
      <c r="G314" s="64"/>
      <c r="H314" s="64"/>
      <c r="I314" s="64"/>
    </row>
    <row r="315" spans="3:9" x14ac:dyDescent="0.2">
      <c r="C315" s="64"/>
      <c r="D315" s="64"/>
      <c r="E315" s="64"/>
      <c r="F315" s="64"/>
      <c r="G315" s="64"/>
      <c r="H315" s="64"/>
      <c r="I315" s="64"/>
    </row>
    <row r="316" spans="3:9" x14ac:dyDescent="0.2">
      <c r="C316" s="64"/>
      <c r="D316" s="64"/>
      <c r="E316" s="64"/>
      <c r="F316" s="64"/>
      <c r="G316" s="64"/>
      <c r="H316" s="64"/>
      <c r="I316" s="64"/>
    </row>
    <row r="317" spans="3:9" x14ac:dyDescent="0.2">
      <c r="C317" s="64"/>
      <c r="D317" s="64"/>
      <c r="E317" s="64"/>
      <c r="F317" s="64"/>
      <c r="G317" s="64"/>
      <c r="H317" s="64"/>
      <c r="I317" s="64"/>
    </row>
    <row r="318" spans="3:9" x14ac:dyDescent="0.2">
      <c r="C318" s="64"/>
      <c r="D318" s="64"/>
      <c r="E318" s="64"/>
      <c r="F318" s="64"/>
      <c r="G318" s="64"/>
      <c r="H318" s="64"/>
      <c r="I318" s="64"/>
    </row>
    <row r="319" spans="3:9" x14ac:dyDescent="0.2">
      <c r="C319" s="64"/>
      <c r="D319" s="64"/>
      <c r="E319" s="64"/>
      <c r="F319" s="64"/>
      <c r="G319" s="64"/>
      <c r="H319" s="64"/>
      <c r="I319" s="64"/>
    </row>
    <row r="320" spans="3:9" x14ac:dyDescent="0.2">
      <c r="C320" s="64"/>
      <c r="D320" s="64"/>
      <c r="E320" s="64"/>
      <c r="F320" s="64"/>
      <c r="G320" s="64"/>
      <c r="H320" s="64"/>
      <c r="I320" s="64"/>
    </row>
    <row r="321" spans="3:9" x14ac:dyDescent="0.2">
      <c r="C321" s="64"/>
      <c r="D321" s="64"/>
      <c r="E321" s="64"/>
      <c r="F321" s="64"/>
      <c r="G321" s="64"/>
      <c r="H321" s="64"/>
      <c r="I321" s="64"/>
    </row>
    <row r="322" spans="3:9" x14ac:dyDescent="0.2">
      <c r="C322" s="64"/>
      <c r="D322" s="64"/>
      <c r="E322" s="64"/>
      <c r="F322" s="64"/>
      <c r="G322" s="64"/>
      <c r="H322" s="64"/>
      <c r="I322" s="64"/>
    </row>
    <row r="323" spans="3:9" x14ac:dyDescent="0.2">
      <c r="C323" s="64"/>
      <c r="D323" s="64"/>
      <c r="E323" s="64"/>
      <c r="F323" s="64"/>
      <c r="G323" s="64"/>
      <c r="H323" s="64"/>
      <c r="I323" s="64"/>
    </row>
    <row r="324" spans="3:9" x14ac:dyDescent="0.2">
      <c r="C324" s="64"/>
      <c r="D324" s="64"/>
      <c r="E324" s="64"/>
      <c r="F324" s="64"/>
      <c r="G324" s="64"/>
      <c r="H324" s="64"/>
      <c r="I324" s="64"/>
    </row>
    <row r="325" spans="3:9" x14ac:dyDescent="0.2">
      <c r="C325" s="64"/>
      <c r="D325" s="64"/>
      <c r="E325" s="64"/>
      <c r="F325" s="64"/>
      <c r="G325" s="64"/>
      <c r="H325" s="64"/>
      <c r="I325" s="64"/>
    </row>
    <row r="326" spans="3:9" x14ac:dyDescent="0.2">
      <c r="C326" s="64"/>
      <c r="D326" s="64"/>
      <c r="E326" s="64"/>
      <c r="F326" s="64"/>
      <c r="G326" s="64"/>
      <c r="H326" s="64"/>
      <c r="I326" s="64"/>
    </row>
    <row r="327" spans="3:9" x14ac:dyDescent="0.2">
      <c r="C327" s="64"/>
      <c r="D327" s="64"/>
      <c r="E327" s="64"/>
      <c r="F327" s="64"/>
      <c r="G327" s="64"/>
      <c r="H327" s="64"/>
      <c r="I327" s="64"/>
    </row>
    <row r="328" spans="3:9" x14ac:dyDescent="0.2">
      <c r="C328" s="64"/>
      <c r="D328" s="64"/>
      <c r="E328" s="64"/>
      <c r="F328" s="64"/>
      <c r="G328" s="64"/>
      <c r="H328" s="64"/>
      <c r="I328" s="64"/>
    </row>
    <row r="329" spans="3:9" x14ac:dyDescent="0.2">
      <c r="C329" s="64"/>
      <c r="D329" s="64"/>
      <c r="E329" s="64"/>
      <c r="F329" s="64"/>
      <c r="G329" s="64"/>
      <c r="H329" s="64"/>
      <c r="I329" s="64"/>
    </row>
    <row r="330" spans="3:9" x14ac:dyDescent="0.2">
      <c r="C330" s="64"/>
      <c r="D330" s="64"/>
      <c r="E330" s="64"/>
      <c r="F330" s="64"/>
      <c r="G330" s="64"/>
      <c r="H330" s="64"/>
      <c r="I330" s="64"/>
    </row>
    <row r="331" spans="3:9" x14ac:dyDescent="0.2">
      <c r="C331" s="64"/>
      <c r="D331" s="64"/>
      <c r="E331" s="64"/>
      <c r="F331" s="64"/>
      <c r="G331" s="64"/>
      <c r="H331" s="64"/>
      <c r="I331" s="64"/>
    </row>
    <row r="332" spans="3:9" x14ac:dyDescent="0.2">
      <c r="C332" s="64"/>
      <c r="D332" s="64"/>
      <c r="E332" s="64"/>
      <c r="F332" s="64"/>
      <c r="G332" s="64"/>
      <c r="H332" s="64"/>
      <c r="I332" s="64"/>
    </row>
    <row r="333" spans="3:9" x14ac:dyDescent="0.2">
      <c r="C333" s="64"/>
      <c r="D333" s="64"/>
      <c r="E333" s="64"/>
      <c r="F333" s="64"/>
      <c r="G333" s="64"/>
      <c r="H333" s="64"/>
      <c r="I333" s="64"/>
    </row>
    <row r="334" spans="3:9" x14ac:dyDescent="0.2">
      <c r="C334" s="64"/>
      <c r="D334" s="64"/>
      <c r="E334" s="64"/>
      <c r="F334" s="64"/>
      <c r="G334" s="64"/>
      <c r="H334" s="64"/>
      <c r="I334" s="64"/>
    </row>
    <row r="335" spans="3:9" x14ac:dyDescent="0.2">
      <c r="C335" s="64"/>
      <c r="D335" s="64"/>
      <c r="E335" s="64"/>
      <c r="F335" s="64"/>
      <c r="G335" s="64"/>
      <c r="H335" s="64"/>
      <c r="I335" s="64"/>
    </row>
    <row r="336" spans="3:9" x14ac:dyDescent="0.2">
      <c r="C336" s="64"/>
      <c r="D336" s="64"/>
      <c r="E336" s="64"/>
      <c r="F336" s="64"/>
      <c r="G336" s="64"/>
      <c r="H336" s="64"/>
      <c r="I336" s="64"/>
    </row>
    <row r="337" spans="3:9" x14ac:dyDescent="0.2">
      <c r="C337" s="64"/>
      <c r="D337" s="64"/>
      <c r="E337" s="64"/>
      <c r="F337" s="64"/>
      <c r="G337" s="64"/>
      <c r="H337" s="64"/>
      <c r="I337" s="64"/>
    </row>
    <row r="338" spans="3:9" x14ac:dyDescent="0.2">
      <c r="C338" s="64"/>
      <c r="D338" s="64"/>
      <c r="E338" s="64"/>
      <c r="F338" s="64"/>
      <c r="G338" s="64"/>
      <c r="H338" s="64"/>
      <c r="I338" s="64"/>
    </row>
    <row r="339" spans="3:9" x14ac:dyDescent="0.2">
      <c r="C339" s="64"/>
      <c r="D339" s="64"/>
      <c r="E339" s="64"/>
      <c r="F339" s="64"/>
      <c r="G339" s="64"/>
      <c r="H339" s="64"/>
      <c r="I339" s="64"/>
    </row>
    <row r="340" spans="3:9" x14ac:dyDescent="0.2">
      <c r="C340" s="64"/>
      <c r="D340" s="64"/>
      <c r="E340" s="64"/>
      <c r="F340" s="64"/>
      <c r="G340" s="64"/>
      <c r="H340" s="64"/>
      <c r="I340" s="64"/>
    </row>
    <row r="341" spans="3:9" x14ac:dyDescent="0.2">
      <c r="C341" s="64"/>
      <c r="D341" s="64"/>
      <c r="E341" s="64"/>
      <c r="F341" s="64"/>
      <c r="G341" s="64"/>
      <c r="H341" s="64"/>
      <c r="I341" s="64"/>
    </row>
    <row r="342" spans="3:9" x14ac:dyDescent="0.2">
      <c r="C342" s="64"/>
      <c r="D342" s="64"/>
      <c r="E342" s="64"/>
      <c r="F342" s="64"/>
      <c r="G342" s="64"/>
      <c r="H342" s="64"/>
      <c r="I342" s="64"/>
    </row>
    <row r="343" spans="3:9" x14ac:dyDescent="0.2">
      <c r="C343" s="64"/>
      <c r="D343" s="64"/>
      <c r="E343" s="64"/>
      <c r="F343" s="64"/>
      <c r="G343" s="64"/>
      <c r="H343" s="64"/>
      <c r="I343" s="64"/>
    </row>
    <row r="344" spans="3:9" x14ac:dyDescent="0.2">
      <c r="C344" s="64"/>
      <c r="D344" s="64"/>
      <c r="E344" s="64"/>
      <c r="F344" s="64"/>
      <c r="G344" s="64"/>
      <c r="H344" s="64"/>
      <c r="I344" s="64"/>
    </row>
    <row r="345" spans="3:9" x14ac:dyDescent="0.2">
      <c r="C345" s="64"/>
      <c r="D345" s="64"/>
      <c r="E345" s="64"/>
      <c r="F345" s="64"/>
      <c r="G345" s="64"/>
      <c r="H345" s="64"/>
      <c r="I345" s="64"/>
    </row>
    <row r="346" spans="3:9" x14ac:dyDescent="0.2">
      <c r="C346" s="64"/>
      <c r="D346" s="64"/>
      <c r="E346" s="64"/>
      <c r="F346" s="64"/>
      <c r="G346" s="64"/>
      <c r="H346" s="64"/>
      <c r="I346" s="64"/>
    </row>
    <row r="347" spans="3:9" x14ac:dyDescent="0.2">
      <c r="C347" s="64"/>
      <c r="D347" s="64"/>
      <c r="E347" s="64"/>
      <c r="F347" s="64"/>
      <c r="G347" s="64"/>
      <c r="H347" s="64"/>
      <c r="I347" s="64"/>
    </row>
    <row r="348" spans="3:9" x14ac:dyDescent="0.2">
      <c r="C348" s="64"/>
      <c r="D348" s="64"/>
      <c r="E348" s="64"/>
      <c r="F348" s="64"/>
      <c r="G348" s="64"/>
      <c r="H348" s="64"/>
      <c r="I348" s="64"/>
    </row>
    <row r="349" spans="3:9" x14ac:dyDescent="0.2">
      <c r="C349" s="64"/>
      <c r="D349" s="64"/>
      <c r="E349" s="64"/>
      <c r="F349" s="64"/>
      <c r="G349" s="64"/>
      <c r="H349" s="64"/>
      <c r="I349" s="64"/>
    </row>
    <row r="350" spans="3:9" x14ac:dyDescent="0.2">
      <c r="C350" s="64"/>
      <c r="D350" s="64"/>
      <c r="E350" s="64"/>
      <c r="F350" s="64"/>
      <c r="G350" s="64"/>
      <c r="H350" s="64"/>
      <c r="I350" s="64"/>
    </row>
    <row r="351" spans="3:9" x14ac:dyDescent="0.2">
      <c r="C351" s="64"/>
      <c r="D351" s="64"/>
      <c r="E351" s="64"/>
      <c r="F351" s="64"/>
      <c r="G351" s="64"/>
      <c r="H351" s="64"/>
      <c r="I351" s="64"/>
    </row>
    <row r="352" spans="3:9" x14ac:dyDescent="0.2">
      <c r="C352" s="64"/>
      <c r="D352" s="64"/>
      <c r="E352" s="64"/>
      <c r="F352" s="64"/>
      <c r="G352" s="64"/>
      <c r="H352" s="64"/>
      <c r="I352" s="64"/>
    </row>
    <row r="353" spans="3:9" x14ac:dyDescent="0.2">
      <c r="C353" s="64"/>
      <c r="D353" s="64"/>
      <c r="E353" s="64"/>
      <c r="F353" s="64"/>
      <c r="G353" s="64"/>
      <c r="H353" s="64"/>
      <c r="I353" s="64"/>
    </row>
    <row r="354" spans="3:9" x14ac:dyDescent="0.2">
      <c r="C354" s="64"/>
      <c r="D354" s="64"/>
      <c r="E354" s="64"/>
      <c r="F354" s="64"/>
      <c r="G354" s="64"/>
      <c r="H354" s="64"/>
      <c r="I354" s="64"/>
    </row>
    <row r="355" spans="3:9" x14ac:dyDescent="0.2">
      <c r="C355" s="64"/>
      <c r="D355" s="64"/>
      <c r="E355" s="64"/>
      <c r="F355" s="64"/>
      <c r="G355" s="64"/>
      <c r="H355" s="64"/>
      <c r="I355" s="64"/>
    </row>
    <row r="356" spans="3:9" x14ac:dyDescent="0.2">
      <c r="C356" s="64"/>
      <c r="D356" s="64"/>
      <c r="E356" s="64"/>
      <c r="F356" s="64"/>
      <c r="G356" s="64"/>
      <c r="H356" s="64"/>
      <c r="I356" s="64"/>
    </row>
    <row r="357" spans="3:9" x14ac:dyDescent="0.2">
      <c r="C357" s="64"/>
      <c r="D357" s="64"/>
      <c r="E357" s="64"/>
      <c r="F357" s="64"/>
      <c r="G357" s="64"/>
      <c r="H357" s="64"/>
      <c r="I357" s="64"/>
    </row>
    <row r="358" spans="3:9" x14ac:dyDescent="0.2">
      <c r="C358" s="64"/>
      <c r="D358" s="64"/>
      <c r="E358" s="64"/>
      <c r="F358" s="64"/>
      <c r="G358" s="64"/>
      <c r="H358" s="64"/>
      <c r="I358" s="64"/>
    </row>
    <row r="359" spans="3:9" x14ac:dyDescent="0.2">
      <c r="C359" s="64"/>
      <c r="D359" s="64"/>
      <c r="E359" s="64"/>
      <c r="F359" s="64"/>
      <c r="G359" s="64"/>
      <c r="H359" s="64"/>
      <c r="I359" s="64"/>
    </row>
    <row r="360" spans="3:9" x14ac:dyDescent="0.2">
      <c r="C360" s="64"/>
      <c r="D360" s="64"/>
      <c r="E360" s="64"/>
      <c r="F360" s="64"/>
      <c r="G360" s="64"/>
      <c r="H360" s="64"/>
      <c r="I360" s="64"/>
    </row>
    <row r="361" spans="3:9" x14ac:dyDescent="0.2">
      <c r="C361" s="64"/>
      <c r="D361" s="64"/>
      <c r="E361" s="64"/>
      <c r="F361" s="64"/>
      <c r="G361" s="64"/>
      <c r="H361" s="64"/>
      <c r="I361" s="64"/>
    </row>
    <row r="362" spans="3:9" x14ac:dyDescent="0.2">
      <c r="C362" s="64"/>
      <c r="D362" s="64"/>
      <c r="E362" s="64"/>
      <c r="F362" s="64"/>
      <c r="G362" s="64"/>
      <c r="H362" s="64"/>
      <c r="I362" s="64"/>
    </row>
    <row r="363" spans="3:9" x14ac:dyDescent="0.2">
      <c r="C363" s="64"/>
      <c r="D363" s="64"/>
      <c r="E363" s="64"/>
      <c r="F363" s="64"/>
      <c r="G363" s="64"/>
      <c r="H363" s="64"/>
      <c r="I363" s="64"/>
    </row>
    <row r="364" spans="3:9" x14ac:dyDescent="0.2">
      <c r="C364" s="64"/>
      <c r="D364" s="64"/>
      <c r="E364" s="64"/>
      <c r="F364" s="64"/>
      <c r="G364" s="64"/>
      <c r="H364" s="64"/>
      <c r="I364" s="64"/>
    </row>
    <row r="365" spans="3:9" x14ac:dyDescent="0.2">
      <c r="C365" s="64"/>
      <c r="D365" s="64"/>
      <c r="E365" s="64"/>
      <c r="F365" s="64"/>
      <c r="G365" s="64"/>
      <c r="H365" s="64"/>
      <c r="I365" s="64"/>
    </row>
    <row r="366" spans="3:9" x14ac:dyDescent="0.2">
      <c r="C366" s="64"/>
      <c r="D366" s="64"/>
      <c r="E366" s="64"/>
      <c r="F366" s="64"/>
      <c r="G366" s="64"/>
      <c r="H366" s="64"/>
      <c r="I366" s="64"/>
    </row>
    <row r="367" spans="3:9" x14ac:dyDescent="0.2">
      <c r="C367" s="64"/>
      <c r="D367" s="64"/>
      <c r="E367" s="64"/>
      <c r="F367" s="64"/>
      <c r="G367" s="64"/>
      <c r="H367" s="64"/>
      <c r="I367" s="64"/>
    </row>
    <row r="368" spans="3:9" x14ac:dyDescent="0.2">
      <c r="C368" s="64"/>
      <c r="D368" s="64"/>
      <c r="E368" s="64"/>
      <c r="F368" s="64"/>
      <c r="G368" s="64"/>
      <c r="H368" s="64"/>
      <c r="I368" s="64"/>
    </row>
    <row r="369" spans="3:9" x14ac:dyDescent="0.2">
      <c r="C369" s="64"/>
      <c r="D369" s="64"/>
      <c r="E369" s="64"/>
      <c r="F369" s="64"/>
      <c r="G369" s="64"/>
      <c r="H369" s="64"/>
      <c r="I369" s="64"/>
    </row>
    <row r="370" spans="3:9" x14ac:dyDescent="0.2">
      <c r="C370" s="64"/>
      <c r="D370" s="64"/>
      <c r="E370" s="64"/>
      <c r="F370" s="64"/>
      <c r="G370" s="64"/>
      <c r="H370" s="64"/>
      <c r="I370" s="64"/>
    </row>
    <row r="371" spans="3:9" x14ac:dyDescent="0.2">
      <c r="C371" s="64"/>
      <c r="D371" s="64"/>
      <c r="E371" s="64"/>
      <c r="F371" s="64"/>
      <c r="G371" s="64"/>
      <c r="H371" s="64"/>
      <c r="I371" s="64"/>
    </row>
    <row r="372" spans="3:9" x14ac:dyDescent="0.2">
      <c r="C372" s="64"/>
      <c r="D372" s="64"/>
      <c r="E372" s="64"/>
      <c r="F372" s="64"/>
      <c r="G372" s="64"/>
      <c r="H372" s="64"/>
      <c r="I372" s="64"/>
    </row>
    <row r="373" spans="3:9" x14ac:dyDescent="0.2">
      <c r="C373" s="64"/>
      <c r="D373" s="64"/>
      <c r="E373" s="64"/>
      <c r="F373" s="64"/>
      <c r="G373" s="64"/>
      <c r="H373" s="64"/>
      <c r="I373" s="64"/>
    </row>
    <row r="374" spans="3:9" x14ac:dyDescent="0.2">
      <c r="C374" s="64"/>
      <c r="D374" s="64"/>
      <c r="E374" s="64"/>
      <c r="F374" s="64"/>
      <c r="G374" s="64"/>
      <c r="H374" s="64"/>
      <c r="I374" s="64"/>
    </row>
    <row r="375" spans="3:9" x14ac:dyDescent="0.2">
      <c r="C375" s="64"/>
      <c r="D375" s="64"/>
      <c r="E375" s="64"/>
      <c r="F375" s="64"/>
      <c r="G375" s="64"/>
      <c r="H375" s="64"/>
      <c r="I375" s="64"/>
    </row>
    <row r="376" spans="3:9" x14ac:dyDescent="0.2">
      <c r="C376" s="64"/>
      <c r="D376" s="64"/>
      <c r="E376" s="64"/>
      <c r="F376" s="64"/>
      <c r="G376" s="64"/>
      <c r="H376" s="64"/>
      <c r="I376" s="64"/>
    </row>
    <row r="377" spans="3:9" x14ac:dyDescent="0.2">
      <c r="C377" s="64"/>
      <c r="D377" s="64"/>
      <c r="E377" s="64"/>
      <c r="F377" s="64"/>
      <c r="G377" s="64"/>
      <c r="H377" s="64"/>
      <c r="I377" s="64"/>
    </row>
    <row r="378" spans="3:9" x14ac:dyDescent="0.2">
      <c r="C378" s="64"/>
      <c r="D378" s="64"/>
      <c r="E378" s="64"/>
      <c r="F378" s="64"/>
      <c r="G378" s="64"/>
      <c r="H378" s="64"/>
      <c r="I378" s="64"/>
    </row>
    <row r="379" spans="3:9" x14ac:dyDescent="0.2">
      <c r="C379" s="64"/>
      <c r="D379" s="64"/>
      <c r="E379" s="64"/>
      <c r="F379" s="64"/>
      <c r="G379" s="64"/>
      <c r="H379" s="64"/>
      <c r="I379" s="64"/>
    </row>
    <row r="380" spans="3:9" x14ac:dyDescent="0.2">
      <c r="C380" s="64"/>
      <c r="D380" s="64"/>
      <c r="E380" s="64"/>
      <c r="F380" s="64"/>
      <c r="G380" s="64"/>
      <c r="H380" s="64"/>
      <c r="I380" s="64"/>
    </row>
    <row r="381" spans="3:9" x14ac:dyDescent="0.2">
      <c r="C381" s="64"/>
      <c r="D381" s="64"/>
      <c r="E381" s="64"/>
      <c r="F381" s="64"/>
      <c r="G381" s="64"/>
      <c r="H381" s="64"/>
      <c r="I381" s="64"/>
    </row>
    <row r="382" spans="3:9" x14ac:dyDescent="0.2">
      <c r="C382" s="64"/>
      <c r="D382" s="64"/>
      <c r="E382" s="64"/>
      <c r="F382" s="64"/>
      <c r="G382" s="64"/>
      <c r="H382" s="64"/>
      <c r="I382" s="64"/>
    </row>
    <row r="383" spans="3:9" x14ac:dyDescent="0.2">
      <c r="C383" s="64"/>
      <c r="D383" s="64"/>
      <c r="E383" s="64"/>
      <c r="F383" s="64"/>
      <c r="G383" s="64"/>
      <c r="H383" s="64"/>
      <c r="I383" s="64"/>
    </row>
    <row r="384" spans="3:9" x14ac:dyDescent="0.2">
      <c r="C384" s="64"/>
      <c r="D384" s="64"/>
      <c r="E384" s="64"/>
      <c r="F384" s="64"/>
      <c r="G384" s="64"/>
      <c r="H384" s="64"/>
      <c r="I384" s="64"/>
    </row>
    <row r="385" spans="3:9" x14ac:dyDescent="0.2">
      <c r="C385" s="64"/>
      <c r="D385" s="64"/>
      <c r="E385" s="64"/>
      <c r="F385" s="64"/>
      <c r="G385" s="64"/>
      <c r="H385" s="64"/>
      <c r="I385" s="64"/>
    </row>
    <row r="386" spans="3:9" x14ac:dyDescent="0.2">
      <c r="C386" s="64"/>
      <c r="D386" s="64"/>
      <c r="E386" s="64"/>
      <c r="F386" s="64"/>
      <c r="G386" s="64"/>
      <c r="H386" s="64"/>
      <c r="I386" s="64"/>
    </row>
    <row r="387" spans="3:9" x14ac:dyDescent="0.2">
      <c r="C387" s="64"/>
      <c r="D387" s="64"/>
      <c r="E387" s="64"/>
      <c r="F387" s="64"/>
      <c r="G387" s="64"/>
      <c r="H387" s="64"/>
      <c r="I387" s="64"/>
    </row>
    <row r="388" spans="3:9" x14ac:dyDescent="0.2">
      <c r="C388" s="64"/>
      <c r="D388" s="64"/>
      <c r="E388" s="64"/>
      <c r="F388" s="64"/>
      <c r="G388" s="64"/>
      <c r="H388" s="64"/>
      <c r="I388" s="64"/>
    </row>
    <row r="389" spans="3:9" x14ac:dyDescent="0.2">
      <c r="C389" s="64"/>
      <c r="D389" s="64"/>
      <c r="E389" s="64"/>
      <c r="F389" s="64"/>
      <c r="G389" s="64"/>
      <c r="H389" s="64"/>
      <c r="I389" s="64"/>
    </row>
    <row r="390" spans="3:9" x14ac:dyDescent="0.2">
      <c r="C390" s="64"/>
      <c r="D390" s="64"/>
      <c r="E390" s="64"/>
      <c r="F390" s="64"/>
      <c r="G390" s="64"/>
      <c r="H390" s="64"/>
      <c r="I390" s="64"/>
    </row>
    <row r="391" spans="3:9" x14ac:dyDescent="0.2">
      <c r="C391" s="64"/>
      <c r="D391" s="64"/>
      <c r="E391" s="64"/>
      <c r="F391" s="64"/>
      <c r="G391" s="64"/>
      <c r="H391" s="64"/>
      <c r="I391" s="64"/>
    </row>
    <row r="392" spans="3:9" x14ac:dyDescent="0.2">
      <c r="C392" s="64"/>
      <c r="D392" s="64"/>
      <c r="E392" s="64"/>
      <c r="F392" s="64"/>
      <c r="G392" s="64"/>
      <c r="H392" s="64"/>
      <c r="I392" s="64"/>
    </row>
    <row r="393" spans="3:9" x14ac:dyDescent="0.2">
      <c r="C393" s="64"/>
      <c r="D393" s="64"/>
      <c r="E393" s="64"/>
      <c r="F393" s="64"/>
      <c r="G393" s="64"/>
      <c r="H393" s="64"/>
      <c r="I393" s="64"/>
    </row>
    <row r="394" spans="3:9" x14ac:dyDescent="0.2">
      <c r="C394" s="64"/>
      <c r="D394" s="64"/>
      <c r="E394" s="64"/>
      <c r="F394" s="64"/>
      <c r="G394" s="64"/>
      <c r="H394" s="64"/>
      <c r="I394" s="64"/>
    </row>
    <row r="395" spans="3:9" x14ac:dyDescent="0.2">
      <c r="C395" s="64"/>
      <c r="D395" s="64"/>
      <c r="E395" s="64"/>
      <c r="F395" s="64"/>
      <c r="G395" s="64"/>
      <c r="H395" s="64"/>
      <c r="I395" s="64"/>
    </row>
    <row r="396" spans="3:9" x14ac:dyDescent="0.2">
      <c r="C396" s="64"/>
      <c r="D396" s="64"/>
      <c r="E396" s="64"/>
      <c r="F396" s="64"/>
      <c r="G396" s="64"/>
      <c r="H396" s="64"/>
      <c r="I396" s="64"/>
    </row>
    <row r="397" spans="3:9" x14ac:dyDescent="0.2">
      <c r="C397" s="64"/>
      <c r="D397" s="64"/>
      <c r="E397" s="64"/>
      <c r="F397" s="64"/>
      <c r="G397" s="64"/>
      <c r="H397" s="64"/>
      <c r="I397" s="64"/>
    </row>
    <row r="398" spans="3:9" x14ac:dyDescent="0.2">
      <c r="C398" s="64"/>
      <c r="D398" s="64"/>
      <c r="E398" s="64"/>
      <c r="F398" s="64"/>
      <c r="G398" s="64"/>
      <c r="H398" s="64"/>
      <c r="I398" s="64"/>
    </row>
    <row r="399" spans="3:9" x14ac:dyDescent="0.2">
      <c r="C399" s="64"/>
      <c r="D399" s="64"/>
      <c r="E399" s="64"/>
      <c r="F399" s="64"/>
      <c r="G399" s="64"/>
      <c r="H399" s="64"/>
      <c r="I399" s="64"/>
    </row>
    <row r="400" spans="3:9" x14ac:dyDescent="0.2">
      <c r="C400" s="64"/>
      <c r="D400" s="64"/>
      <c r="E400" s="64"/>
      <c r="F400" s="64"/>
      <c r="G400" s="64"/>
      <c r="H400" s="64"/>
      <c r="I400" s="64"/>
    </row>
    <row r="401" spans="3:9" x14ac:dyDescent="0.2">
      <c r="C401" s="64"/>
      <c r="D401" s="64"/>
      <c r="E401" s="64"/>
      <c r="F401" s="64"/>
      <c r="G401" s="64"/>
      <c r="H401" s="64"/>
      <c r="I401" s="64"/>
    </row>
    <row r="402" spans="3:9" x14ac:dyDescent="0.2">
      <c r="C402" s="64"/>
      <c r="D402" s="64"/>
      <c r="E402" s="64"/>
      <c r="F402" s="64"/>
      <c r="G402" s="64"/>
      <c r="H402" s="64"/>
      <c r="I402" s="64"/>
    </row>
    <row r="403" spans="3:9" x14ac:dyDescent="0.2">
      <c r="C403" s="64"/>
      <c r="D403" s="64"/>
      <c r="E403" s="64"/>
      <c r="F403" s="64"/>
      <c r="G403" s="64"/>
      <c r="H403" s="64"/>
      <c r="I403" s="64"/>
    </row>
    <row r="404" spans="3:9" x14ac:dyDescent="0.2">
      <c r="C404" s="64"/>
      <c r="D404" s="64"/>
      <c r="E404" s="64"/>
      <c r="F404" s="64"/>
      <c r="G404" s="64"/>
      <c r="H404" s="64"/>
      <c r="I404" s="64"/>
    </row>
    <row r="405" spans="3:9" x14ac:dyDescent="0.2">
      <c r="C405" s="64"/>
      <c r="D405" s="64"/>
      <c r="E405" s="64"/>
      <c r="F405" s="64"/>
      <c r="G405" s="64"/>
      <c r="H405" s="64"/>
      <c r="I405" s="64"/>
    </row>
    <row r="406" spans="3:9" x14ac:dyDescent="0.2">
      <c r="C406" s="64"/>
      <c r="D406" s="64"/>
      <c r="E406" s="64"/>
      <c r="F406" s="64"/>
      <c r="G406" s="64"/>
      <c r="H406" s="64"/>
      <c r="I406" s="64"/>
    </row>
    <row r="407" spans="3:9" x14ac:dyDescent="0.2">
      <c r="C407" s="64"/>
      <c r="D407" s="64"/>
      <c r="E407" s="64"/>
      <c r="F407" s="64"/>
      <c r="G407" s="64"/>
      <c r="H407" s="64"/>
      <c r="I407" s="64"/>
    </row>
    <row r="408" spans="3:9" x14ac:dyDescent="0.2">
      <c r="C408" s="64"/>
      <c r="D408" s="64"/>
      <c r="E408" s="64"/>
      <c r="F408" s="64"/>
      <c r="G408" s="64"/>
      <c r="H408" s="64"/>
      <c r="I408" s="64"/>
    </row>
    <row r="409" spans="3:9" x14ac:dyDescent="0.2">
      <c r="C409" s="64"/>
      <c r="D409" s="64"/>
      <c r="E409" s="64"/>
      <c r="F409" s="64"/>
      <c r="G409" s="64"/>
      <c r="H409" s="64"/>
      <c r="I409" s="64"/>
    </row>
    <row r="410" spans="3:9" x14ac:dyDescent="0.2">
      <c r="C410" s="64"/>
      <c r="D410" s="64"/>
      <c r="E410" s="64"/>
      <c r="F410" s="64"/>
      <c r="G410" s="64"/>
      <c r="H410" s="64"/>
      <c r="I410" s="64"/>
    </row>
    <row r="411" spans="3:9" x14ac:dyDescent="0.2">
      <c r="C411" s="64"/>
      <c r="D411" s="64"/>
      <c r="E411" s="64"/>
      <c r="F411" s="64"/>
      <c r="G411" s="64"/>
      <c r="H411" s="64"/>
      <c r="I411" s="64"/>
    </row>
    <row r="412" spans="3:9" x14ac:dyDescent="0.2">
      <c r="C412" s="64"/>
      <c r="D412" s="64"/>
      <c r="E412" s="64"/>
      <c r="F412" s="64"/>
      <c r="G412" s="64"/>
      <c r="H412" s="64"/>
      <c r="I412" s="64"/>
    </row>
    <row r="413" spans="3:9" x14ac:dyDescent="0.2">
      <c r="C413" s="64"/>
      <c r="D413" s="64"/>
      <c r="E413" s="64"/>
      <c r="F413" s="64"/>
      <c r="G413" s="64"/>
      <c r="H413" s="64"/>
      <c r="I413" s="64"/>
    </row>
    <row r="414" spans="3:9" x14ac:dyDescent="0.2">
      <c r="C414" s="64"/>
      <c r="D414" s="64"/>
      <c r="E414" s="64"/>
      <c r="F414" s="64"/>
      <c r="G414" s="64"/>
      <c r="H414" s="64"/>
      <c r="I414" s="64"/>
    </row>
    <row r="415" spans="3:9" x14ac:dyDescent="0.2">
      <c r="C415" s="64"/>
      <c r="D415" s="64"/>
      <c r="E415" s="64"/>
      <c r="F415" s="64"/>
      <c r="G415" s="64"/>
      <c r="H415" s="64"/>
      <c r="I415" s="64"/>
    </row>
    <row r="416" spans="3:9" x14ac:dyDescent="0.2">
      <c r="C416" s="64"/>
      <c r="D416" s="64"/>
      <c r="E416" s="64"/>
      <c r="F416" s="64"/>
      <c r="G416" s="64"/>
      <c r="H416" s="64"/>
      <c r="I416" s="64"/>
    </row>
    <row r="417" spans="3:9" x14ac:dyDescent="0.2">
      <c r="C417" s="64"/>
      <c r="D417" s="64"/>
      <c r="E417" s="64"/>
      <c r="F417" s="64"/>
      <c r="G417" s="64"/>
      <c r="H417" s="64"/>
      <c r="I417" s="64"/>
    </row>
    <row r="418" spans="3:9" x14ac:dyDescent="0.2">
      <c r="C418" s="64"/>
      <c r="D418" s="64"/>
      <c r="E418" s="64"/>
      <c r="F418" s="64"/>
      <c r="G418" s="64"/>
      <c r="H418" s="64"/>
      <c r="I418" s="64"/>
    </row>
    <row r="419" spans="3:9" x14ac:dyDescent="0.2">
      <c r="C419" s="64"/>
      <c r="D419" s="64"/>
      <c r="E419" s="64"/>
      <c r="F419" s="64"/>
      <c r="G419" s="64"/>
      <c r="H419" s="64"/>
      <c r="I419" s="64"/>
    </row>
    <row r="420" spans="3:9" x14ac:dyDescent="0.2">
      <c r="C420" s="64"/>
      <c r="D420" s="64"/>
      <c r="E420" s="64"/>
      <c r="F420" s="64"/>
      <c r="G420" s="64"/>
      <c r="H420" s="64"/>
      <c r="I420" s="64"/>
    </row>
    <row r="421" spans="3:9" x14ac:dyDescent="0.2">
      <c r="C421" s="64"/>
      <c r="D421" s="64"/>
      <c r="E421" s="64"/>
      <c r="F421" s="64"/>
      <c r="G421" s="64"/>
      <c r="H421" s="64"/>
      <c r="I421" s="64"/>
    </row>
    <row r="422" spans="3:9" x14ac:dyDescent="0.2">
      <c r="C422" s="64"/>
      <c r="D422" s="64"/>
      <c r="E422" s="64"/>
      <c r="F422" s="64"/>
      <c r="G422" s="64"/>
      <c r="H422" s="64"/>
      <c r="I422" s="64"/>
    </row>
    <row r="423" spans="3:9" x14ac:dyDescent="0.2">
      <c r="C423" s="64"/>
      <c r="D423" s="64"/>
      <c r="E423" s="64"/>
      <c r="F423" s="64"/>
      <c r="G423" s="64"/>
      <c r="H423" s="64"/>
      <c r="I423" s="64"/>
    </row>
    <row r="424" spans="3:9" x14ac:dyDescent="0.2">
      <c r="C424" s="64"/>
      <c r="D424" s="64"/>
      <c r="E424" s="64"/>
      <c r="F424" s="64"/>
      <c r="G424" s="64"/>
      <c r="H424" s="64"/>
      <c r="I424" s="64"/>
    </row>
    <row r="425" spans="3:9" x14ac:dyDescent="0.2">
      <c r="C425" s="64"/>
      <c r="D425" s="64"/>
      <c r="E425" s="64"/>
      <c r="F425" s="64"/>
      <c r="G425" s="64"/>
      <c r="H425" s="64"/>
      <c r="I425" s="64"/>
    </row>
    <row r="426" spans="3:9" x14ac:dyDescent="0.2">
      <c r="C426" s="64"/>
      <c r="D426" s="64"/>
      <c r="E426" s="64"/>
      <c r="F426" s="64"/>
      <c r="G426" s="64"/>
      <c r="H426" s="64"/>
      <c r="I426" s="64"/>
    </row>
    <row r="427" spans="3:9" x14ac:dyDescent="0.2">
      <c r="C427" s="64"/>
      <c r="D427" s="64"/>
      <c r="E427" s="64"/>
      <c r="F427" s="64"/>
      <c r="G427" s="64"/>
      <c r="H427" s="64"/>
      <c r="I427" s="64"/>
    </row>
    <row r="428" spans="3:9" x14ac:dyDescent="0.2">
      <c r="C428" s="64"/>
      <c r="D428" s="64"/>
      <c r="E428" s="64"/>
      <c r="F428" s="64"/>
      <c r="G428" s="64"/>
      <c r="H428" s="64"/>
      <c r="I428" s="64"/>
    </row>
    <row r="429" spans="3:9" x14ac:dyDescent="0.2">
      <c r="C429" s="64"/>
      <c r="D429" s="64"/>
      <c r="E429" s="64"/>
      <c r="F429" s="64"/>
      <c r="G429" s="64"/>
      <c r="H429" s="64"/>
      <c r="I429" s="64"/>
    </row>
    <row r="430" spans="3:9" x14ac:dyDescent="0.2">
      <c r="C430" s="64"/>
      <c r="D430" s="64"/>
      <c r="E430" s="64"/>
      <c r="F430" s="64"/>
      <c r="G430" s="64"/>
      <c r="H430" s="64"/>
      <c r="I430" s="64"/>
    </row>
    <row r="431" spans="3:9" x14ac:dyDescent="0.2">
      <c r="C431" s="64"/>
      <c r="D431" s="64"/>
      <c r="E431" s="64"/>
      <c r="F431" s="64"/>
      <c r="G431" s="64"/>
      <c r="H431" s="64"/>
      <c r="I431" s="64"/>
    </row>
    <row r="432" spans="3:9" x14ac:dyDescent="0.2">
      <c r="C432" s="64"/>
      <c r="D432" s="64"/>
      <c r="E432" s="64"/>
      <c r="F432" s="64"/>
      <c r="G432" s="64"/>
      <c r="H432" s="64"/>
      <c r="I432" s="64"/>
    </row>
    <row r="433" spans="3:9" x14ac:dyDescent="0.2">
      <c r="C433" s="64"/>
      <c r="D433" s="64"/>
      <c r="E433" s="64"/>
      <c r="F433" s="64"/>
      <c r="G433" s="64"/>
      <c r="H433" s="64"/>
      <c r="I433" s="64"/>
    </row>
    <row r="434" spans="3:9" x14ac:dyDescent="0.2">
      <c r="C434" s="64"/>
      <c r="D434" s="64"/>
      <c r="E434" s="64"/>
      <c r="F434" s="64"/>
      <c r="G434" s="64"/>
      <c r="H434" s="64"/>
      <c r="I434" s="64"/>
    </row>
    <row r="435" spans="3:9" x14ac:dyDescent="0.2">
      <c r="C435" s="64"/>
      <c r="D435" s="64"/>
      <c r="E435" s="64"/>
      <c r="F435" s="64"/>
      <c r="G435" s="64"/>
      <c r="H435" s="64"/>
      <c r="I435" s="64"/>
    </row>
    <row r="436" spans="3:9" x14ac:dyDescent="0.2">
      <c r="C436" s="64"/>
      <c r="D436" s="64"/>
      <c r="E436" s="64"/>
      <c r="F436" s="64"/>
      <c r="G436" s="64"/>
      <c r="H436" s="64"/>
      <c r="I436" s="64"/>
    </row>
    <row r="437" spans="3:9" x14ac:dyDescent="0.2">
      <c r="C437" s="64"/>
      <c r="D437" s="64"/>
      <c r="E437" s="64"/>
      <c r="F437" s="64"/>
      <c r="G437" s="64"/>
      <c r="H437" s="64"/>
      <c r="I437" s="64"/>
    </row>
    <row r="438" spans="3:9" x14ac:dyDescent="0.2">
      <c r="C438" s="64"/>
      <c r="D438" s="64"/>
      <c r="E438" s="64"/>
      <c r="F438" s="64"/>
      <c r="G438" s="64"/>
      <c r="H438" s="64"/>
      <c r="I438" s="64"/>
    </row>
    <row r="439" spans="3:9" x14ac:dyDescent="0.2">
      <c r="C439" s="64"/>
      <c r="D439" s="64"/>
      <c r="E439" s="64"/>
      <c r="F439" s="64"/>
      <c r="G439" s="64"/>
      <c r="H439" s="64"/>
      <c r="I439" s="64"/>
    </row>
    <row r="440" spans="3:9" x14ac:dyDescent="0.2">
      <c r="C440" s="64"/>
      <c r="D440" s="64"/>
      <c r="E440" s="64"/>
      <c r="F440" s="64"/>
      <c r="G440" s="64"/>
      <c r="H440" s="64"/>
      <c r="I440" s="64"/>
    </row>
    <row r="441" spans="3:9" x14ac:dyDescent="0.2">
      <c r="C441" s="64"/>
      <c r="D441" s="64"/>
      <c r="E441" s="64"/>
      <c r="F441" s="64"/>
      <c r="G441" s="64"/>
      <c r="H441" s="64"/>
      <c r="I441" s="64"/>
    </row>
    <row r="442" spans="3:9" x14ac:dyDescent="0.2">
      <c r="C442" s="64"/>
      <c r="D442" s="64"/>
      <c r="E442" s="64"/>
      <c r="F442" s="64"/>
      <c r="G442" s="64"/>
      <c r="H442" s="64"/>
      <c r="I442" s="64"/>
    </row>
    <row r="443" spans="3:9" x14ac:dyDescent="0.2">
      <c r="C443" s="64"/>
      <c r="D443" s="64"/>
      <c r="E443" s="64"/>
      <c r="F443" s="64"/>
      <c r="G443" s="64"/>
      <c r="H443" s="64"/>
      <c r="I443" s="64"/>
    </row>
    <row r="444" spans="3:9" x14ac:dyDescent="0.2">
      <c r="C444" s="64"/>
      <c r="D444" s="64"/>
      <c r="E444" s="64"/>
      <c r="F444" s="64"/>
      <c r="G444" s="64"/>
      <c r="H444" s="64"/>
      <c r="I444" s="64"/>
    </row>
    <row r="445" spans="3:9" x14ac:dyDescent="0.2">
      <c r="C445" s="64"/>
      <c r="D445" s="64"/>
      <c r="E445" s="64"/>
      <c r="F445" s="64"/>
      <c r="G445" s="64"/>
      <c r="H445" s="64"/>
      <c r="I445" s="64"/>
    </row>
    <row r="446" spans="3:9" x14ac:dyDescent="0.2">
      <c r="C446" s="64"/>
      <c r="D446" s="64"/>
      <c r="E446" s="64"/>
      <c r="F446" s="64"/>
      <c r="G446" s="64"/>
      <c r="H446" s="64"/>
      <c r="I446" s="64"/>
    </row>
    <row r="447" spans="3:9" x14ac:dyDescent="0.2">
      <c r="C447" s="64"/>
      <c r="D447" s="64"/>
      <c r="E447" s="64"/>
      <c r="F447" s="64"/>
      <c r="G447" s="64"/>
      <c r="H447" s="64"/>
      <c r="I447" s="64"/>
    </row>
    <row r="448" spans="3:9" x14ac:dyDescent="0.2">
      <c r="C448" s="64"/>
      <c r="D448" s="64"/>
      <c r="E448" s="64"/>
      <c r="F448" s="64"/>
      <c r="G448" s="64"/>
      <c r="H448" s="64"/>
      <c r="I448" s="64"/>
    </row>
    <row r="449" spans="3:9" x14ac:dyDescent="0.2">
      <c r="C449" s="64"/>
      <c r="D449" s="64"/>
      <c r="E449" s="64"/>
      <c r="F449" s="64"/>
      <c r="G449" s="64"/>
      <c r="H449" s="64"/>
      <c r="I449" s="64"/>
    </row>
    <row r="450" spans="3:9" x14ac:dyDescent="0.2">
      <c r="C450" s="64"/>
      <c r="D450" s="64"/>
      <c r="E450" s="64"/>
      <c r="F450" s="64"/>
      <c r="G450" s="64"/>
      <c r="H450" s="64"/>
      <c r="I450" s="64"/>
    </row>
    <row r="451" spans="3:9" x14ac:dyDescent="0.2">
      <c r="C451" s="64"/>
      <c r="D451" s="64"/>
      <c r="E451" s="64"/>
      <c r="F451" s="64"/>
      <c r="G451" s="64"/>
      <c r="H451" s="64"/>
      <c r="I451" s="64"/>
    </row>
    <row r="452" spans="3:9" x14ac:dyDescent="0.2">
      <c r="C452" s="64"/>
      <c r="D452" s="64"/>
      <c r="E452" s="64"/>
      <c r="F452" s="64"/>
      <c r="G452" s="64"/>
      <c r="H452" s="64"/>
      <c r="I452" s="64"/>
    </row>
    <row r="453" spans="3:9" x14ac:dyDescent="0.2">
      <c r="C453" s="64"/>
      <c r="D453" s="64"/>
      <c r="E453" s="64"/>
      <c r="F453" s="64"/>
      <c r="G453" s="64"/>
      <c r="H453" s="64"/>
      <c r="I453" s="64"/>
    </row>
    <row r="454" spans="3:9" x14ac:dyDescent="0.2">
      <c r="C454" s="64"/>
      <c r="D454" s="64"/>
      <c r="E454" s="64"/>
      <c r="F454" s="64"/>
      <c r="G454" s="64"/>
      <c r="H454" s="64"/>
      <c r="I454" s="64"/>
    </row>
    <row r="455" spans="3:9" x14ac:dyDescent="0.2">
      <c r="C455" s="64"/>
      <c r="D455" s="64"/>
      <c r="E455" s="64"/>
      <c r="F455" s="64"/>
      <c r="G455" s="64"/>
      <c r="H455" s="64"/>
      <c r="I455" s="64"/>
    </row>
    <row r="456" spans="3:9" x14ac:dyDescent="0.2">
      <c r="C456" s="64"/>
      <c r="D456" s="64"/>
      <c r="E456" s="64"/>
      <c r="F456" s="64"/>
      <c r="G456" s="64"/>
      <c r="H456" s="64"/>
      <c r="I456" s="64"/>
    </row>
    <row r="457" spans="3:9" x14ac:dyDescent="0.2">
      <c r="C457" s="64"/>
      <c r="D457" s="64"/>
      <c r="E457" s="64"/>
      <c r="F457" s="64"/>
      <c r="G457" s="64"/>
      <c r="H457" s="64"/>
      <c r="I457" s="64"/>
    </row>
    <row r="458" spans="3:9" x14ac:dyDescent="0.2">
      <c r="C458" s="64"/>
      <c r="D458" s="64"/>
      <c r="E458" s="64"/>
      <c r="F458" s="64"/>
      <c r="G458" s="64"/>
      <c r="H458" s="64"/>
      <c r="I458" s="64"/>
    </row>
    <row r="459" spans="3:9" x14ac:dyDescent="0.2">
      <c r="C459" s="64"/>
      <c r="D459" s="64"/>
      <c r="E459" s="64"/>
      <c r="F459" s="64"/>
      <c r="G459" s="64"/>
      <c r="H459" s="64"/>
      <c r="I459" s="64"/>
    </row>
    <row r="460" spans="3:9" x14ac:dyDescent="0.2">
      <c r="C460" s="64"/>
      <c r="D460" s="64"/>
      <c r="E460" s="64"/>
      <c r="F460" s="64"/>
      <c r="G460" s="64"/>
      <c r="H460" s="64"/>
      <c r="I460" s="64"/>
    </row>
    <row r="461" spans="3:9" x14ac:dyDescent="0.2">
      <c r="C461" s="64"/>
      <c r="D461" s="64"/>
      <c r="E461" s="64"/>
      <c r="F461" s="64"/>
      <c r="G461" s="64"/>
      <c r="H461" s="64"/>
      <c r="I461" s="64"/>
    </row>
    <row r="462" spans="3:9" x14ac:dyDescent="0.2">
      <c r="C462" s="64"/>
      <c r="D462" s="64"/>
      <c r="E462" s="64"/>
      <c r="F462" s="64"/>
      <c r="G462" s="64"/>
      <c r="H462" s="64"/>
      <c r="I462" s="64"/>
    </row>
    <row r="463" spans="3:9" x14ac:dyDescent="0.2">
      <c r="C463" s="64"/>
      <c r="D463" s="64"/>
      <c r="E463" s="64"/>
      <c r="F463" s="64"/>
      <c r="G463" s="64"/>
      <c r="H463" s="64"/>
      <c r="I463" s="64"/>
    </row>
    <row r="464" spans="3:9" x14ac:dyDescent="0.2">
      <c r="C464" s="64"/>
      <c r="D464" s="64"/>
      <c r="E464" s="64"/>
      <c r="F464" s="64"/>
      <c r="G464" s="64"/>
      <c r="H464" s="64"/>
      <c r="I464" s="64"/>
    </row>
    <row r="465" spans="3:9" x14ac:dyDescent="0.2">
      <c r="C465" s="64"/>
      <c r="D465" s="64"/>
      <c r="E465" s="64"/>
      <c r="F465" s="64"/>
      <c r="G465" s="64"/>
      <c r="H465" s="64"/>
      <c r="I465" s="64"/>
    </row>
    <row r="466" spans="3:9" x14ac:dyDescent="0.2">
      <c r="C466" s="64"/>
      <c r="D466" s="64"/>
      <c r="E466" s="64"/>
      <c r="F466" s="64"/>
      <c r="G466" s="64"/>
      <c r="H466" s="64"/>
      <c r="I466" s="64"/>
    </row>
    <row r="467" spans="3:9" x14ac:dyDescent="0.2">
      <c r="C467" s="64"/>
      <c r="D467" s="64"/>
      <c r="E467" s="64"/>
      <c r="F467" s="64"/>
      <c r="G467" s="64"/>
      <c r="H467" s="64"/>
      <c r="I467" s="64"/>
    </row>
    <row r="468" spans="3:9" x14ac:dyDescent="0.2">
      <c r="C468" s="64"/>
      <c r="D468" s="64"/>
      <c r="E468" s="64"/>
      <c r="F468" s="64"/>
      <c r="G468" s="64"/>
      <c r="H468" s="64"/>
      <c r="I468" s="64"/>
    </row>
    <row r="469" spans="3:9" x14ac:dyDescent="0.2">
      <c r="C469" s="64"/>
      <c r="D469" s="64"/>
      <c r="E469" s="64"/>
      <c r="F469" s="64"/>
      <c r="G469" s="64"/>
      <c r="H469" s="64"/>
      <c r="I469" s="64"/>
    </row>
    <row r="470" spans="3:9" x14ac:dyDescent="0.2">
      <c r="C470" s="64"/>
      <c r="D470" s="64"/>
      <c r="E470" s="64"/>
      <c r="F470" s="64"/>
      <c r="G470" s="64"/>
      <c r="H470" s="64"/>
      <c r="I470" s="64"/>
    </row>
    <row r="471" spans="3:9" x14ac:dyDescent="0.2">
      <c r="C471" s="64"/>
      <c r="D471" s="64"/>
      <c r="E471" s="64"/>
      <c r="F471" s="64"/>
      <c r="G471" s="64"/>
      <c r="H471" s="64"/>
      <c r="I471" s="64"/>
    </row>
    <row r="472" spans="3:9" x14ac:dyDescent="0.2">
      <c r="C472" s="64"/>
      <c r="D472" s="64"/>
      <c r="E472" s="64"/>
      <c r="F472" s="64"/>
      <c r="G472" s="64"/>
      <c r="H472" s="64"/>
      <c r="I472" s="64"/>
    </row>
    <row r="473" spans="3:9" x14ac:dyDescent="0.2">
      <c r="C473" s="64"/>
      <c r="D473" s="64"/>
      <c r="E473" s="64"/>
      <c r="F473" s="64"/>
      <c r="G473" s="64"/>
      <c r="H473" s="64"/>
      <c r="I473" s="64"/>
    </row>
    <row r="474" spans="3:9" x14ac:dyDescent="0.2">
      <c r="C474" s="64"/>
      <c r="D474" s="64"/>
      <c r="E474" s="64"/>
      <c r="F474" s="64"/>
      <c r="G474" s="64"/>
      <c r="H474" s="64"/>
      <c r="I474" s="64"/>
    </row>
    <row r="475" spans="3:9" x14ac:dyDescent="0.2">
      <c r="C475" s="64"/>
      <c r="D475" s="64"/>
      <c r="E475" s="64"/>
      <c r="F475" s="64"/>
      <c r="G475" s="64"/>
      <c r="H475" s="64"/>
      <c r="I475" s="64"/>
    </row>
    <row r="476" spans="3:9" x14ac:dyDescent="0.2">
      <c r="C476" s="64"/>
      <c r="D476" s="64"/>
      <c r="E476" s="64"/>
      <c r="F476" s="64"/>
      <c r="G476" s="64"/>
      <c r="H476" s="64"/>
      <c r="I476" s="64"/>
    </row>
    <row r="477" spans="3:9" x14ac:dyDescent="0.2">
      <c r="C477" s="64"/>
      <c r="D477" s="64"/>
      <c r="E477" s="64"/>
      <c r="F477" s="64"/>
      <c r="G477" s="64"/>
      <c r="H477" s="64"/>
      <c r="I477" s="64"/>
    </row>
    <row r="478" spans="3:9" x14ac:dyDescent="0.2">
      <c r="C478" s="64"/>
      <c r="D478" s="64"/>
      <c r="E478" s="64"/>
      <c r="F478" s="64"/>
      <c r="G478" s="64"/>
      <c r="H478" s="64"/>
      <c r="I478" s="64"/>
    </row>
    <row r="479" spans="3:9" x14ac:dyDescent="0.2">
      <c r="C479" s="64"/>
      <c r="D479" s="64"/>
      <c r="E479" s="64"/>
      <c r="F479" s="64"/>
      <c r="G479" s="64"/>
      <c r="H479" s="64"/>
      <c r="I479" s="64"/>
    </row>
    <row r="480" spans="3:9" x14ac:dyDescent="0.2">
      <c r="C480" s="64"/>
      <c r="D480" s="64"/>
      <c r="E480" s="64"/>
      <c r="F480" s="64"/>
      <c r="G480" s="64"/>
      <c r="H480" s="64"/>
      <c r="I480" s="64"/>
    </row>
    <row r="481" spans="3:9" x14ac:dyDescent="0.2">
      <c r="C481" s="64"/>
      <c r="D481" s="64"/>
      <c r="E481" s="64"/>
      <c r="F481" s="64"/>
      <c r="G481" s="64"/>
      <c r="H481" s="64"/>
      <c r="I481" s="64"/>
    </row>
    <row r="482" spans="3:9" x14ac:dyDescent="0.2">
      <c r="C482" s="64"/>
      <c r="D482" s="64"/>
      <c r="E482" s="64"/>
      <c r="F482" s="64"/>
      <c r="G482" s="64"/>
      <c r="H482" s="64"/>
      <c r="I482" s="64"/>
    </row>
    <row r="483" spans="3:9" x14ac:dyDescent="0.2">
      <c r="C483" s="64"/>
      <c r="D483" s="64"/>
      <c r="E483" s="64"/>
      <c r="F483" s="64"/>
      <c r="G483" s="64"/>
      <c r="H483" s="64"/>
      <c r="I483" s="64"/>
    </row>
    <row r="484" spans="3:9" x14ac:dyDescent="0.2">
      <c r="C484" s="64"/>
      <c r="D484" s="64"/>
      <c r="E484" s="64"/>
      <c r="F484" s="64"/>
      <c r="G484" s="64"/>
      <c r="H484" s="64"/>
      <c r="I484" s="64"/>
    </row>
    <row r="485" spans="3:9" x14ac:dyDescent="0.2">
      <c r="C485" s="64"/>
      <c r="D485" s="64"/>
      <c r="E485" s="64"/>
      <c r="F485" s="64"/>
      <c r="G485" s="64"/>
      <c r="H485" s="64"/>
      <c r="I485" s="64"/>
    </row>
    <row r="486" spans="3:9" x14ac:dyDescent="0.2">
      <c r="C486" s="64"/>
      <c r="D486" s="64"/>
      <c r="E486" s="64"/>
      <c r="F486" s="64"/>
      <c r="G486" s="64"/>
      <c r="H486" s="64"/>
      <c r="I486" s="64"/>
    </row>
    <row r="487" spans="3:9" x14ac:dyDescent="0.2">
      <c r="C487" s="64"/>
      <c r="D487" s="64"/>
      <c r="E487" s="64"/>
      <c r="F487" s="64"/>
      <c r="G487" s="64"/>
      <c r="H487" s="64"/>
      <c r="I487" s="64"/>
    </row>
    <row r="488" spans="3:9" x14ac:dyDescent="0.2">
      <c r="C488" s="64"/>
      <c r="D488" s="64"/>
      <c r="E488" s="64"/>
      <c r="F488" s="64"/>
      <c r="G488" s="64"/>
      <c r="H488" s="64"/>
      <c r="I488" s="64"/>
    </row>
    <row r="489" spans="3:9" x14ac:dyDescent="0.2">
      <c r="C489" s="64"/>
      <c r="D489" s="64"/>
      <c r="E489" s="64"/>
      <c r="F489" s="64"/>
      <c r="G489" s="64"/>
      <c r="H489" s="64"/>
      <c r="I489" s="64"/>
    </row>
    <row r="490" spans="3:9" x14ac:dyDescent="0.2">
      <c r="C490" s="64"/>
      <c r="D490" s="64"/>
      <c r="E490" s="64"/>
      <c r="F490" s="64"/>
      <c r="G490" s="64"/>
      <c r="H490" s="64"/>
      <c r="I490" s="64"/>
    </row>
    <row r="491" spans="3:9" x14ac:dyDescent="0.2">
      <c r="C491" s="64"/>
      <c r="D491" s="64"/>
      <c r="E491" s="64"/>
      <c r="F491" s="64"/>
      <c r="G491" s="64"/>
      <c r="H491" s="64"/>
      <c r="I491" s="64"/>
    </row>
    <row r="492" spans="3:9" x14ac:dyDescent="0.2">
      <c r="C492" s="64"/>
      <c r="D492" s="64"/>
      <c r="E492" s="64"/>
      <c r="F492" s="64"/>
      <c r="G492" s="64"/>
      <c r="H492" s="64"/>
      <c r="I492" s="64"/>
    </row>
    <row r="493" spans="3:9" x14ac:dyDescent="0.2">
      <c r="C493" s="64"/>
      <c r="D493" s="64"/>
      <c r="E493" s="64"/>
      <c r="F493" s="64"/>
      <c r="G493" s="64"/>
      <c r="H493" s="64"/>
      <c r="I493" s="64"/>
    </row>
    <row r="494" spans="3:9" x14ac:dyDescent="0.2">
      <c r="C494" s="64"/>
      <c r="D494" s="64"/>
      <c r="E494" s="64"/>
      <c r="F494" s="64"/>
      <c r="G494" s="64"/>
      <c r="H494" s="64"/>
      <c r="I494" s="64"/>
    </row>
    <row r="495" spans="3:9" x14ac:dyDescent="0.2">
      <c r="C495" s="64"/>
      <c r="D495" s="64"/>
      <c r="E495" s="64"/>
      <c r="F495" s="64"/>
      <c r="G495" s="64"/>
      <c r="H495" s="64"/>
      <c r="I495" s="64"/>
    </row>
    <row r="496" spans="3:9" x14ac:dyDescent="0.2">
      <c r="C496" s="64"/>
      <c r="D496" s="64"/>
      <c r="E496" s="64"/>
      <c r="F496" s="64"/>
      <c r="G496" s="64"/>
      <c r="H496" s="64"/>
      <c r="I496" s="64"/>
    </row>
    <row r="497" spans="3:9" x14ac:dyDescent="0.2">
      <c r="C497" s="64"/>
      <c r="D497" s="64"/>
      <c r="E497" s="64"/>
      <c r="F497" s="64"/>
      <c r="G497" s="64"/>
      <c r="H497" s="64"/>
      <c r="I497" s="64"/>
    </row>
    <row r="498" spans="3:9" x14ac:dyDescent="0.2">
      <c r="C498" s="64"/>
      <c r="D498" s="64"/>
      <c r="E498" s="64"/>
      <c r="F498" s="64"/>
      <c r="G498" s="64"/>
      <c r="H498" s="64"/>
      <c r="I498" s="64"/>
    </row>
    <row r="499" spans="3:9" x14ac:dyDescent="0.2">
      <c r="C499" s="64"/>
      <c r="D499" s="64"/>
      <c r="E499" s="64"/>
      <c r="F499" s="64"/>
      <c r="G499" s="64"/>
      <c r="H499" s="64"/>
      <c r="I499" s="64"/>
    </row>
    <row r="500" spans="3:9" x14ac:dyDescent="0.2">
      <c r="C500" s="64"/>
      <c r="D500" s="64"/>
      <c r="E500" s="64"/>
      <c r="F500" s="64"/>
      <c r="G500" s="64"/>
      <c r="H500" s="64"/>
      <c r="I500" s="64"/>
    </row>
    <row r="501" spans="3:9" x14ac:dyDescent="0.2">
      <c r="C501" s="64"/>
      <c r="D501" s="64"/>
      <c r="E501" s="64"/>
      <c r="F501" s="64"/>
      <c r="G501" s="64"/>
      <c r="H501" s="64"/>
      <c r="I501" s="64"/>
    </row>
    <row r="502" spans="3:9" x14ac:dyDescent="0.2">
      <c r="C502" s="64"/>
      <c r="D502" s="64"/>
      <c r="E502" s="64"/>
      <c r="F502" s="64"/>
      <c r="G502" s="64"/>
      <c r="H502" s="64"/>
      <c r="I502" s="64"/>
    </row>
    <row r="503" spans="3:9" x14ac:dyDescent="0.2">
      <c r="C503" s="64"/>
      <c r="D503" s="64"/>
      <c r="E503" s="64"/>
      <c r="F503" s="64"/>
      <c r="G503" s="64"/>
      <c r="H503" s="64"/>
      <c r="I503" s="64"/>
    </row>
    <row r="504" spans="3:9" x14ac:dyDescent="0.2">
      <c r="C504" s="64"/>
      <c r="D504" s="64"/>
      <c r="E504" s="64"/>
      <c r="F504" s="64"/>
      <c r="G504" s="64"/>
      <c r="H504" s="64"/>
      <c r="I504" s="64"/>
    </row>
    <row r="505" spans="3:9" x14ac:dyDescent="0.2">
      <c r="C505" s="64"/>
      <c r="D505" s="64"/>
      <c r="E505" s="64"/>
      <c r="F505" s="64"/>
      <c r="G505" s="64"/>
      <c r="H505" s="64"/>
      <c r="I505" s="64"/>
    </row>
    <row r="506" spans="3:9" x14ac:dyDescent="0.2">
      <c r="C506" s="64"/>
      <c r="D506" s="64"/>
      <c r="E506" s="64"/>
      <c r="F506" s="64"/>
      <c r="G506" s="64"/>
      <c r="H506" s="64"/>
      <c r="I506" s="64"/>
    </row>
    <row r="507" spans="3:9" x14ac:dyDescent="0.2">
      <c r="C507" s="64"/>
      <c r="D507" s="64"/>
      <c r="E507" s="64"/>
      <c r="F507" s="64"/>
      <c r="G507" s="64"/>
      <c r="H507" s="64"/>
      <c r="I507" s="64"/>
    </row>
    <row r="508" spans="3:9" x14ac:dyDescent="0.2">
      <c r="C508" s="64"/>
      <c r="D508" s="64"/>
      <c r="E508" s="64"/>
      <c r="F508" s="64"/>
      <c r="G508" s="64"/>
      <c r="H508" s="64"/>
      <c r="I508" s="64"/>
    </row>
    <row r="509" spans="3:9" x14ac:dyDescent="0.2">
      <c r="C509" s="64"/>
      <c r="D509" s="64"/>
      <c r="E509" s="64"/>
      <c r="F509" s="64"/>
      <c r="G509" s="64"/>
      <c r="H509" s="64"/>
      <c r="I509" s="64"/>
    </row>
    <row r="510" spans="3:9" x14ac:dyDescent="0.2">
      <c r="C510" s="64"/>
      <c r="D510" s="64"/>
      <c r="E510" s="64"/>
      <c r="F510" s="64"/>
      <c r="G510" s="64"/>
      <c r="H510" s="64"/>
      <c r="I510" s="64"/>
    </row>
    <row r="511" spans="3:9" x14ac:dyDescent="0.2">
      <c r="C511" s="64"/>
      <c r="D511" s="64"/>
      <c r="E511" s="64"/>
      <c r="F511" s="64"/>
      <c r="G511" s="64"/>
      <c r="H511" s="64"/>
      <c r="I511" s="64"/>
    </row>
    <row r="512" spans="3:9" x14ac:dyDescent="0.2">
      <c r="C512" s="64"/>
      <c r="D512" s="64"/>
      <c r="E512" s="64"/>
      <c r="F512" s="64"/>
      <c r="G512" s="64"/>
      <c r="H512" s="64"/>
      <c r="I512" s="64"/>
    </row>
    <row r="513" spans="3:9" x14ac:dyDescent="0.2">
      <c r="C513" s="64"/>
      <c r="D513" s="64"/>
      <c r="E513" s="64"/>
      <c r="F513" s="64"/>
      <c r="G513" s="64"/>
      <c r="H513" s="64"/>
      <c r="I513" s="64"/>
    </row>
    <row r="514" spans="3:9" x14ac:dyDescent="0.2">
      <c r="C514" s="64"/>
      <c r="D514" s="64"/>
      <c r="E514" s="64"/>
      <c r="F514" s="64"/>
      <c r="G514" s="64"/>
      <c r="H514" s="64"/>
      <c r="I514" s="64"/>
    </row>
    <row r="515" spans="3:9" x14ac:dyDescent="0.2">
      <c r="C515" s="64"/>
      <c r="D515" s="64"/>
      <c r="E515" s="64"/>
      <c r="F515" s="64"/>
      <c r="G515" s="64"/>
      <c r="H515" s="64"/>
      <c r="I515" s="64"/>
    </row>
  </sheetData>
  <hyperlinks>
    <hyperlink ref="K22" r:id="rId1" xr:uid="{F9E89C5A-7D4E-B546-A088-3ECE9C03CA2B}"/>
  </hyperlinks>
  <printOptions headings="1" gridLines="1"/>
  <pageMargins left="0.75" right="0.75" top="1" bottom="1" header="0.5" footer="0.5"/>
  <pageSetup paperSize="0" orientation="portrait" horizontalDpi="4294967292" verticalDpi="4294967292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7CF76-1223-5F43-9AC5-D5B30C7AA088}">
  <sheetPr codeName="Sheet6">
    <pageSetUpPr fitToPage="1"/>
  </sheetPr>
  <dimension ref="A1:H21"/>
  <sheetViews>
    <sheetView zoomScale="145" workbookViewId="0">
      <selection activeCell="C17" sqref="C17"/>
    </sheetView>
  </sheetViews>
  <sheetFormatPr baseColWidth="10" defaultColWidth="10.83203125" defaultRowHeight="14" x14ac:dyDescent="0.2"/>
  <cols>
    <col min="1" max="1" width="2.83203125" style="30" customWidth="1"/>
    <col min="2" max="2" width="21.5" style="30" bestFit="1" customWidth="1"/>
    <col min="3" max="3" width="19.6640625" style="29" bestFit="1" customWidth="1"/>
    <col min="4" max="4" width="10.83203125" style="30" customWidth="1"/>
    <col min="5" max="5" width="5.5" style="30" customWidth="1"/>
    <col min="6" max="6" width="10.83203125" style="29" customWidth="1"/>
    <col min="7" max="8" width="12.83203125" style="30" customWidth="1"/>
    <col min="9" max="16384" width="10.83203125" style="30"/>
  </cols>
  <sheetData>
    <row r="1" spans="1:8" ht="19" x14ac:dyDescent="0.25">
      <c r="A1" s="28" t="s">
        <v>121</v>
      </c>
    </row>
    <row r="3" spans="1:8" ht="15" thickBot="1" x14ac:dyDescent="0.25">
      <c r="C3" s="65" t="s">
        <v>97</v>
      </c>
      <c r="F3" s="30"/>
      <c r="G3" s="50" t="s">
        <v>96</v>
      </c>
    </row>
    <row r="4" spans="1:8" x14ac:dyDescent="0.2">
      <c r="B4" s="52" t="s">
        <v>95</v>
      </c>
      <c r="C4" s="35">
        <v>1</v>
      </c>
      <c r="E4" s="66"/>
      <c r="F4" s="67" t="s">
        <v>94</v>
      </c>
      <c r="G4" s="85" t="s">
        <v>93</v>
      </c>
      <c r="H4" s="86"/>
    </row>
    <row r="5" spans="1:8" x14ac:dyDescent="0.2">
      <c r="E5" s="68"/>
      <c r="F5" s="69" t="s">
        <v>92</v>
      </c>
      <c r="G5" s="70" t="s">
        <v>91</v>
      </c>
      <c r="H5" s="71" t="s">
        <v>90</v>
      </c>
    </row>
    <row r="6" spans="1:8" x14ac:dyDescent="0.2">
      <c r="B6" s="50" t="s">
        <v>89</v>
      </c>
      <c r="E6" s="72" t="s">
        <v>88</v>
      </c>
      <c r="F6" s="73">
        <v>1.3582778838893808</v>
      </c>
      <c r="G6" s="74">
        <v>1.286029205481064</v>
      </c>
      <c r="H6" s="75">
        <v>1.4305265622976975</v>
      </c>
    </row>
    <row r="7" spans="1:8" ht="16" x14ac:dyDescent="0.25">
      <c r="B7" s="52" t="s">
        <v>85</v>
      </c>
      <c r="C7" s="35" t="s">
        <v>98</v>
      </c>
      <c r="E7" s="72" t="s">
        <v>108</v>
      </c>
      <c r="F7" s="73">
        <v>0.68465293025881302</v>
      </c>
      <c r="G7" s="74">
        <v>0.62300466556510348</v>
      </c>
      <c r="H7" s="75">
        <v>0.74630119495252256</v>
      </c>
    </row>
    <row r="8" spans="1:8" x14ac:dyDescent="0.2">
      <c r="B8" s="52" t="str">
        <f>IF(C7="Constant","Value =",IF(C7="Erlang","Mean =",IF(C7="Exponential","Mean =",IF(C7="Translated Exponential","Minimum Value =","Minimum Value ="))))</f>
        <v>Mean =</v>
      </c>
      <c r="C8" s="35">
        <v>30</v>
      </c>
      <c r="E8" s="76" t="s">
        <v>87</v>
      </c>
      <c r="F8" s="77">
        <v>40.298869157507092</v>
      </c>
      <c r="G8" s="74">
        <v>38.744811510555159</v>
      </c>
      <c r="H8" s="75">
        <v>41.852926804459024</v>
      </c>
    </row>
    <row r="9" spans="1:8" ht="16" x14ac:dyDescent="0.25">
      <c r="B9" s="52" t="str">
        <f>IF(C7="Erlang","k =",IF(C7="Translated Exponential","Mean =",IF(C7="Uniform","Maximum Value =","")))</f>
        <v/>
      </c>
      <c r="C9" s="35"/>
      <c r="E9" s="76" t="s">
        <v>109</v>
      </c>
      <c r="F9" s="77">
        <v>20.313029595828088</v>
      </c>
      <c r="G9" s="74">
        <v>18.763556566919281</v>
      </c>
      <c r="H9" s="75">
        <v>21.862502624736894</v>
      </c>
    </row>
    <row r="10" spans="1:8" x14ac:dyDescent="0.2">
      <c r="E10" s="72"/>
      <c r="F10" s="73"/>
      <c r="G10" s="74"/>
      <c r="H10" s="75"/>
    </row>
    <row r="11" spans="1:8" ht="16" x14ac:dyDescent="0.25">
      <c r="B11" s="50" t="s">
        <v>86</v>
      </c>
      <c r="E11" s="72" t="s">
        <v>110</v>
      </c>
      <c r="F11" s="73">
        <v>0.32637504636943271</v>
      </c>
      <c r="G11" s="74">
        <v>0.31310314250679194</v>
      </c>
      <c r="H11" s="75">
        <v>0.33964695023207347</v>
      </c>
    </row>
    <row r="12" spans="1:8" ht="16" x14ac:dyDescent="0.25">
      <c r="B12" s="52" t="s">
        <v>85</v>
      </c>
      <c r="C12" s="35" t="s">
        <v>99</v>
      </c>
      <c r="E12" s="72" t="s">
        <v>111</v>
      </c>
      <c r="F12" s="73">
        <v>0.30661398172511478</v>
      </c>
      <c r="G12" s="74">
        <v>0.29757295297754011</v>
      </c>
      <c r="H12" s="75">
        <v>0.31565501047268946</v>
      </c>
    </row>
    <row r="13" spans="1:8" ht="16" x14ac:dyDescent="0.25">
      <c r="B13" s="52" t="str">
        <f>IF(C12="Constant","Value =",IF(C12="Erlang","Mean =",IF(C12="Exponential","Mean =",IF(C12="Translated Exponential","Minimum Value =","Minimum Value ="))))</f>
        <v>Minimum Value =</v>
      </c>
      <c r="C13" s="35">
        <v>15</v>
      </c>
      <c r="E13" s="72" t="s">
        <v>112</v>
      </c>
      <c r="F13" s="73">
        <v>0.18712043815987051</v>
      </c>
      <c r="G13" s="74">
        <v>0.180155196116006</v>
      </c>
      <c r="H13" s="75">
        <v>0.19408568020373501</v>
      </c>
    </row>
    <row r="14" spans="1:8" ht="16" x14ac:dyDescent="0.25">
      <c r="B14" s="52" t="str">
        <f>IF(C12="Erlang","k =",IF(C12="Translated Exponential","Mean =",IF(C12="Uniform","Maximum Value =","")))</f>
        <v>Maximum Value =</v>
      </c>
      <c r="C14" s="35">
        <v>25</v>
      </c>
      <c r="E14" s="72" t="s">
        <v>113</v>
      </c>
      <c r="F14" s="73">
        <v>9.8577836999076504E-2</v>
      </c>
      <c r="G14" s="74">
        <v>9.1346842114899574E-2</v>
      </c>
      <c r="H14" s="75">
        <v>0.10580883188325343</v>
      </c>
    </row>
    <row r="15" spans="1:8" ht="16" x14ac:dyDescent="0.25">
      <c r="E15" s="72" t="s">
        <v>114</v>
      </c>
      <c r="F15" s="73">
        <v>4.4807735257191623E-2</v>
      </c>
      <c r="G15" s="74">
        <v>3.9222103499823108E-2</v>
      </c>
      <c r="H15" s="75">
        <v>5.0393367014560139E-2</v>
      </c>
    </row>
    <row r="16" spans="1:8" ht="16" x14ac:dyDescent="0.25">
      <c r="B16" s="50" t="s">
        <v>84</v>
      </c>
      <c r="E16" s="72" t="s">
        <v>115</v>
      </c>
      <c r="F16" s="73">
        <v>2.2572455681317386E-2</v>
      </c>
      <c r="G16" s="74">
        <v>1.7768146756026802E-2</v>
      </c>
      <c r="H16" s="75">
        <v>2.737676460660797E-2</v>
      </c>
    </row>
    <row r="17" spans="2:8" ht="16" x14ac:dyDescent="0.25">
      <c r="B17" s="52" t="s">
        <v>83</v>
      </c>
      <c r="C17" s="78">
        <v>10000</v>
      </c>
      <c r="E17" s="72" t="s">
        <v>116</v>
      </c>
      <c r="F17" s="73">
        <v>9.4658763132588614E-3</v>
      </c>
      <c r="G17" s="74">
        <v>6.4020954355834981E-3</v>
      </c>
      <c r="H17" s="75">
        <v>1.2529657190934225E-2</v>
      </c>
    </row>
    <row r="18" spans="2:8" ht="16" x14ac:dyDescent="0.25">
      <c r="E18" s="72" t="s">
        <v>117</v>
      </c>
      <c r="F18" s="73">
        <v>3.2088231641512937E-3</v>
      </c>
      <c r="G18" s="74">
        <v>1.6643514297366676E-3</v>
      </c>
      <c r="H18" s="75">
        <v>4.7532948985659195E-3</v>
      </c>
    </row>
    <row r="19" spans="2:8" ht="16" x14ac:dyDescent="0.25">
      <c r="E19" s="72" t="s">
        <v>118</v>
      </c>
      <c r="F19" s="73">
        <v>9.8454064901557252E-4</v>
      </c>
      <c r="G19" s="74">
        <v>3.2334889576323463E-4</v>
      </c>
      <c r="H19" s="75">
        <v>1.6457324022679104E-3</v>
      </c>
    </row>
    <row r="20" spans="2:8" ht="16" x14ac:dyDescent="0.25">
      <c r="E20" s="72" t="s">
        <v>119</v>
      </c>
      <c r="F20" s="73">
        <v>2.6970662450277272E-4</v>
      </c>
      <c r="G20" s="74">
        <v>-1.5878054165293975E-4</v>
      </c>
      <c r="H20" s="75">
        <v>6.9819379065848525E-4</v>
      </c>
    </row>
    <row r="21" spans="2:8" ht="17" thickBot="1" x14ac:dyDescent="0.3">
      <c r="E21" s="79" t="s">
        <v>120</v>
      </c>
      <c r="F21" s="80">
        <v>3.5590570679867753E-6</v>
      </c>
      <c r="G21" s="81">
        <v>-3.3981876409008695E-6</v>
      </c>
      <c r="H21" s="82">
        <v>1.051630177687442E-5</v>
      </c>
    </row>
  </sheetData>
  <mergeCells count="1">
    <mergeCell ref="G4:H4"/>
  </mergeCells>
  <conditionalFormatting sqref="C9">
    <cfRule type="expression" dxfId="1" priority="1" stopIfTrue="1">
      <formula>OR(C7="Exponential",C7="Constant")</formula>
    </cfRule>
  </conditionalFormatting>
  <conditionalFormatting sqref="C14">
    <cfRule type="expression" dxfId="0" priority="2" stopIfTrue="1">
      <formula>OR(C12="Constant",C12="Exponential")</formula>
    </cfRule>
  </conditionalFormatting>
  <dataValidations count="3">
    <dataValidation type="whole" allowBlank="1" showInputMessage="1" showErrorMessage="1" error="The number of servers must be between 1 and 25 (inclusive)." sqref="C4" xr:uid="{00000000-0002-0000-0000-000003000000}">
      <formula1>1</formula1>
      <formula2>25</formula2>
    </dataValidation>
    <dataValidation type="whole" allowBlank="1" showInputMessage="1" showErrorMessage="1" error="The number of arrivals simulated must be an integer between 1 and 1,000,000." sqref="C17" xr:uid="{00000000-0002-0000-0000-000002000000}">
      <formula1>1</formula1>
      <formula2>1000000</formula2>
    </dataValidation>
    <dataValidation type="list" allowBlank="1" showInputMessage="1" showErrorMessage="1" sqref="C7 C12" xr:uid="{00000000-0002-0000-0000-000000000000}">
      <formula1>"Constant,Erlang,Exponential,Translated Exponential,Uniform"</formula1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3CE49-C489-D344-989C-1B741E67E0B2}">
  <sheetPr codeName="Sheet8">
    <pageSetUpPr fitToPage="1"/>
  </sheetPr>
  <dimension ref="A1:H21"/>
  <sheetViews>
    <sheetView topLeftCell="A9" zoomScale="145" workbookViewId="0">
      <selection activeCell="J26" sqref="J26"/>
    </sheetView>
  </sheetViews>
  <sheetFormatPr baseColWidth="10" defaultColWidth="10.83203125" defaultRowHeight="14" x14ac:dyDescent="0.2"/>
  <cols>
    <col min="1" max="1" width="2.83203125" style="30" customWidth="1"/>
    <col min="2" max="2" width="21.5" style="30" bestFit="1" customWidth="1"/>
    <col min="3" max="3" width="19.6640625" style="29" bestFit="1" customWidth="1"/>
    <col min="4" max="4" width="10.83203125" style="30" customWidth="1"/>
    <col min="5" max="5" width="5.5" style="30" customWidth="1"/>
    <col min="6" max="6" width="10.83203125" style="29" customWidth="1"/>
    <col min="7" max="8" width="12.83203125" style="30" customWidth="1"/>
    <col min="9" max="16384" width="10.83203125" style="30"/>
  </cols>
  <sheetData>
    <row r="1" spans="1:8" ht="19" x14ac:dyDescent="0.25">
      <c r="A1" s="28" t="s">
        <v>122</v>
      </c>
    </row>
    <row r="3" spans="1:8" ht="15" thickBot="1" x14ac:dyDescent="0.25">
      <c r="C3" s="65" t="s">
        <v>97</v>
      </c>
      <c r="F3" s="30"/>
      <c r="G3" s="50" t="s">
        <v>96</v>
      </c>
    </row>
    <row r="4" spans="1:8" x14ac:dyDescent="0.2">
      <c r="B4" s="83" t="s">
        <v>95</v>
      </c>
      <c r="C4" s="84">
        <v>2</v>
      </c>
      <c r="E4" s="66"/>
      <c r="F4" s="67" t="s">
        <v>94</v>
      </c>
      <c r="G4" s="85" t="s">
        <v>93</v>
      </c>
      <c r="H4" s="86"/>
    </row>
    <row r="5" spans="1:8" x14ac:dyDescent="0.2">
      <c r="E5" s="68"/>
      <c r="F5" s="69" t="s">
        <v>92</v>
      </c>
      <c r="G5" s="70" t="s">
        <v>91</v>
      </c>
      <c r="H5" s="71" t="s">
        <v>90</v>
      </c>
    </row>
    <row r="6" spans="1:8" x14ac:dyDescent="0.2">
      <c r="B6" s="50" t="s">
        <v>89</v>
      </c>
      <c r="E6" s="72" t="s">
        <v>88</v>
      </c>
      <c r="F6" s="73">
        <v>2.0950817962175297</v>
      </c>
      <c r="G6" s="74">
        <v>2.0606161331146229</v>
      </c>
      <c r="H6" s="75">
        <v>2.1295474593204364</v>
      </c>
    </row>
    <row r="7" spans="1:8" ht="16" x14ac:dyDescent="0.25">
      <c r="B7" s="52" t="s">
        <v>85</v>
      </c>
      <c r="C7" s="35" t="s">
        <v>98</v>
      </c>
      <c r="E7" s="72" t="s">
        <v>108</v>
      </c>
      <c r="F7" s="73">
        <v>0.69664609878667927</v>
      </c>
      <c r="G7" s="74">
        <v>0.66900011521677361</v>
      </c>
      <c r="H7" s="75">
        <v>0.72429208235658493</v>
      </c>
    </row>
    <row r="8" spans="1:8" x14ac:dyDescent="0.2">
      <c r="B8" s="83" t="str">
        <f>IF(C7="Constant","Value =",IF(C7="Erlang","Mean =",IF(C7="Exponential","Mean =",IF(C7="Translated Exponential","Minimum Value =","Minimum Value ="))))</f>
        <v>Mean =</v>
      </c>
      <c r="C8" s="84">
        <v>14.3</v>
      </c>
      <c r="E8" s="76" t="s">
        <v>87</v>
      </c>
      <c r="F8" s="77">
        <v>29.946621093592952</v>
      </c>
      <c r="G8" s="74">
        <v>29.589410666211489</v>
      </c>
      <c r="H8" s="75">
        <v>30.303831520974416</v>
      </c>
    </row>
    <row r="9" spans="1:8" ht="16" x14ac:dyDescent="0.25">
      <c r="B9" s="52" t="str">
        <f>IF(C7="Erlang","k =",IF(C7="Translated Exponential","Mean =",IF(C7="Uniform","Maximum Value =","")))</f>
        <v/>
      </c>
      <c r="C9" s="35"/>
      <c r="E9" s="76" t="s">
        <v>109</v>
      </c>
      <c r="F9" s="77">
        <v>9.9577003601287153</v>
      </c>
      <c r="G9" s="74">
        <v>9.6034074556957698</v>
      </c>
      <c r="H9" s="75">
        <v>10.311993264561661</v>
      </c>
    </row>
    <row r="10" spans="1:8" x14ac:dyDescent="0.2">
      <c r="E10" s="72"/>
      <c r="F10" s="73"/>
      <c r="G10" s="74"/>
      <c r="H10" s="75"/>
    </row>
    <row r="11" spans="1:8" ht="16" x14ac:dyDescent="0.25">
      <c r="B11" s="50" t="s">
        <v>86</v>
      </c>
      <c r="E11" s="72" t="s">
        <v>110</v>
      </c>
      <c r="F11" s="73">
        <v>0.16674014835696471</v>
      </c>
      <c r="G11" s="74">
        <v>0.16351481049017111</v>
      </c>
      <c r="H11" s="75">
        <v>0.16996548622375832</v>
      </c>
    </row>
    <row r="12" spans="1:8" ht="16" x14ac:dyDescent="0.25">
      <c r="B12" s="52" t="s">
        <v>85</v>
      </c>
      <c r="C12" s="35" t="s">
        <v>99</v>
      </c>
      <c r="E12" s="72" t="s">
        <v>111</v>
      </c>
      <c r="F12" s="73">
        <v>0.26808400585522191</v>
      </c>
      <c r="G12" s="74">
        <v>0.26448644848276914</v>
      </c>
      <c r="H12" s="75">
        <v>0.27168156322767467</v>
      </c>
    </row>
    <row r="13" spans="1:8" ht="16" x14ac:dyDescent="0.25">
      <c r="B13" s="52" t="str">
        <f>IF(C12="Constant","Value =",IF(C12="Erlang","Mean =",IF(C12="Exponential","Mean =",IF(C12="Translated Exponential","Minimum Value =","Minimum Value ="))))</f>
        <v>Minimum Value =</v>
      </c>
      <c r="C13" s="35">
        <v>15</v>
      </c>
      <c r="E13" s="72" t="s">
        <v>112</v>
      </c>
      <c r="F13" s="73">
        <v>0.23278922804683255</v>
      </c>
      <c r="G13" s="74">
        <v>0.23013713214225079</v>
      </c>
      <c r="H13" s="75">
        <v>0.23544132395141432</v>
      </c>
    </row>
    <row r="14" spans="1:8" ht="16" x14ac:dyDescent="0.25">
      <c r="B14" s="52" t="str">
        <f>IF(C12="Erlang","k =",IF(C12="Translated Exponential","Mean =",IF(C12="Uniform","Maximum Value =","")))</f>
        <v>Maximum Value =</v>
      </c>
      <c r="C14" s="35">
        <v>25</v>
      </c>
      <c r="E14" s="72" t="s">
        <v>113</v>
      </c>
      <c r="F14" s="73">
        <v>0.15246101621306651</v>
      </c>
      <c r="G14" s="74">
        <v>0.15016871617588018</v>
      </c>
      <c r="H14" s="75">
        <v>0.15475331625025285</v>
      </c>
    </row>
    <row r="15" spans="1:8" ht="16" x14ac:dyDescent="0.25">
      <c r="E15" s="72" t="s">
        <v>114</v>
      </c>
      <c r="F15" s="73">
        <v>8.7301754130649389E-2</v>
      </c>
      <c r="G15" s="74">
        <v>8.513433645867248E-2</v>
      </c>
      <c r="H15" s="75">
        <v>8.9469171802626299E-2</v>
      </c>
    </row>
    <row r="16" spans="1:8" ht="16" x14ac:dyDescent="0.25">
      <c r="B16" s="50" t="s">
        <v>84</v>
      </c>
      <c r="E16" s="72" t="s">
        <v>115</v>
      </c>
      <c r="F16" s="73">
        <v>4.5941714262334725E-2</v>
      </c>
      <c r="G16" s="74">
        <v>4.4050187433684829E-2</v>
      </c>
      <c r="H16" s="75">
        <v>4.7833241090984621E-2</v>
      </c>
    </row>
    <row r="17" spans="2:8" ht="16" x14ac:dyDescent="0.25">
      <c r="B17" s="52" t="s">
        <v>83</v>
      </c>
      <c r="C17" s="78">
        <v>100000</v>
      </c>
      <c r="E17" s="72" t="s">
        <v>116</v>
      </c>
      <c r="F17" s="73">
        <v>2.3383976173921992E-2</v>
      </c>
      <c r="G17" s="74">
        <v>2.1841332498068435E-2</v>
      </c>
      <c r="H17" s="75">
        <v>2.4926619849775549E-2</v>
      </c>
    </row>
    <row r="18" spans="2:8" ht="16" x14ac:dyDescent="0.25">
      <c r="E18" s="72" t="s">
        <v>117</v>
      </c>
      <c r="F18" s="73">
        <v>1.1823029016279053E-2</v>
      </c>
      <c r="G18" s="74">
        <v>1.0651253521661044E-2</v>
      </c>
      <c r="H18" s="75">
        <v>1.2994804510897063E-2</v>
      </c>
    </row>
    <row r="19" spans="2:8" ht="16" x14ac:dyDescent="0.25">
      <c r="E19" s="72" t="s">
        <v>118</v>
      </c>
      <c r="F19" s="73">
        <v>6.0224900111762103E-3</v>
      </c>
      <c r="G19" s="74">
        <v>5.1692844634452636E-3</v>
      </c>
      <c r="H19" s="75">
        <v>6.8756955589071569E-3</v>
      </c>
    </row>
    <row r="20" spans="2:8" ht="16" x14ac:dyDescent="0.25">
      <c r="E20" s="72" t="s">
        <v>119</v>
      </c>
      <c r="F20" s="73">
        <v>2.9552560890406124E-3</v>
      </c>
      <c r="G20" s="74">
        <v>2.3740395303752382E-3</v>
      </c>
      <c r="H20" s="75">
        <v>3.5364726477059866E-3</v>
      </c>
    </row>
    <row r="21" spans="2:8" ht="17" thickBot="1" x14ac:dyDescent="0.3">
      <c r="E21" s="79" t="s">
        <v>120</v>
      </c>
      <c r="F21" s="80">
        <v>1.2289180832472239E-3</v>
      </c>
      <c r="G21" s="81">
        <v>8.6852260613732809E-4</v>
      </c>
      <c r="H21" s="82">
        <v>1.5893135603571196E-3</v>
      </c>
    </row>
  </sheetData>
  <mergeCells count="1">
    <mergeCell ref="G4:H4"/>
  </mergeCells>
  <conditionalFormatting sqref="C9">
    <cfRule type="expression" dxfId="3" priority="1" stopIfTrue="1">
      <formula>OR(C7="Exponential",C7="Constant")</formula>
    </cfRule>
  </conditionalFormatting>
  <conditionalFormatting sqref="C14">
    <cfRule type="expression" dxfId="2" priority="2" stopIfTrue="1">
      <formula>OR(C12="Constant",C12="Exponential")</formula>
    </cfRule>
  </conditionalFormatting>
  <dataValidations count="3">
    <dataValidation type="list" allowBlank="1" showInputMessage="1" showErrorMessage="1" sqref="C7 C12" xr:uid="{7836737E-3AE4-C646-9B87-D4355A2B1415}">
      <formula1>"Constant,Erlang,Exponential,Translated Exponential,Uniform"</formula1>
    </dataValidation>
    <dataValidation type="whole" allowBlank="1" showInputMessage="1" showErrorMessage="1" error="The number of arrivals simulated must be an integer between 1 and 1,000,000." sqref="C17" xr:uid="{25B7516A-E0DE-E646-91AE-687AD3A3519C}">
      <formula1>1</formula1>
      <formula2>1000000</formula2>
    </dataValidation>
    <dataValidation type="whole" allowBlank="1" showInputMessage="1" showErrorMessage="1" error="The number of servers must be between 1 and 25 (inclusive)." sqref="C4" xr:uid="{16E57B87-F2B8-1047-B099-A69F52C998AF}">
      <formula1>1</formula1>
      <formula2>25</formula2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57</vt:i4>
      </vt:variant>
    </vt:vector>
  </HeadingPairs>
  <TitlesOfParts>
    <vt:vector size="65" baseType="lpstr">
      <vt:lpstr>Coin Flipping Game</vt:lpstr>
      <vt:lpstr>Heavy Duty Co.</vt:lpstr>
      <vt:lpstr>Replace After 4</vt:lpstr>
      <vt:lpstr>Replace After 5</vt:lpstr>
      <vt:lpstr>Normal Distribution</vt:lpstr>
      <vt:lpstr>Herr Cutter</vt:lpstr>
      <vt:lpstr>Queuing Simulator w1</vt:lpstr>
      <vt:lpstr>Queuing Simulator w2</vt:lpstr>
      <vt:lpstr>'Replace After 4'!AverageCostPerDay</vt:lpstr>
      <vt:lpstr>'Replace After 5'!AverageCostPerDay</vt:lpstr>
      <vt:lpstr>AverageTimeInLine</vt:lpstr>
      <vt:lpstr>AverageTimeInSystem</vt:lpstr>
      <vt:lpstr>'Heavy Duty Co.'!Breakdown</vt:lpstr>
      <vt:lpstr>'Replace After 4'!Breakdown</vt:lpstr>
      <vt:lpstr>'Replace After 5'!Breakdown</vt:lpstr>
      <vt:lpstr>'Heavy Duty Co.'!BreakdownCost</vt:lpstr>
      <vt:lpstr>'Replace After 4'!BreakdownCost</vt:lpstr>
      <vt:lpstr>'Replace After 5'!BreakdownCost</vt:lpstr>
      <vt:lpstr>CashAtEndOfGame</vt:lpstr>
      <vt:lpstr>'Heavy Duty Co.'!Cost</vt:lpstr>
      <vt:lpstr>'Replace After 4'!Cost</vt:lpstr>
      <vt:lpstr>'Replace After 5'!Cost</vt:lpstr>
      <vt:lpstr>'Heavy Duty Co.'!CumulativeCost</vt:lpstr>
      <vt:lpstr>'Replace After 4'!CumulativeCost</vt:lpstr>
      <vt:lpstr>'Replace After 5'!CumulativeCost</vt:lpstr>
      <vt:lpstr>'Heavy Duty Co.'!CumulativeDay</vt:lpstr>
      <vt:lpstr>'Replace After 4'!CumulativeDay</vt:lpstr>
      <vt:lpstr>'Replace After 5'!CumulativeDay</vt:lpstr>
      <vt:lpstr>'Replace After 4'!Cycle</vt:lpstr>
      <vt:lpstr>'Replace After 5'!Cycle</vt:lpstr>
      <vt:lpstr>'Replace After 4'!Event</vt:lpstr>
      <vt:lpstr>Event</vt:lpstr>
      <vt:lpstr>Flip</vt:lpstr>
      <vt:lpstr>InterarrivalTime</vt:lpstr>
      <vt:lpstr>MaxServiceTime</vt:lpstr>
      <vt:lpstr>MeanInterarrivalTime</vt:lpstr>
      <vt:lpstr>MinServiceTime</vt:lpstr>
      <vt:lpstr>NumberOfFlips</vt:lpstr>
      <vt:lpstr>'Heavy Duty Co.'!RandomNumber</vt:lpstr>
      <vt:lpstr>'Replace After 4'!RandomNumber</vt:lpstr>
      <vt:lpstr>'Replace After 5'!RandomNumber</vt:lpstr>
      <vt:lpstr>RandomNumber</vt:lpstr>
      <vt:lpstr>'Replace After 4'!ReplaceAfter</vt:lpstr>
      <vt:lpstr>ReplaceAfter</vt:lpstr>
      <vt:lpstr>'Replace After 4'!ReplacementCost</vt:lpstr>
      <vt:lpstr>ReplacementCost</vt:lpstr>
      <vt:lpstr>RequiredDifference</vt:lpstr>
      <vt:lpstr>Result</vt:lpstr>
      <vt:lpstr>'Replace After 4'!ScheduledTimeUntilReplacement</vt:lpstr>
      <vt:lpstr>ScheduledTimeUntilReplacement</vt:lpstr>
      <vt:lpstr>ServiceTime</vt:lpstr>
      <vt:lpstr>Stop?</vt:lpstr>
      <vt:lpstr>TimeInLine</vt:lpstr>
      <vt:lpstr>TimeInSystem</vt:lpstr>
      <vt:lpstr>TimeOfArrival</vt:lpstr>
      <vt:lpstr>TimeServiceBegins</vt:lpstr>
      <vt:lpstr>TimeServiceEnds</vt:lpstr>
      <vt:lpstr>'Heavy Duty Co.'!TimeSinceLastBreakdown</vt:lpstr>
      <vt:lpstr>'Replace After 4'!TimeSinceLastBreakdown</vt:lpstr>
      <vt:lpstr>'Replace After 5'!TimeSinceLastBreakdown</vt:lpstr>
      <vt:lpstr>'Replace After 4'!TimeUntilBreakdown</vt:lpstr>
      <vt:lpstr>TimeUntilBreakdown</vt:lpstr>
      <vt:lpstr>TotalHeads</vt:lpstr>
      <vt:lpstr>TotalTails</vt:lpstr>
      <vt:lpstr>Winnings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Hillier</dc:creator>
  <cp:lastModifiedBy>Saboorideilami, Vafa</cp:lastModifiedBy>
  <dcterms:created xsi:type="dcterms:W3CDTF">1999-02-21T05:20:53Z</dcterms:created>
  <dcterms:modified xsi:type="dcterms:W3CDTF">2026-06-27T16:49:55Z</dcterms:modified>
</cp:coreProperties>
</file>