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afa.saboorideilami/Documents/5509 Summer 2025/Chapter 12/"/>
    </mc:Choice>
  </mc:AlternateContent>
  <xr:revisionPtr revIDLastSave="0" documentId="13_ncr:1_{A3553931-3049-BE40-8F4E-443CBE5BA431}" xr6:coauthVersionLast="47" xr6:coauthVersionMax="47" xr10:uidLastSave="{00000000-0000-0000-0000-000000000000}"/>
  <bookViews>
    <workbookView xWindow="0" yWindow="500" windowWidth="28800" windowHeight="17500" xr2:uid="{E6C8A07C-AC03-C34D-AB09-7174C923798C}"/>
  </bookViews>
  <sheets>
    <sheet name="Case 1 (Problem)" sheetId="13" r:id="rId1"/>
    <sheet name="Case 1 (Current Situation)" sheetId="8" r:id="rId2"/>
    <sheet name="Case 1 (Proposal 1)" sheetId="9" r:id="rId3"/>
    <sheet name="Case 1 (Proposal 2)" sheetId="10" r:id="rId4"/>
    <sheet name="Case 1 (Proposal 1-2)" sheetId="11" r:id="rId5"/>
  </sheets>
  <functionGroups builtInGroupCount="19"/>
  <definedNames>
    <definedName name="beta">#REF!</definedName>
    <definedName name="InitialTrend">#REF!</definedName>
    <definedName name="sencount" hidden="1">4</definedName>
    <definedName name="sencount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8" l="1"/>
  <c r="E25" i="8" s="1"/>
  <c r="C25" i="9"/>
  <c r="E25" i="9" s="1"/>
  <c r="C26" i="8"/>
  <c r="E26" i="8" s="1"/>
  <c r="C26" i="11"/>
  <c r="E26" i="11" s="1"/>
  <c r="C25" i="11"/>
  <c r="E25" i="11" s="1"/>
  <c r="C26" i="10"/>
  <c r="E26" i="10" s="1"/>
  <c r="C25" i="10"/>
  <c r="E25" i="10" s="1"/>
  <c r="C26" i="9"/>
  <c r="E26" i="9" s="1"/>
  <c r="B14" i="11"/>
  <c r="B13" i="11"/>
  <c r="B9" i="11"/>
  <c r="B8" i="11"/>
  <c r="B14" i="10"/>
  <c r="B13" i="10"/>
  <c r="B9" i="10"/>
  <c r="B8" i="10"/>
  <c r="B14" i="9"/>
  <c r="B13" i="9"/>
  <c r="B9" i="9"/>
  <c r="B8" i="9"/>
  <c r="B8" i="8"/>
  <c r="B9" i="8"/>
  <c r="B13" i="8"/>
  <c r="B14" i="8"/>
  <c r="E27" i="11" l="1"/>
  <c r="E27" i="10"/>
  <c r="E27" i="9"/>
  <c r="E27" i="8"/>
  <c r="E28" i="9" l="1"/>
  <c r="E30" i="9" s="1"/>
  <c r="E28" i="10"/>
  <c r="E30" i="10" s="1"/>
  <c r="E28" i="11"/>
  <c r="E30" i="11" s="1"/>
</calcChain>
</file>

<file path=xl/sharedStrings.xml><?xml version="1.0" encoding="utf-8"?>
<sst xmlns="http://schemas.openxmlformats.org/spreadsheetml/2006/main" count="162" uniqueCount="43">
  <si>
    <t>Number of Arrivals =</t>
  </si>
  <si>
    <t>Length of Simulation Run</t>
  </si>
  <si>
    <t>Distribution =</t>
  </si>
  <si>
    <t>Service Times</t>
  </si>
  <si>
    <t>W =</t>
  </si>
  <si>
    <t>L =</t>
  </si>
  <si>
    <t>Interarrival Times</t>
  </si>
  <si>
    <t>High</t>
  </si>
  <si>
    <t>Low</t>
  </si>
  <si>
    <t>Estimate</t>
  </si>
  <si>
    <t>95% Confidence Interval</t>
  </si>
  <si>
    <t>Point</t>
  </si>
  <si>
    <t>Number of Servers =</t>
  </si>
  <si>
    <t>Results</t>
  </si>
  <si>
    <t>Data</t>
  </si>
  <si>
    <t>Template for Queueing Simulation</t>
  </si>
  <si>
    <t>Exponential</t>
  </si>
  <si>
    <t>Translated Exponential</t>
  </si>
  <si>
    <t>Constant</t>
  </si>
  <si>
    <t>No. of Housings in the system =</t>
  </si>
  <si>
    <t>Avg. No. of Jobs in the system =</t>
  </si>
  <si>
    <t>No. of Platens in the system =</t>
  </si>
  <si>
    <t>Cost of wait / hr</t>
  </si>
  <si>
    <t>Total Cost</t>
  </si>
  <si>
    <t>Total</t>
  </si>
  <si>
    <t>Current Situation</t>
  </si>
  <si>
    <t>Saving</t>
  </si>
  <si>
    <t>Cost of Proposal</t>
  </si>
  <si>
    <t>Net Saving</t>
  </si>
  <si>
    <r>
      <t>L</t>
    </r>
    <r>
      <rPr>
        <vertAlign val="subscript"/>
        <sz val="10"/>
        <rFont val="Consolas"/>
        <family val="2"/>
      </rPr>
      <t>q</t>
    </r>
    <r>
      <rPr>
        <sz val="10"/>
        <rFont val="Consolas"/>
        <family val="2"/>
      </rPr>
      <t xml:space="preserve"> =</t>
    </r>
  </si>
  <si>
    <r>
      <t>W</t>
    </r>
    <r>
      <rPr>
        <vertAlign val="subscript"/>
        <sz val="10"/>
        <rFont val="Consolas"/>
        <family val="2"/>
      </rPr>
      <t>q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</si>
  <si>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0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</si>
  <si>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1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</si>
  <si>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2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</si>
  <si>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3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</si>
  <si>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4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</si>
  <si>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5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</si>
  <si>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6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</si>
  <si>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 xml:space="preserve">7 </t>
    </r>
    <r>
      <rPr>
        <sz val="10"/>
        <rFont val="Consolas"/>
        <family val="2"/>
      </rPr>
      <t>=</t>
    </r>
  </si>
  <si>
    <r>
      <t>P</t>
    </r>
    <r>
      <rPr>
        <vertAlign val="subscript"/>
        <sz val="10"/>
        <rFont val="Consolas"/>
        <family val="2"/>
      </rPr>
      <t>8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</si>
  <si>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9</t>
    </r>
    <r>
      <rPr>
        <sz val="10"/>
        <rFont val="Consolas"/>
        <family val="2"/>
      </rPr>
      <t xml:space="preserve"> =</t>
    </r>
  </si>
  <si>
    <r>
      <t>P</t>
    </r>
    <r>
      <rPr>
        <vertAlign val="subscript"/>
        <sz val="10"/>
        <rFont val="Consolas"/>
        <family val="2"/>
      </rPr>
      <t>10</t>
    </r>
    <r>
      <rPr>
        <sz val="10"/>
        <rFont val="Consolas"/>
        <family val="2"/>
      </rPr>
      <t xml:space="preserve"> =</t>
    </r>
  </si>
  <si>
    <t>Cost / 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</si>
</sst>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2"/>
      <color theme="1"/>
      <name val="Calibri"/>
      <family val="2"/>
      <scheme val="minor"/>
    </font>
    <font>
      <sz val="9"/>
      <name val="Geneva"/>
      <family val="2"/>
    </font>
    <font>
      <sz val="12"/>
      <color theme="1"/>
      <name val="Calibri"/>
      <family val="2"/>
      <scheme val="minor"/>
    </font>
    <font>
      <b/>
      <sz val="14"/>
      <name val="Consolas"/>
      <family val="2"/>
    </font>
    <font>
      <sz val="10"/>
      <name val="Consolas"/>
      <family val="2"/>
    </font>
    <font>
      <b/>
      <sz val="10"/>
      <name val="Consolas"/>
      <family val="2"/>
    </font>
    <font>
      <sz val="12"/>
      <color theme="1"/>
      <name val="Consolas"/>
      <family val="2"/>
    </font>
    <font>
      <sz val="10"/>
      <color rgb="FFFF0000"/>
      <name val="Consolas"/>
      <family val="2"/>
    </font>
    <font>
      <vertAlign val="subscript"/>
      <sz val="10"/>
      <name val="Consolas"/>
      <family val="2"/>
    </font>
    <font>
      <b/>
      <sz val="10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4" fontId="2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1" applyFont="1"/>
    <xf numFmtId="0" fontId="4" fillId="0" borderId="0" xfId="1" applyFont="1"/>
    <xf numFmtId="0" fontId="4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0" fontId="5" fillId="0" borderId="0" xfId="1" applyFont="1"/>
    <xf numFmtId="0" fontId="4" fillId="0" borderId="0" xfId="1" applyFont="1" applyAlignment="1">
      <alignment horizontal="right"/>
    </xf>
    <xf numFmtId="0" fontId="4" fillId="4" borderId="0" xfId="1" applyFont="1" applyFill="1" applyAlignment="1">
      <alignment horizontal="center"/>
    </xf>
    <xf numFmtId="0" fontId="4" fillId="0" borderId="7" xfId="1" applyFont="1" applyBorder="1"/>
    <xf numFmtId="0" fontId="4" fillId="0" borderId="15" xfId="1" applyFont="1" applyBorder="1" applyAlignment="1">
      <alignment horizontal="center"/>
    </xf>
    <xf numFmtId="0" fontId="4" fillId="0" borderId="13" xfId="1" applyFont="1" applyBorder="1"/>
    <xf numFmtId="0" fontId="4" fillId="0" borderId="12" xfId="1" applyFont="1" applyBorder="1" applyAlignment="1">
      <alignment horizontal="center"/>
    </xf>
    <xf numFmtId="0" fontId="4" fillId="0" borderId="2" xfId="1" applyFont="1" applyBorder="1" applyAlignment="1">
      <alignment horizontal="center"/>
    </xf>
    <xf numFmtId="0" fontId="4" fillId="0" borderId="11" xfId="1" applyFont="1" applyBorder="1" applyAlignment="1">
      <alignment horizontal="center"/>
    </xf>
    <xf numFmtId="0" fontId="6" fillId="0" borderId="0" xfId="0" applyFont="1"/>
    <xf numFmtId="0" fontId="7" fillId="0" borderId="3" xfId="1" applyFont="1" applyBorder="1" applyAlignment="1">
      <alignment horizontal="right"/>
    </xf>
    <xf numFmtId="0" fontId="7" fillId="3" borderId="10" xfId="1" applyFont="1" applyFill="1" applyBorder="1" applyAlignment="1">
      <alignment horizontal="center"/>
    </xf>
    <xf numFmtId="0" fontId="4" fillId="3" borderId="0" xfId="1" applyFont="1" applyFill="1"/>
    <xf numFmtId="0" fontId="4" fillId="3" borderId="4" xfId="1" applyFont="1" applyFill="1" applyBorder="1"/>
    <xf numFmtId="0" fontId="4" fillId="0" borderId="3" xfId="1" applyFont="1" applyBorder="1" applyAlignment="1">
      <alignment horizontal="right"/>
    </xf>
    <xf numFmtId="0" fontId="4" fillId="3" borderId="10" xfId="1" applyFont="1" applyFill="1" applyBorder="1" applyAlignment="1">
      <alignment horizontal="center"/>
    </xf>
    <xf numFmtId="3" fontId="4" fillId="4" borderId="0" xfId="1" applyNumberFormat="1" applyFont="1" applyFill="1" applyAlignment="1">
      <alignment horizontal="center"/>
    </xf>
    <xf numFmtId="0" fontId="4" fillId="0" borderId="5" xfId="1" applyFont="1" applyBorder="1" applyAlignment="1">
      <alignment horizontal="right"/>
    </xf>
    <xf numFmtId="0" fontId="4" fillId="3" borderId="9" xfId="1" applyFont="1" applyFill="1" applyBorder="1" applyAlignment="1">
      <alignment horizontal="center"/>
    </xf>
    <xf numFmtId="0" fontId="4" fillId="3" borderId="1" xfId="1" applyFont="1" applyFill="1" applyBorder="1"/>
    <xf numFmtId="0" fontId="4" fillId="3" borderId="6" xfId="1" applyFont="1" applyFill="1" applyBorder="1"/>
    <xf numFmtId="0" fontId="5" fillId="0" borderId="2" xfId="1" applyFont="1" applyBorder="1"/>
    <xf numFmtId="0" fontId="5" fillId="0" borderId="2" xfId="1" applyFont="1" applyBorder="1" applyAlignment="1">
      <alignment horizontal="center"/>
    </xf>
    <xf numFmtId="0" fontId="4" fillId="0" borderId="2" xfId="1" applyFont="1" applyBorder="1"/>
    <xf numFmtId="44" fontId="4" fillId="0" borderId="0" xfId="2" applyFont="1"/>
    <xf numFmtId="44" fontId="4" fillId="0" borderId="0" xfId="1" applyNumberFormat="1" applyFont="1"/>
    <xf numFmtId="0" fontId="4" fillId="4" borderId="2" xfId="1" applyFont="1" applyFill="1" applyBorder="1" applyAlignment="1">
      <alignment horizontal="center"/>
    </xf>
    <xf numFmtId="44" fontId="4" fillId="0" borderId="2" xfId="2" applyFont="1" applyBorder="1"/>
    <xf numFmtId="44" fontId="4" fillId="0" borderId="2" xfId="1" applyNumberFormat="1" applyFont="1" applyBorder="1"/>
    <xf numFmtId="44" fontId="9" fillId="2" borderId="0" xfId="1" applyNumberFormat="1" applyFont="1" applyFill="1"/>
    <xf numFmtId="0" fontId="5" fillId="0" borderId="16" xfId="1" applyFont="1" applyBorder="1"/>
    <xf numFmtId="44" fontId="9" fillId="2" borderId="16" xfId="1" applyNumberFormat="1" applyFont="1" applyFill="1" applyBorder="1"/>
    <xf numFmtId="0" fontId="4" fillId="2" borderId="0" xfId="1" applyFont="1" applyFill="1"/>
    <xf numFmtId="44" fontId="4" fillId="2" borderId="0" xfId="1" applyNumberFormat="1" applyFont="1" applyFill="1"/>
    <xf numFmtId="0" fontId="4" fillId="0" borderId="14" xfId="1" applyFont="1" applyBorder="1" applyAlignment="1">
      <alignment horizontal="center"/>
    </xf>
    <xf numFmtId="0" fontId="4" fillId="0" borderId="8" xfId="1" applyFont="1" applyBorder="1" applyAlignment="1">
      <alignment horizontal="center"/>
    </xf>
  </cellXfs>
  <cellStyles count="3">
    <cellStyle name="Currency" xfId="2" builtinId="4"/>
    <cellStyle name="Normal" xfId="0" builtinId="0"/>
    <cellStyle name="Normal 2" xfId="1" xr:uid="{8A851C42-C343-424F-9616-F4CE34F5496D}"/>
  </cellStyles>
  <dxfs count="15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215902</xdr:colOff>
      <xdr:row>0</xdr:row>
      <xdr:rowOff>127001</xdr:rowOff>
    </xdr:from>
    <xdr:to>
      <xdr:col>7</xdr:col>
      <xdr:colOff>124733</xdr:colOff>
      <xdr:row>20</xdr:row>
      <xdr:rowOff>84667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E0E9A6E-C649-9F22-D00B-513399BF5CDF}"/>
            </a:ext>
          </a:extLst>
        </xdr:cNvPr>
        <xdr:cNvSpPr txBox="1"/>
      </xdr:nvSpPr>
      <xdr:spPr>
        <a:xfrm>
          <a:off x="215902" y="127001"/>
          <a:ext cx="5716964" cy="40216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ct val="150000"/>
            </a:lnSpc>
          </a:pPr>
          <a:r>
            <a:rPr lang="en-US" sz="1000" b="1">
              <a:latin typeface="Consolas" panose="020B0609020204030204" pitchFamily="49" charset="0"/>
              <a:cs typeface="Consolas" panose="020B0609020204030204" pitchFamily="49" charset="0"/>
            </a:rPr>
            <a:t>The company has </a:t>
          </a:r>
          <a:r>
            <a:rPr lang="en-US" sz="10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two planers </a:t>
          </a:r>
          <a:r>
            <a:rPr lang="en-US" sz="1000" b="1">
              <a:latin typeface="Consolas" panose="020B0609020204030204" pitchFamily="49" charset="0"/>
              <a:cs typeface="Consolas" panose="020B0609020204030204" pitchFamily="49" charset="0"/>
            </a:rPr>
            <a:t>for cutting flat smooth surfaces in large castings. </a:t>
          </a:r>
          <a:endParaRPr lang="en-US" sz="1000">
            <a:latin typeface="Consolas" panose="020B0609020204030204" pitchFamily="49" charset="0"/>
            <a:cs typeface="Consolas" panose="020B0609020204030204" pitchFamily="49" charset="0"/>
          </a:endParaRPr>
        </a:p>
        <a:p>
          <a:pPr>
            <a:lnSpc>
              <a:spcPct val="150000"/>
            </a:lnSpc>
          </a:pP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1- One is to form the top surface of the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platen</a:t>
          </a: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 for large hydraulic lifts. </a:t>
          </a:r>
        </a:p>
        <a:p>
          <a:pPr>
            <a:lnSpc>
              <a:spcPct val="150000"/>
            </a:lnSpc>
          </a:pP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2- The other is to form the mating surface of the final drive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housing</a:t>
          </a: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 for a large piece of earthmoving equipment. </a:t>
          </a:r>
        </a:p>
        <a:p>
          <a:pPr>
            <a:lnSpc>
              <a:spcPct val="150000"/>
            </a:lnSpc>
          </a:pPr>
          <a:endParaRPr lang="en-US" sz="1000">
            <a:latin typeface="Consolas" panose="020B0609020204030204" pitchFamily="49" charset="0"/>
            <a:cs typeface="Consolas" panose="020B0609020204030204" pitchFamily="49" charset="0"/>
          </a:endParaRPr>
        </a:p>
        <a:p>
          <a:pPr>
            <a:lnSpc>
              <a:spcPct val="150000"/>
            </a:lnSpc>
          </a:pPr>
          <a:r>
            <a:rPr lang="en-US" sz="1000" b="1">
              <a:latin typeface="Consolas" panose="020B0609020204030204" pitchFamily="49" charset="0"/>
              <a:cs typeface="Consolas" panose="020B0609020204030204" pitchFamily="49" charset="0"/>
            </a:rPr>
            <a:t>Service Time</a:t>
          </a:r>
        </a:p>
        <a:p>
          <a:pPr>
            <a:lnSpc>
              <a:spcPct val="150000"/>
            </a:lnSpc>
          </a:pP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For</a:t>
          </a:r>
          <a:r>
            <a:rPr lang="en-US" sz="1000" baseline="0">
              <a:latin typeface="Consolas" panose="020B0609020204030204" pitchFamily="49" charset="0"/>
              <a:cs typeface="Consolas" panose="020B0609020204030204" pitchFamily="49" charset="0"/>
            </a:rPr>
            <a:t> </a:t>
          </a: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each platen or each housing, the time required by a planer has a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translated exponential distribution</a:t>
          </a: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, where the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minimum time is 10 minutes </a:t>
          </a: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and the additional time beyond 10 minutes has an exponential distribution with a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mean of 10 minutes. </a:t>
          </a:r>
        </a:p>
        <a:p>
          <a:pPr>
            <a:lnSpc>
              <a:spcPct val="150000"/>
            </a:lnSpc>
          </a:pPr>
          <a:endParaRPr lang="en-US" sz="1000">
            <a:latin typeface="Consolas" panose="020B0609020204030204" pitchFamily="49" charset="0"/>
            <a:cs typeface="Consolas" panose="020B0609020204030204" pitchFamily="49" charset="0"/>
          </a:endParaRPr>
        </a:p>
        <a:p>
          <a:pPr>
            <a:lnSpc>
              <a:spcPct val="150000"/>
            </a:lnSpc>
          </a:pPr>
          <a:r>
            <a:rPr lang="en-US" sz="1000" b="1">
              <a:latin typeface="Consolas" panose="020B0609020204030204" pitchFamily="49" charset="0"/>
              <a:cs typeface="Consolas" panose="020B0609020204030204" pitchFamily="49" charset="0"/>
            </a:rPr>
            <a:t>Interarrival Times (is</a:t>
          </a:r>
          <a:r>
            <a:rPr lang="en-US" sz="1000" b="1" baseline="0">
              <a:latin typeface="Consolas" panose="020B0609020204030204" pitchFamily="49" charset="0"/>
              <a:cs typeface="Consolas" panose="020B0609020204030204" pitchFamily="49" charset="0"/>
            </a:rPr>
            <a:t> exponential, because arrival is random)</a:t>
          </a:r>
          <a:endParaRPr lang="en-US" sz="1000">
            <a:latin typeface="Consolas" panose="020B0609020204030204" pitchFamily="49" charset="0"/>
            <a:cs typeface="Consolas" panose="020B0609020204030204" pitchFamily="49" charset="0"/>
          </a:endParaRPr>
        </a:p>
        <a:p>
          <a:pPr>
            <a:lnSpc>
              <a:spcPct val="150000"/>
            </a:lnSpc>
          </a:pP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1- For the castings for forming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platens</a:t>
          </a: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, the arrivals occur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randomly</a:t>
          </a: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 with a mean rate of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two per hour. </a:t>
          </a:r>
          <a:endParaRPr lang="en-US" sz="1000">
            <a:latin typeface="Consolas" panose="020B0609020204030204" pitchFamily="49" charset="0"/>
            <a:cs typeface="Consolas" panose="020B0609020204030204" pitchFamily="49" charset="0"/>
          </a:endParaRPr>
        </a:p>
        <a:p>
          <a:pPr>
            <a:lnSpc>
              <a:spcPct val="150000"/>
            </a:lnSpc>
          </a:pP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2-</a:t>
          </a:r>
          <a:r>
            <a:rPr lang="en-US" sz="1000" baseline="0">
              <a:latin typeface="Consolas" panose="020B0609020204030204" pitchFamily="49" charset="0"/>
              <a:cs typeface="Consolas" panose="020B0609020204030204" pitchFamily="49" charset="0"/>
            </a:rPr>
            <a:t> </a:t>
          </a: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For the castings for forming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housings</a:t>
          </a: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, the arrivals also occur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randomly</a:t>
          </a:r>
          <a:r>
            <a:rPr lang="en-US" sz="1000">
              <a:latin typeface="Consolas" panose="020B0609020204030204" pitchFamily="49" charset="0"/>
              <a:cs typeface="Consolas" panose="020B0609020204030204" pitchFamily="49" charset="0"/>
            </a:rPr>
            <a:t> with a mean rate of </a:t>
          </a:r>
          <a:r>
            <a:rPr lang="en-US" sz="10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two per hour.</a:t>
          </a:r>
        </a:p>
      </xdr:txBody>
    </xdr:sp>
    <xdr:clientData/>
  </xdr:twoCellAnchor>
  <xdr:twoCellAnchor editAs="oneCell">
    <xdr:from>
      <xdr:col>7</xdr:col>
      <xdr:colOff>376934</xdr:colOff>
      <xdr:row>0</xdr:row>
      <xdr:rowOff>137765</xdr:rowOff>
    </xdr:from>
    <xdr:to>
      <xdr:col>10</xdr:col>
      <xdr:colOff>821267</xdr:colOff>
      <xdr:row>10</xdr:row>
      <xdr:rowOff>23321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2E70F4B-3BFD-157B-44CE-866EACF9D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5067" y="137765"/>
          <a:ext cx="2933533" cy="1917556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  <xdr:twoCellAnchor editAs="oneCell">
    <xdr:from>
      <xdr:col>7</xdr:col>
      <xdr:colOff>388408</xdr:colOff>
      <xdr:row>10</xdr:row>
      <xdr:rowOff>152400</xdr:rowOff>
    </xdr:from>
    <xdr:to>
      <xdr:col>10</xdr:col>
      <xdr:colOff>815484</xdr:colOff>
      <xdr:row>20</xdr:row>
      <xdr:rowOff>66222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5D3D2F-BEC0-A238-9659-2563930E6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6541" y="2184400"/>
          <a:ext cx="2916276" cy="1945822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A5DD5C80-38DD-C341-A1D5-071C9EBFBC6E}"/>
            </a:ext>
          </a:extLst>
        </xdr:cNvPr>
        <xdr:cNvSpPr>
          <a:spLocks noChangeArrowheads="1"/>
        </xdr:cNvSpPr>
      </xdr:nvSpPr>
      <xdr:spPr bwMode="auto">
        <a:xfrm>
          <a:off x="1476375" y="3225800"/>
          <a:ext cx="568410" cy="2286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>
    <xdr:from>
      <xdr:col>5</xdr:col>
      <xdr:colOff>142241</xdr:colOff>
      <xdr:row>22</xdr:row>
      <xdr:rowOff>19396</xdr:rowOff>
    </xdr:from>
    <xdr:to>
      <xdr:col>18</xdr:col>
      <xdr:colOff>283239</xdr:colOff>
      <xdr:row>27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73B4244-C023-FF4E-8104-9EF889EE51C3}"/>
            </a:ext>
          </a:extLst>
        </xdr:cNvPr>
        <xdr:cNvSpPr txBox="1"/>
      </xdr:nvSpPr>
      <xdr:spPr>
        <a:xfrm>
          <a:off x="6154183" y="4322777"/>
          <a:ext cx="5696106" cy="8485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u="sng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Current Situation</a:t>
          </a:r>
          <a:r>
            <a:rPr lang="en-US" sz="900" b="1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: </a:t>
          </a:r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A simulation run indicates that the </a:t>
          </a:r>
          <a:r>
            <a:rPr lang="en-US" sz="90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average</a:t>
          </a:r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</a:t>
          </a:r>
          <a:r>
            <a:rPr lang="en-US" sz="90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number of jobs in the system is 2.0. </a:t>
          </a:r>
        </a:p>
        <a:p>
          <a:endParaRPr lang="en-US" sz="90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Of these, half will be platen (1) and half will be housing (1). </a:t>
          </a: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waiting cost is therefore ($200)(1) + ($100)(1) = $300 / hour.</a:t>
          </a:r>
          <a:endParaRPr lang="en-US" sz="9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32564</xdr:colOff>
      <xdr:row>0</xdr:row>
      <xdr:rowOff>56988</xdr:rowOff>
    </xdr:from>
    <xdr:to>
      <xdr:col>5</xdr:col>
      <xdr:colOff>506159</xdr:colOff>
      <xdr:row>2</xdr:row>
      <xdr:rowOff>27610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9C71E22-E406-6247-AEA2-ED1EBCCBD3DB}"/>
            </a:ext>
          </a:extLst>
        </xdr:cNvPr>
        <xdr:cNvSpPr txBox="1"/>
      </xdr:nvSpPr>
      <xdr:spPr>
        <a:xfrm>
          <a:off x="4505173" y="56988"/>
          <a:ext cx="2608667" cy="384752"/>
        </a:xfrm>
        <a:prstGeom prst="rect">
          <a:avLst/>
        </a:prstGeom>
        <a:solidFill>
          <a:schemeClr val="lt1"/>
        </a:solidFill>
        <a:ln w="127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2 housings</a:t>
          </a:r>
          <a:r>
            <a:rPr lang="en-US" sz="8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per hour + 2 platens per hour = 1 every 15 minutes.</a:t>
          </a:r>
          <a:endParaRPr lang="en-US" sz="800">
            <a:solidFill>
              <a:srgbClr val="FF0000"/>
            </a:solidFill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10160</xdr:colOff>
      <xdr:row>5</xdr:row>
      <xdr:rowOff>78225</xdr:rowOff>
    </xdr:from>
    <xdr:to>
      <xdr:col>4</xdr:col>
      <xdr:colOff>386522</xdr:colOff>
      <xdr:row>23</xdr:row>
      <xdr:rowOff>83305</xdr:rowOff>
    </xdr:to>
    <xdr:cxnSp macro="">
      <xdr:nvCxnSpPr>
        <xdr:cNvPr id="11" name="Curved Connector 10">
          <a:extLst>
            <a:ext uri="{FF2B5EF4-FFF2-40B4-BE49-F238E27FC236}">
              <a16:creationId xmlns:a16="http://schemas.microsoft.com/office/drawing/2014/main" id="{4BCE7561-EEE9-1A51-0BAD-CF4B78E7A65D}"/>
            </a:ext>
          </a:extLst>
        </xdr:cNvPr>
        <xdr:cNvCxnSpPr>
          <a:stCxn id="27" idx="1"/>
          <a:endCxn id="30" idx="3"/>
        </xdr:cNvCxnSpPr>
      </xdr:nvCxnSpPr>
      <xdr:spPr>
        <a:xfrm rot="10800000" flipV="1">
          <a:off x="4480560" y="1084065"/>
          <a:ext cx="1118042" cy="4302760"/>
        </a:xfrm>
        <a:prstGeom prst="curvedConnector3">
          <a:avLst>
            <a:gd name="adj1" fmla="val 50000"/>
          </a:avLst>
        </a:prstGeom>
        <a:ln w="3175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487753</xdr:colOff>
      <xdr:row>17</xdr:row>
      <xdr:rowOff>148427</xdr:rowOff>
    </xdr:from>
    <xdr:to>
      <xdr:col>3</xdr:col>
      <xdr:colOff>690880</xdr:colOff>
      <xdr:row>20</xdr:row>
      <xdr:rowOff>55217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43EA9AED-423E-9D46-8DE4-386A8EB9680C}"/>
            </a:ext>
          </a:extLst>
        </xdr:cNvPr>
        <xdr:cNvSpPr txBox="1"/>
      </xdr:nvSpPr>
      <xdr:spPr>
        <a:xfrm>
          <a:off x="3251273" y="3531707"/>
          <a:ext cx="1910007" cy="516390"/>
        </a:xfrm>
        <a:prstGeom prst="rect">
          <a:avLst/>
        </a:prstGeom>
        <a:solidFill>
          <a:schemeClr val="lt1"/>
        </a:solidFill>
        <a:ln w="127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Trans</a:t>
          </a:r>
          <a:r>
            <a:rPr lang="en-US" sz="8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</a:t>
          </a:r>
          <a:r>
            <a:rPr lang="en-US" sz="8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Exp</a:t>
          </a:r>
          <a:r>
            <a:rPr lang="en-US" sz="8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</a:t>
          </a:r>
          <a:r>
            <a:rPr lang="en-US" sz="8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min 10, additional time exp mean of 10 minutes. So mean is 10 + 10 = 20 min.</a:t>
          </a:r>
        </a:p>
      </xdr:txBody>
    </xdr:sp>
    <xdr:clientData/>
  </xdr:twoCellAnchor>
  <xdr:twoCellAnchor>
    <xdr:from>
      <xdr:col>2</xdr:col>
      <xdr:colOff>487753</xdr:colOff>
      <xdr:row>13</xdr:row>
      <xdr:rowOff>188176</xdr:rowOff>
    </xdr:from>
    <xdr:to>
      <xdr:col>2</xdr:col>
      <xdr:colOff>852275</xdr:colOff>
      <xdr:row>18</xdr:row>
      <xdr:rowOff>204676</xdr:rowOff>
    </xdr:to>
    <xdr:cxnSp macro="">
      <xdr:nvCxnSpPr>
        <xdr:cNvPr id="23" name="Curved Connector 22">
          <a:extLst>
            <a:ext uri="{FF2B5EF4-FFF2-40B4-BE49-F238E27FC236}">
              <a16:creationId xmlns:a16="http://schemas.microsoft.com/office/drawing/2014/main" id="{F506B0A5-5489-4951-CFE4-BE3C6C898D35}"/>
            </a:ext>
          </a:extLst>
        </xdr:cNvPr>
        <xdr:cNvCxnSpPr>
          <a:stCxn id="18" idx="1"/>
          <a:endCxn id="41" idx="2"/>
        </xdr:cNvCxnSpPr>
      </xdr:nvCxnSpPr>
      <xdr:spPr>
        <a:xfrm rot="10800000" flipH="1">
          <a:off x="3260288" y="2746063"/>
          <a:ext cx="364522" cy="1045021"/>
        </a:xfrm>
        <a:prstGeom prst="curvedConnector4">
          <a:avLst>
            <a:gd name="adj1" fmla="val -62712"/>
            <a:gd name="adj2" fmla="val 62533"/>
          </a:avLst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386522</xdr:colOff>
      <xdr:row>5</xdr:row>
      <xdr:rowOff>0</xdr:rowOff>
    </xdr:from>
    <xdr:to>
      <xdr:col>6</xdr:col>
      <xdr:colOff>18404</xdr:colOff>
      <xdr:row>5</xdr:row>
      <xdr:rowOff>156449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ECB823FA-4451-B4C5-8A37-D13D5A0C0827}"/>
            </a:ext>
          </a:extLst>
        </xdr:cNvPr>
        <xdr:cNvSpPr/>
      </xdr:nvSpPr>
      <xdr:spPr>
        <a:xfrm>
          <a:off x="6193551" y="984710"/>
          <a:ext cx="1306810" cy="156449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2445127</xdr:colOff>
      <xdr:row>23</xdr:row>
      <xdr:rowOff>4050</xdr:rowOff>
    </xdr:from>
    <xdr:to>
      <xdr:col>3</xdr:col>
      <xdr:colOff>10160</xdr:colOff>
      <xdr:row>23</xdr:row>
      <xdr:rowOff>162560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F9981AAA-6EDC-1D43-B71E-96F795FFD03A}"/>
            </a:ext>
          </a:extLst>
        </xdr:cNvPr>
        <xdr:cNvSpPr/>
      </xdr:nvSpPr>
      <xdr:spPr>
        <a:xfrm>
          <a:off x="2760087" y="5307570"/>
          <a:ext cx="1720473" cy="158510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22425</xdr:colOff>
      <xdr:row>7</xdr:row>
      <xdr:rowOff>9851</xdr:rowOff>
    </xdr:from>
    <xdr:to>
      <xdr:col>3</xdr:col>
      <xdr:colOff>0</xdr:colOff>
      <xdr:row>7</xdr:row>
      <xdr:rowOff>169930</xdr:rowOff>
    </xdr:to>
    <xdr:sp macro="" textlink="">
      <xdr:nvSpPr>
        <xdr:cNvPr id="36" name="Rounded Rectangle 35">
          <a:extLst>
            <a:ext uri="{FF2B5EF4-FFF2-40B4-BE49-F238E27FC236}">
              <a16:creationId xmlns:a16="http://schemas.microsoft.com/office/drawing/2014/main" id="{107B4D99-96A8-114B-AC28-9727CA25B4D1}"/>
            </a:ext>
          </a:extLst>
        </xdr:cNvPr>
        <xdr:cNvSpPr/>
      </xdr:nvSpPr>
      <xdr:spPr>
        <a:xfrm>
          <a:off x="2794960" y="1387175"/>
          <a:ext cx="1676871" cy="160079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860862</xdr:colOff>
      <xdr:row>1</xdr:row>
      <xdr:rowOff>10996</xdr:rowOff>
    </xdr:from>
    <xdr:to>
      <xdr:col>3</xdr:col>
      <xdr:colOff>32565</xdr:colOff>
      <xdr:row>7</xdr:row>
      <xdr:rowOff>9851</xdr:rowOff>
    </xdr:to>
    <xdr:cxnSp macro="">
      <xdr:nvCxnSpPr>
        <xdr:cNvPr id="37" name="Curved Connector 36">
          <a:extLst>
            <a:ext uri="{FF2B5EF4-FFF2-40B4-BE49-F238E27FC236}">
              <a16:creationId xmlns:a16="http://schemas.microsoft.com/office/drawing/2014/main" id="{0C8912AB-CE51-C448-B97E-B0C72C3D3A55}"/>
            </a:ext>
          </a:extLst>
        </xdr:cNvPr>
        <xdr:cNvCxnSpPr>
          <a:stCxn id="6" idx="1"/>
          <a:endCxn id="36" idx="0"/>
        </xdr:cNvCxnSpPr>
      </xdr:nvCxnSpPr>
      <xdr:spPr>
        <a:xfrm rot="10800000" flipV="1">
          <a:off x="3633397" y="252475"/>
          <a:ext cx="870999" cy="1134700"/>
        </a:xfrm>
        <a:prstGeom prst="curved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13839</xdr:colOff>
      <xdr:row>13</xdr:row>
      <xdr:rowOff>28096</xdr:rowOff>
    </xdr:from>
    <xdr:to>
      <xdr:col>2</xdr:col>
      <xdr:colOff>1690710</xdr:colOff>
      <xdr:row>13</xdr:row>
      <xdr:rowOff>188175</xdr:rowOff>
    </xdr:to>
    <xdr:sp macro="" textlink="">
      <xdr:nvSpPr>
        <xdr:cNvPr id="41" name="Rounded Rectangle 40">
          <a:extLst>
            <a:ext uri="{FF2B5EF4-FFF2-40B4-BE49-F238E27FC236}">
              <a16:creationId xmlns:a16="http://schemas.microsoft.com/office/drawing/2014/main" id="{CA0E2064-A69D-D341-A158-772D5689E9C4}"/>
            </a:ext>
          </a:extLst>
        </xdr:cNvPr>
        <xdr:cNvSpPr/>
      </xdr:nvSpPr>
      <xdr:spPr>
        <a:xfrm>
          <a:off x="2786374" y="2585983"/>
          <a:ext cx="1676871" cy="160079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189148</xdr:colOff>
      <xdr:row>1</xdr:row>
      <xdr:rowOff>1</xdr:rowOff>
    </xdr:from>
    <xdr:to>
      <xdr:col>18</xdr:col>
      <xdr:colOff>231092</xdr:colOff>
      <xdr:row>10</xdr:row>
      <xdr:rowOff>203203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92B4099C-C209-1342-A93A-179220C6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17942" y="243192"/>
          <a:ext cx="2924214" cy="1914550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  <xdr:twoCellAnchor editAs="oneCell">
    <xdr:from>
      <xdr:col>8</xdr:col>
      <xdr:colOff>200622</xdr:colOff>
      <xdr:row>11</xdr:row>
      <xdr:rowOff>125119</xdr:rowOff>
    </xdr:from>
    <xdr:to>
      <xdr:col>18</xdr:col>
      <xdr:colOff>225309</xdr:colOff>
      <xdr:row>20</xdr:row>
      <xdr:rowOff>203467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F292BED1-0C00-004E-A6FE-EDCE58B17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29416" y="2286821"/>
          <a:ext cx="2906957" cy="1942816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58C506EA-4DA2-5944-BA28-93258FE07D08}"/>
            </a:ext>
          </a:extLst>
        </xdr:cNvPr>
        <xdr:cNvSpPr>
          <a:spLocks noChangeArrowheads="1"/>
        </xdr:cNvSpPr>
      </xdr:nvSpPr>
      <xdr:spPr bwMode="auto">
        <a:xfrm>
          <a:off x="866775" y="3619500"/>
          <a:ext cx="1381210" cy="2540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>
    <xdr:from>
      <xdr:col>5</xdr:col>
      <xdr:colOff>160084</xdr:colOff>
      <xdr:row>22</xdr:row>
      <xdr:rowOff>32017</xdr:rowOff>
    </xdr:from>
    <xdr:to>
      <xdr:col>12</xdr:col>
      <xdr:colOff>758209</xdr:colOff>
      <xdr:row>29</xdr:row>
      <xdr:rowOff>142164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BD22BFB-F39E-2C4C-BFED-A8851A59BDF7}"/>
            </a:ext>
          </a:extLst>
        </xdr:cNvPr>
        <xdr:cNvSpPr txBox="1"/>
      </xdr:nvSpPr>
      <xdr:spPr>
        <a:xfrm>
          <a:off x="6633293" y="4344330"/>
          <a:ext cx="6550065" cy="13706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u="sng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Proposal 1</a:t>
          </a:r>
          <a:r>
            <a:rPr lang="en-US" sz="900" b="1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: </a:t>
          </a:r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A simulation run indicates that the </a:t>
          </a:r>
          <a:r>
            <a:rPr lang="en-US" sz="90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average number of jobs in the system with three planers is approximately 1.4. </a:t>
          </a:r>
        </a:p>
        <a:p>
          <a:endParaRPr lang="en-US" sz="90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Of these, half will be platen castings (0.7) and half will be housing castings (0.7). </a:t>
          </a: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waiting cost is therefore ($200)(0.7) + ($100)(0.7) = $210 / hour. </a:t>
          </a: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savings ($90 / hour) is substantially more than the added cost of the third planer ($30 / hour), so this looks to be worthwhile. The net savings would be $60 / hour.</a:t>
          </a:r>
          <a:r>
            <a:rPr lang="en-US" sz="900">
              <a:effectLst/>
              <a:latin typeface="Consolas" panose="020B0609020204030204" pitchFamily="49" charset="0"/>
              <a:cs typeface="Consolas" panose="020B0609020204030204" pitchFamily="49" charset="0"/>
            </a:rPr>
            <a:t> </a:t>
          </a:r>
          <a:endParaRPr lang="en-US" sz="9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8141</xdr:colOff>
      <xdr:row>0</xdr:row>
      <xdr:rowOff>81411</xdr:rowOff>
    </xdr:from>
    <xdr:to>
      <xdr:col>5</xdr:col>
      <xdr:colOff>586155</xdr:colOff>
      <xdr:row>2</xdr:row>
      <xdr:rowOff>20320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B4A3D2C-F490-D94A-8611-8710A6E47C89}"/>
            </a:ext>
          </a:extLst>
        </xdr:cNvPr>
        <xdr:cNvSpPr txBox="1"/>
      </xdr:nvSpPr>
      <xdr:spPr>
        <a:xfrm>
          <a:off x="3757181" y="81411"/>
          <a:ext cx="2396654" cy="36562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In </a:t>
          </a:r>
          <a:r>
            <a:rPr lang="en-US" sz="8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proposal</a:t>
          </a:r>
          <a:r>
            <a:rPr lang="en-US" sz="800" b="1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1</a:t>
          </a:r>
          <a:r>
            <a:rPr lang="en-US" sz="8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, we are adding a new planer. Everything else is the same.</a:t>
          </a:r>
          <a:endParaRPr lang="en-US" sz="800">
            <a:solidFill>
              <a:srgbClr val="FF0000"/>
            </a:solidFill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10674</xdr:colOff>
      <xdr:row>5</xdr:row>
      <xdr:rowOff>82284</xdr:rowOff>
    </xdr:from>
    <xdr:to>
      <xdr:col>4</xdr:col>
      <xdr:colOff>195809</xdr:colOff>
      <xdr:row>23</xdr:row>
      <xdr:rowOff>102918</xdr:rowOff>
    </xdr:to>
    <xdr:cxnSp macro="">
      <xdr:nvCxnSpPr>
        <xdr:cNvPr id="9" name="Curved Connector 8">
          <a:extLst>
            <a:ext uri="{FF2B5EF4-FFF2-40B4-BE49-F238E27FC236}">
              <a16:creationId xmlns:a16="http://schemas.microsoft.com/office/drawing/2014/main" id="{4E0C804C-920F-AF4C-AD09-A29BD6EECC9B}"/>
            </a:ext>
          </a:extLst>
        </xdr:cNvPr>
        <xdr:cNvCxnSpPr>
          <a:stCxn id="15" idx="1"/>
          <a:endCxn id="13" idx="3"/>
        </xdr:cNvCxnSpPr>
      </xdr:nvCxnSpPr>
      <xdr:spPr>
        <a:xfrm rot="10800000" flipV="1">
          <a:off x="4396977" y="1085477"/>
          <a:ext cx="1476479" cy="4300214"/>
        </a:xfrm>
        <a:prstGeom prst="curvedConnector3">
          <a:avLst>
            <a:gd name="adj1" fmla="val 50000"/>
          </a:avLst>
        </a:prstGeom>
        <a:ln w="3175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1435</xdr:colOff>
      <xdr:row>23</xdr:row>
      <xdr:rowOff>13735</xdr:rowOff>
    </xdr:from>
    <xdr:to>
      <xdr:col>3</xdr:col>
      <xdr:colOff>10673</xdr:colOff>
      <xdr:row>24</xdr:row>
      <xdr:rowOff>10671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20808F5C-17FC-D14E-B2FB-AC548AD7AFE7}"/>
            </a:ext>
          </a:extLst>
        </xdr:cNvPr>
        <xdr:cNvSpPr/>
      </xdr:nvSpPr>
      <xdr:spPr>
        <a:xfrm>
          <a:off x="2722864" y="5296508"/>
          <a:ext cx="1674112" cy="17836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195808</xdr:colOff>
      <xdr:row>5</xdr:row>
      <xdr:rowOff>4059</xdr:rowOff>
    </xdr:from>
    <xdr:to>
      <xdr:col>5</xdr:col>
      <xdr:colOff>822198</xdr:colOff>
      <xdr:row>5</xdr:row>
      <xdr:rowOff>160508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19F3AA68-7CA0-EF48-804D-BA08B76621B3}"/>
            </a:ext>
          </a:extLst>
        </xdr:cNvPr>
        <xdr:cNvSpPr/>
      </xdr:nvSpPr>
      <xdr:spPr>
        <a:xfrm>
          <a:off x="5225008" y="994659"/>
          <a:ext cx="1312190" cy="156449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831329</xdr:colOff>
      <xdr:row>1</xdr:row>
      <xdr:rowOff>19115</xdr:rowOff>
    </xdr:from>
    <xdr:to>
      <xdr:col>3</xdr:col>
      <xdr:colOff>8141</xdr:colOff>
      <xdr:row>3</xdr:row>
      <xdr:rowOff>10408</xdr:rowOff>
    </xdr:to>
    <xdr:cxnSp macro="">
      <xdr:nvCxnSpPr>
        <xdr:cNvPr id="17" name="Curved Connector 16">
          <a:extLst>
            <a:ext uri="{FF2B5EF4-FFF2-40B4-BE49-F238E27FC236}">
              <a16:creationId xmlns:a16="http://schemas.microsoft.com/office/drawing/2014/main" id="{B5E94F47-5387-4747-8003-A6E8AD25BEEA}"/>
            </a:ext>
          </a:extLst>
        </xdr:cNvPr>
        <xdr:cNvCxnSpPr>
          <a:stCxn id="10" idx="1"/>
          <a:endCxn id="19" idx="0"/>
        </xdr:cNvCxnSpPr>
      </xdr:nvCxnSpPr>
      <xdr:spPr>
        <a:xfrm rot="10800000" flipV="1">
          <a:off x="3079229" y="260415"/>
          <a:ext cx="827812" cy="359593"/>
        </a:xfrm>
        <a:prstGeom prst="curved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18008</xdr:colOff>
      <xdr:row>3</xdr:row>
      <xdr:rowOff>10409</xdr:rowOff>
    </xdr:from>
    <xdr:to>
      <xdr:col>2</xdr:col>
      <xdr:colOff>1644650</xdr:colOff>
      <xdr:row>3</xdr:row>
      <xdr:rowOff>166858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12A29DD4-EF6C-6842-A8BA-A39F5FEE9DB8}"/>
            </a:ext>
          </a:extLst>
        </xdr:cNvPr>
        <xdr:cNvSpPr/>
      </xdr:nvSpPr>
      <xdr:spPr>
        <a:xfrm>
          <a:off x="2265908" y="620009"/>
          <a:ext cx="1626642" cy="156449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227464</xdr:colOff>
      <xdr:row>0</xdr:row>
      <xdr:rowOff>123209</xdr:rowOff>
    </xdr:from>
    <xdr:to>
      <xdr:col>11</xdr:col>
      <xdr:colOff>678021</xdr:colOff>
      <xdr:row>10</xdr:row>
      <xdr:rowOff>113804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C7B2F545-82D9-1D4E-9D92-DA4ACD6FE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4404" y="123209"/>
          <a:ext cx="2924214" cy="1914550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  <xdr:twoCellAnchor editAs="oneCell">
    <xdr:from>
      <xdr:col>8</xdr:col>
      <xdr:colOff>238938</xdr:colOff>
      <xdr:row>11</xdr:row>
      <xdr:rowOff>43853</xdr:rowOff>
    </xdr:from>
    <xdr:to>
      <xdr:col>11</xdr:col>
      <xdr:colOff>672238</xdr:colOff>
      <xdr:row>20</xdr:row>
      <xdr:rowOff>195400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B52BA186-3F43-6A4F-948F-46AA15AA4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5878" y="2166838"/>
          <a:ext cx="2906957" cy="1942816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87BA8B1E-AEB4-1149-8158-CD83F73797F5}"/>
            </a:ext>
          </a:extLst>
        </xdr:cNvPr>
        <xdr:cNvSpPr>
          <a:spLocks noChangeArrowheads="1"/>
        </xdr:cNvSpPr>
      </xdr:nvSpPr>
      <xdr:spPr bwMode="auto">
        <a:xfrm>
          <a:off x="866775" y="3619500"/>
          <a:ext cx="1381210" cy="2540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>
    <xdr:from>
      <xdr:col>5</xdr:col>
      <xdr:colOff>158749</xdr:colOff>
      <xdr:row>22</xdr:row>
      <xdr:rowOff>12223</xdr:rowOff>
    </xdr:from>
    <xdr:to>
      <xdr:col>11</xdr:col>
      <xdr:colOff>162560</xdr:colOff>
      <xdr:row>29</xdr:row>
      <xdr:rowOff>168088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40AFE12-3FC3-E749-9002-6C718526E7BE}"/>
            </a:ext>
          </a:extLst>
        </xdr:cNvPr>
        <xdr:cNvSpPr txBox="1"/>
      </xdr:nvSpPr>
      <xdr:spPr>
        <a:xfrm>
          <a:off x="6031229" y="4401343"/>
          <a:ext cx="5246371" cy="1436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u="sng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Proposal 2</a:t>
          </a:r>
          <a:r>
            <a:rPr lang="en-US" sz="900" b="1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: </a:t>
          </a:r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A simulation indicates that the </a:t>
          </a:r>
          <a:r>
            <a:rPr lang="en-US" sz="90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average number of jobs in the system with constant interarrival times is approximately 1.4.</a:t>
          </a:r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</a:t>
          </a:r>
        </a:p>
        <a:p>
          <a:endParaRPr lang="en-US" sz="90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Of these, half will be platen castings (0.7) and half will be housing castings (0.7). </a:t>
          </a: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waiting cost is therefore ($200)(0.7) + ($100)(0.7) = $210 / hour. </a:t>
          </a: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savings ($90 / hour) is somewhat more than the added cost of changing the preceding production cost ($60 / hour). </a:t>
          </a: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net savings ($30) is less than for proposal 1, so this option is less worthwhile.</a:t>
          </a:r>
          <a:endParaRPr lang="en-US" sz="10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2</xdr:col>
      <xdr:colOff>1324578</xdr:colOff>
      <xdr:row>0</xdr:row>
      <xdr:rowOff>81410</xdr:rowOff>
    </xdr:from>
    <xdr:to>
      <xdr:col>6</xdr:col>
      <xdr:colOff>127914</xdr:colOff>
      <xdr:row>2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9CE820E9-D380-9846-8D20-3EDA0B72BC78}"/>
            </a:ext>
          </a:extLst>
        </xdr:cNvPr>
        <xdr:cNvSpPr txBox="1"/>
      </xdr:nvSpPr>
      <xdr:spPr>
        <a:xfrm>
          <a:off x="3179326" y="81410"/>
          <a:ext cx="2887437" cy="3297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In </a:t>
          </a:r>
          <a:r>
            <a:rPr lang="en-US" sz="8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proposal</a:t>
          </a:r>
          <a:r>
            <a:rPr lang="en-US" sz="800" b="1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2</a:t>
          </a:r>
          <a:r>
            <a:rPr lang="en-US" sz="8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, interarrival time is constant (one every 15 min). Everything else is the same.</a:t>
          </a:r>
          <a:endParaRPr lang="en-US" sz="800">
            <a:solidFill>
              <a:srgbClr val="FF0000"/>
            </a:solidFill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2</xdr:col>
      <xdr:colOff>749762</xdr:colOff>
      <xdr:row>1</xdr:row>
      <xdr:rowOff>8727</xdr:rowOff>
    </xdr:from>
    <xdr:to>
      <xdr:col>2</xdr:col>
      <xdr:colOff>1324578</xdr:colOff>
      <xdr:row>6</xdr:row>
      <xdr:rowOff>27000</xdr:rowOff>
    </xdr:to>
    <xdr:cxnSp macro="">
      <xdr:nvCxnSpPr>
        <xdr:cNvPr id="12" name="Curved Connector 11">
          <a:extLst>
            <a:ext uri="{FF2B5EF4-FFF2-40B4-BE49-F238E27FC236}">
              <a16:creationId xmlns:a16="http://schemas.microsoft.com/office/drawing/2014/main" id="{E228C1DF-409A-D44E-81DA-12D1D16A22C4}"/>
            </a:ext>
          </a:extLst>
        </xdr:cNvPr>
        <xdr:cNvCxnSpPr>
          <a:stCxn id="7" idx="1"/>
          <a:endCxn id="14" idx="0"/>
        </xdr:cNvCxnSpPr>
      </xdr:nvCxnSpPr>
      <xdr:spPr>
        <a:xfrm rot="10800000" flipV="1">
          <a:off x="2604510" y="246281"/>
          <a:ext cx="574816" cy="931942"/>
        </a:xfrm>
        <a:prstGeom prst="curvedConnector2">
          <a:avLst/>
        </a:prstGeom>
        <a:ln w="3175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1107</xdr:colOff>
      <xdr:row>6</xdr:row>
      <xdr:rowOff>27000</xdr:rowOff>
    </xdr:from>
    <xdr:to>
      <xdr:col>2</xdr:col>
      <xdr:colOff>1498417</xdr:colOff>
      <xdr:row>8</xdr:row>
      <xdr:rowOff>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E4B1BD52-31E7-E54C-9F87-8ECF648DA49E}"/>
            </a:ext>
          </a:extLst>
        </xdr:cNvPr>
        <xdr:cNvSpPr/>
      </xdr:nvSpPr>
      <xdr:spPr>
        <a:xfrm>
          <a:off x="1855855" y="1178223"/>
          <a:ext cx="1497310" cy="347604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761590</xdr:colOff>
      <xdr:row>5</xdr:row>
      <xdr:rowOff>78225</xdr:rowOff>
    </xdr:from>
    <xdr:to>
      <xdr:col>4</xdr:col>
      <xdr:colOff>116639</xdr:colOff>
      <xdr:row>23</xdr:row>
      <xdr:rowOff>12873</xdr:rowOff>
    </xdr:to>
    <xdr:cxnSp macro="">
      <xdr:nvCxnSpPr>
        <xdr:cNvPr id="16" name="Curved Connector 15">
          <a:extLst>
            <a:ext uri="{FF2B5EF4-FFF2-40B4-BE49-F238E27FC236}">
              <a16:creationId xmlns:a16="http://schemas.microsoft.com/office/drawing/2014/main" id="{21FD7848-B30D-7C4B-A3EB-52A62D30A615}"/>
            </a:ext>
          </a:extLst>
        </xdr:cNvPr>
        <xdr:cNvCxnSpPr>
          <a:stCxn id="18" idx="1"/>
          <a:endCxn id="17" idx="0"/>
        </xdr:cNvCxnSpPr>
      </xdr:nvCxnSpPr>
      <xdr:spPr>
        <a:xfrm rot="10800000" flipV="1">
          <a:off x="3352390" y="1084065"/>
          <a:ext cx="1925529" cy="3500808"/>
        </a:xfrm>
        <a:prstGeom prst="curvedConnector2">
          <a:avLst/>
        </a:prstGeom>
        <a:ln w="3175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10160</xdr:colOff>
      <xdr:row>23</xdr:row>
      <xdr:rowOff>12873</xdr:rowOff>
    </xdr:from>
    <xdr:to>
      <xdr:col>3</xdr:col>
      <xdr:colOff>9338</xdr:colOff>
      <xdr:row>24</xdr:row>
      <xdr:rowOff>10160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AE14AB66-2B18-E740-943D-F0DBFA08AA71}"/>
            </a:ext>
          </a:extLst>
        </xdr:cNvPr>
        <xdr:cNvSpPr/>
      </xdr:nvSpPr>
      <xdr:spPr>
        <a:xfrm>
          <a:off x="2600960" y="4584873"/>
          <a:ext cx="1502858" cy="18016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116638</xdr:colOff>
      <xdr:row>5</xdr:row>
      <xdr:rowOff>0</xdr:rowOff>
    </xdr:from>
    <xdr:to>
      <xdr:col>6</xdr:col>
      <xdr:colOff>13737</xdr:colOff>
      <xdr:row>5</xdr:row>
      <xdr:rowOff>156449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779FD198-78CE-F140-83C0-6AD027BE020A}"/>
            </a:ext>
          </a:extLst>
        </xdr:cNvPr>
        <xdr:cNvSpPr/>
      </xdr:nvSpPr>
      <xdr:spPr>
        <a:xfrm>
          <a:off x="4538796" y="977626"/>
          <a:ext cx="1413790" cy="156449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264160</xdr:colOff>
      <xdr:row>0</xdr:row>
      <xdr:rowOff>223520</xdr:rowOff>
    </xdr:from>
    <xdr:to>
      <xdr:col>11</xdr:col>
      <xdr:colOff>719494</xdr:colOff>
      <xdr:row>10</xdr:row>
      <xdr:rowOff>177190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E060BA3-9339-144C-A733-69CBEFC1C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760" y="223520"/>
          <a:ext cx="2924214" cy="1914550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  <xdr:twoCellAnchor editAs="oneCell">
    <xdr:from>
      <xdr:col>8</xdr:col>
      <xdr:colOff>275634</xdr:colOff>
      <xdr:row>11</xdr:row>
      <xdr:rowOff>103069</xdr:rowOff>
    </xdr:from>
    <xdr:to>
      <xdr:col>11</xdr:col>
      <xdr:colOff>713711</xdr:colOff>
      <xdr:row>21</xdr:row>
      <xdr:rowOff>3725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6F3A2BA-7693-5B4B-9D19-3C2DC9907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13234" y="2267149"/>
          <a:ext cx="2906957" cy="1942816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2" name="AutoShape 2" descr="712ee6ff-9d2e-4cee-b5c5-e443afc55086">
          <a:extLst>
            <a:ext uri="{FF2B5EF4-FFF2-40B4-BE49-F238E27FC236}">
              <a16:creationId xmlns:a16="http://schemas.microsoft.com/office/drawing/2014/main" id="{F285E9F6-E102-AE44-B8C3-D81702A82B4B}"/>
            </a:ext>
          </a:extLst>
        </xdr:cNvPr>
        <xdr:cNvSpPr>
          <a:spLocks noChangeArrowheads="1"/>
        </xdr:cNvSpPr>
      </xdr:nvSpPr>
      <xdr:spPr bwMode="auto">
        <a:xfrm>
          <a:off x="866775" y="3619500"/>
          <a:ext cx="1381210" cy="2540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  <xdr:twoCellAnchor>
    <xdr:from>
      <xdr:col>5</xdr:col>
      <xdr:colOff>98036</xdr:colOff>
      <xdr:row>21</xdr:row>
      <xdr:rowOff>174709</xdr:rowOff>
    </xdr:from>
    <xdr:to>
      <xdr:col>12</xdr:col>
      <xdr:colOff>762000</xdr:colOff>
      <xdr:row>30</xdr:row>
      <xdr:rowOff>12700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D45DF7C-5853-5943-A200-E38311697324}"/>
            </a:ext>
          </a:extLst>
        </xdr:cNvPr>
        <xdr:cNvSpPr txBox="1"/>
      </xdr:nvSpPr>
      <xdr:spPr>
        <a:xfrm>
          <a:off x="6321036" y="4353009"/>
          <a:ext cx="6747264" cy="14381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u="sng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Proposal 1 and 2</a:t>
          </a:r>
          <a:r>
            <a:rPr lang="en-US" sz="900" b="1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: </a:t>
          </a:r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Simulation </a:t>
          </a:r>
          <a:r>
            <a:rPr lang="en-US" sz="900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</a:t>
          </a:r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indicates that the </a:t>
          </a:r>
          <a:r>
            <a:rPr lang="en-US" sz="90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average number of jobs in the system with 3 planers and constant interarrival times is approximately 1.33. </a:t>
          </a:r>
        </a:p>
        <a:p>
          <a:endParaRPr lang="en-US" sz="90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Of these, half will be platen castings (0.665) and half will be housing castings (0.665). </a:t>
          </a: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waiting cost is therefore ($200)(0.665) + ($100)(0.665) = $200 / hour. </a:t>
          </a: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savings ($100 / hour) is more than the combined cost of adding a third planer and changing the preceding production cost ($90 / hour).</a:t>
          </a:r>
          <a:r>
            <a:rPr lang="en-US" sz="900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</a:t>
          </a:r>
        </a:p>
        <a:p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The net savings ($10) is less than for proposals</a:t>
          </a:r>
          <a:r>
            <a:rPr lang="en-US" sz="900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1 and 2</a:t>
          </a:r>
          <a:r>
            <a:rPr lang="en-US" sz="90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, so this option is less worthwhile.</a:t>
          </a:r>
        </a:p>
        <a:p>
          <a:endParaRPr lang="en-US" sz="90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Consolas" panose="020B0609020204030204" pitchFamily="49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u="sng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Overall recommendation:</a:t>
          </a:r>
          <a:r>
            <a:rPr lang="en-US" sz="900">
              <a:solidFill>
                <a:srgbClr val="FF0000"/>
              </a:solidFill>
              <a:effectLst/>
              <a:latin typeface="Consolas" panose="020B0609020204030204" pitchFamily="49" charset="0"/>
              <a:ea typeface="+mn-ea"/>
              <a:cs typeface="Consolas" panose="020B0609020204030204" pitchFamily="49" charset="0"/>
            </a:rPr>
            <a:t> Proposal 1 appears to be the most worthwhile.</a:t>
          </a:r>
          <a:endParaRPr lang="en-US" sz="1000">
            <a:solidFill>
              <a:srgbClr val="FF0000"/>
            </a:solidFill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2</xdr:col>
      <xdr:colOff>740224</xdr:colOff>
      <xdr:row>5</xdr:row>
      <xdr:rowOff>87562</xdr:rowOff>
    </xdr:from>
    <xdr:to>
      <xdr:col>4</xdr:col>
      <xdr:colOff>18677</xdr:colOff>
      <xdr:row>23</xdr:row>
      <xdr:rowOff>9337</xdr:rowOff>
    </xdr:to>
    <xdr:cxnSp macro="">
      <xdr:nvCxnSpPr>
        <xdr:cNvPr id="10" name="Curved Connector 9">
          <a:extLst>
            <a:ext uri="{FF2B5EF4-FFF2-40B4-BE49-F238E27FC236}">
              <a16:creationId xmlns:a16="http://schemas.microsoft.com/office/drawing/2014/main" id="{3D924800-0DFC-1440-8D1E-DF2BF11E42EA}"/>
            </a:ext>
          </a:extLst>
        </xdr:cNvPr>
        <xdr:cNvCxnSpPr>
          <a:stCxn id="12" idx="1"/>
          <a:endCxn id="11" idx="0"/>
        </xdr:cNvCxnSpPr>
      </xdr:nvCxnSpPr>
      <xdr:spPr>
        <a:xfrm rot="10800000" flipV="1">
          <a:off x="3457650" y="1077415"/>
          <a:ext cx="1967865" cy="3488981"/>
        </a:xfrm>
        <a:prstGeom prst="curvedConnector2">
          <a:avLst/>
        </a:prstGeom>
        <a:ln w="3175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2493308</xdr:colOff>
      <xdr:row>23</xdr:row>
      <xdr:rowOff>9338</xdr:rowOff>
    </xdr:from>
    <xdr:to>
      <xdr:col>2</xdr:col>
      <xdr:colOff>1489784</xdr:colOff>
      <xdr:row>24</xdr:row>
      <xdr:rowOff>9339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5E41A05F-05A9-2849-9E17-50C7038573EA}"/>
            </a:ext>
          </a:extLst>
        </xdr:cNvPr>
        <xdr:cNvSpPr/>
      </xdr:nvSpPr>
      <xdr:spPr>
        <a:xfrm>
          <a:off x="2708087" y="4566397"/>
          <a:ext cx="1499123" cy="17742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18676</xdr:colOff>
      <xdr:row>5</xdr:row>
      <xdr:rowOff>9338</xdr:rowOff>
    </xdr:from>
    <xdr:to>
      <xdr:col>6</xdr:col>
      <xdr:colOff>19242</xdr:colOff>
      <xdr:row>5</xdr:row>
      <xdr:rowOff>165787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EADEE4B4-DC01-2C45-8E59-37A2D33CDB5A}"/>
            </a:ext>
          </a:extLst>
        </xdr:cNvPr>
        <xdr:cNvSpPr/>
      </xdr:nvSpPr>
      <xdr:spPr>
        <a:xfrm>
          <a:off x="5425514" y="999191"/>
          <a:ext cx="1522699" cy="156449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61213</xdr:colOff>
      <xdr:row>0</xdr:row>
      <xdr:rowOff>74706</xdr:rowOff>
    </xdr:from>
    <xdr:to>
      <xdr:col>6</xdr:col>
      <xdr:colOff>635000</xdr:colOff>
      <xdr:row>1</xdr:row>
      <xdr:rowOff>177222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877DDBE3-D71B-F842-8BA5-339542891F91}"/>
            </a:ext>
          </a:extLst>
        </xdr:cNvPr>
        <xdr:cNvSpPr txBox="1"/>
      </xdr:nvSpPr>
      <xdr:spPr>
        <a:xfrm>
          <a:off x="4272757" y="74706"/>
          <a:ext cx="3291214" cy="34531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Combine proposals</a:t>
          </a:r>
          <a:r>
            <a:rPr lang="en-US" sz="800" b="1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 1 and 2:</a:t>
          </a:r>
        </a:p>
        <a:p>
          <a:r>
            <a:rPr lang="en-US" sz="800" baseline="0">
              <a:solidFill>
                <a:srgbClr val="FF0000"/>
              </a:solidFill>
              <a:latin typeface="Consolas" panose="020B0609020204030204" pitchFamily="49" charset="0"/>
              <a:cs typeface="Consolas" panose="020B0609020204030204" pitchFamily="49" charset="0"/>
            </a:rPr>
            <a:t>3 servers plus interarrival time  constant at 15 min.</a:t>
          </a:r>
          <a:endParaRPr lang="en-US" sz="800">
            <a:solidFill>
              <a:srgbClr val="FF0000"/>
            </a:solidFill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2</xdr:col>
      <xdr:colOff>752551</xdr:colOff>
      <xdr:row>1</xdr:row>
      <xdr:rowOff>4567</xdr:rowOff>
    </xdr:from>
    <xdr:to>
      <xdr:col>3</xdr:col>
      <xdr:colOff>61214</xdr:colOff>
      <xdr:row>3</xdr:row>
      <xdr:rowOff>2988</xdr:rowOff>
    </xdr:to>
    <xdr:cxnSp macro="">
      <xdr:nvCxnSpPr>
        <xdr:cNvPr id="17" name="Curved Connector 16">
          <a:extLst>
            <a:ext uri="{FF2B5EF4-FFF2-40B4-BE49-F238E27FC236}">
              <a16:creationId xmlns:a16="http://schemas.microsoft.com/office/drawing/2014/main" id="{4B55C23F-FB94-D144-8138-A6BF0F825BCC}"/>
            </a:ext>
          </a:extLst>
        </xdr:cNvPr>
        <xdr:cNvCxnSpPr>
          <a:stCxn id="16" idx="1"/>
          <a:endCxn id="18" idx="0"/>
        </xdr:cNvCxnSpPr>
      </xdr:nvCxnSpPr>
      <xdr:spPr>
        <a:xfrm rot="10800000" flipV="1">
          <a:off x="3469977" y="247361"/>
          <a:ext cx="802781" cy="362612"/>
        </a:xfrm>
        <a:prstGeom prst="curvedConnector2">
          <a:avLst/>
        </a:prstGeom>
        <a:ln w="3175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2988</xdr:colOff>
      <xdr:row>3</xdr:row>
      <xdr:rowOff>2988</xdr:rowOff>
    </xdr:from>
    <xdr:to>
      <xdr:col>3</xdr:col>
      <xdr:colOff>7993</xdr:colOff>
      <xdr:row>4</xdr:row>
      <xdr:rowOff>2988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96CC7C88-C713-E842-87BA-063BB647E4B2}"/>
            </a:ext>
          </a:extLst>
        </xdr:cNvPr>
        <xdr:cNvSpPr/>
      </xdr:nvSpPr>
      <xdr:spPr>
        <a:xfrm>
          <a:off x="2720414" y="609973"/>
          <a:ext cx="1499123" cy="17742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755539</xdr:colOff>
      <xdr:row>1</xdr:row>
      <xdr:rowOff>4566</xdr:rowOff>
    </xdr:from>
    <xdr:to>
      <xdr:col>3</xdr:col>
      <xdr:colOff>61214</xdr:colOff>
      <xdr:row>6</xdr:row>
      <xdr:rowOff>5976</xdr:rowOff>
    </xdr:to>
    <xdr:cxnSp macro="">
      <xdr:nvCxnSpPr>
        <xdr:cNvPr id="20" name="Curved Connector 19">
          <a:extLst>
            <a:ext uri="{FF2B5EF4-FFF2-40B4-BE49-F238E27FC236}">
              <a16:creationId xmlns:a16="http://schemas.microsoft.com/office/drawing/2014/main" id="{FD1F3EF7-6F6C-2A47-B082-6DFC7B9ABE67}"/>
            </a:ext>
          </a:extLst>
        </xdr:cNvPr>
        <xdr:cNvCxnSpPr>
          <a:stCxn id="16" idx="1"/>
          <a:endCxn id="22" idx="0"/>
        </xdr:cNvCxnSpPr>
      </xdr:nvCxnSpPr>
      <xdr:spPr>
        <a:xfrm rot="10800000" flipV="1">
          <a:off x="3472965" y="247360"/>
          <a:ext cx="799793" cy="925895"/>
        </a:xfrm>
        <a:prstGeom prst="curvedConnector2">
          <a:avLst/>
        </a:prstGeom>
        <a:ln w="3175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5976</xdr:colOff>
      <xdr:row>6</xdr:row>
      <xdr:rowOff>5977</xdr:rowOff>
    </xdr:from>
    <xdr:to>
      <xdr:col>3</xdr:col>
      <xdr:colOff>10981</xdr:colOff>
      <xdr:row>8</xdr:row>
      <xdr:rowOff>9338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B67BAA2C-6B47-9447-B239-E6FF214CAB4C}"/>
            </a:ext>
          </a:extLst>
        </xdr:cNvPr>
        <xdr:cNvSpPr/>
      </xdr:nvSpPr>
      <xdr:spPr>
        <a:xfrm>
          <a:off x="2723402" y="1173256"/>
          <a:ext cx="1499123" cy="386229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257820</xdr:colOff>
      <xdr:row>0</xdr:row>
      <xdr:rowOff>171880</xdr:rowOff>
    </xdr:from>
    <xdr:to>
      <xdr:col>11</xdr:col>
      <xdr:colOff>718425</xdr:colOff>
      <xdr:row>10</xdr:row>
      <xdr:rowOff>148009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CC7EC9EF-0E3B-2E47-A78D-9DF9C9D3E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81504" y="171880"/>
          <a:ext cx="2924214" cy="1914550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  <xdr:twoCellAnchor editAs="oneCell">
    <xdr:from>
      <xdr:col>8</xdr:col>
      <xdr:colOff>269294</xdr:colOff>
      <xdr:row>11</xdr:row>
      <xdr:rowOff>76562</xdr:rowOff>
    </xdr:from>
    <xdr:to>
      <xdr:col>11</xdr:col>
      <xdr:colOff>712642</xdr:colOff>
      <xdr:row>20</xdr:row>
      <xdr:rowOff>214641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3BD870F-A19E-B149-A726-5966A896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92978" y="2215509"/>
          <a:ext cx="2906957" cy="1942816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8162-E136-6443-8FC1-45196420D34D}">
  <dimension ref="A1"/>
  <sheetViews>
    <sheetView tabSelected="1" zoomScale="169" zoomScaleNormal="150" workbookViewId="0">
      <selection activeCell="E22" sqref="E22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A0F17-4564-174E-8650-967980F2CDCD}">
  <sheetPr codeName="Sheet6">
    <pageSetUpPr fitToPage="1"/>
  </sheetPr>
  <dimension ref="A1:J27"/>
  <sheetViews>
    <sheetView zoomScale="141" zoomScaleNormal="100" workbookViewId="0">
      <selection activeCell="D26" sqref="D26"/>
    </sheetView>
  </sheetViews>
  <sheetFormatPr baseColWidth="10" defaultColWidth="3.83203125" defaultRowHeight="14" x14ac:dyDescent="0.2"/>
  <cols>
    <col min="1" max="1" width="4.1640625" style="2" customWidth="1"/>
    <col min="2" max="2" width="32.1640625" style="2" bestFit="1" customWidth="1"/>
    <col min="3" max="3" width="22.33203125" style="3" bestFit="1" customWidth="1"/>
    <col min="4" max="4" width="9.6640625" style="2" bestFit="1" customWidth="1"/>
    <col min="5" max="5" width="10.5" style="2" bestFit="1" customWidth="1"/>
    <col min="6" max="6" width="11.5" style="3" bestFit="1" customWidth="1"/>
    <col min="7" max="8" width="11.5" style="2" bestFit="1" customWidth="1"/>
    <col min="9" max="16384" width="3.83203125" style="2"/>
  </cols>
  <sheetData>
    <row r="1" spans="1:10" ht="19" x14ac:dyDescent="0.25">
      <c r="A1" s="1" t="s">
        <v>15</v>
      </c>
    </row>
    <row r="3" spans="1:10" ht="15" thickBot="1" x14ac:dyDescent="0.25">
      <c r="C3" s="4" t="s">
        <v>14</v>
      </c>
      <c r="F3" s="2"/>
      <c r="G3" s="5" t="s">
        <v>13</v>
      </c>
    </row>
    <row r="4" spans="1:10" x14ac:dyDescent="0.2">
      <c r="B4" s="6" t="s">
        <v>12</v>
      </c>
      <c r="C4" s="7">
        <v>2</v>
      </c>
      <c r="E4" s="8"/>
      <c r="F4" s="9" t="s">
        <v>11</v>
      </c>
      <c r="G4" s="39" t="s">
        <v>10</v>
      </c>
      <c r="H4" s="40"/>
    </row>
    <row r="5" spans="1:10" ht="16" x14ac:dyDescent="0.2">
      <c r="E5" s="10"/>
      <c r="F5" s="11" t="s">
        <v>9</v>
      </c>
      <c r="G5" s="12" t="s">
        <v>8</v>
      </c>
      <c r="H5" s="13" t="s">
        <v>7</v>
      </c>
      <c r="J5" s="14"/>
    </row>
    <row r="6" spans="1:10" x14ac:dyDescent="0.2">
      <c r="B6" s="5" t="s">
        <v>6</v>
      </c>
      <c r="E6" s="15" t="s">
        <v>5</v>
      </c>
      <c r="F6" s="16">
        <v>2.0343979673946535</v>
      </c>
      <c r="G6" s="17">
        <v>1.9170691972453358</v>
      </c>
      <c r="H6" s="18">
        <v>2.1517267375439713</v>
      </c>
    </row>
    <row r="7" spans="1:10" ht="16" x14ac:dyDescent="0.25">
      <c r="B7" s="6" t="s">
        <v>2</v>
      </c>
      <c r="C7" s="7" t="s">
        <v>16</v>
      </c>
      <c r="E7" s="19" t="s">
        <v>29</v>
      </c>
      <c r="F7" s="20">
        <v>0.69705618243616163</v>
      </c>
      <c r="G7" s="17">
        <v>0.60240646450865154</v>
      </c>
      <c r="H7" s="18">
        <v>0.79170590036367172</v>
      </c>
    </row>
    <row r="8" spans="1:10" x14ac:dyDescent="0.2">
      <c r="B8" s="6" t="str">
        <f>IF(C7="Constant","Value =",IF(C7="Erlang","Mean =",IF(C7="Exponential","Mean =",IF(C7="Translated Exponential","Minimum Value =","Minimum Value ="))))</f>
        <v>Mean =</v>
      </c>
      <c r="C8" s="7">
        <v>15</v>
      </c>
      <c r="E8" s="19" t="s">
        <v>4</v>
      </c>
      <c r="F8" s="20">
        <v>30.187145585723695</v>
      </c>
      <c r="G8" s="17">
        <v>28.82341615515757</v>
      </c>
      <c r="H8" s="18">
        <v>31.550875016289819</v>
      </c>
    </row>
    <row r="9" spans="1:10" ht="16" x14ac:dyDescent="0.25">
      <c r="B9" s="6" t="str">
        <f>IF(C7="Erlang","k =",IF(C7="Translated Exponential","Mean =",IF(C7="Uniform","Maximum Value =","")))</f>
        <v/>
      </c>
      <c r="C9" s="7"/>
      <c r="E9" s="19" t="s">
        <v>30</v>
      </c>
      <c r="F9" s="20">
        <v>10.34317611296906</v>
      </c>
      <c r="G9" s="17">
        <v>9.0578560568553694</v>
      </c>
      <c r="H9" s="18">
        <v>11.62849616908275</v>
      </c>
    </row>
    <row r="10" spans="1:10" x14ac:dyDescent="0.2">
      <c r="E10" s="19"/>
      <c r="F10" s="20"/>
      <c r="G10" s="17"/>
      <c r="H10" s="18"/>
    </row>
    <row r="11" spans="1:10" ht="16" x14ac:dyDescent="0.25">
      <c r="B11" s="5" t="s">
        <v>3</v>
      </c>
      <c r="E11" s="19" t="s">
        <v>31</v>
      </c>
      <c r="F11" s="20">
        <v>0.1942947244272043</v>
      </c>
      <c r="G11" s="17">
        <v>0.18292246116497526</v>
      </c>
      <c r="H11" s="18">
        <v>0.20566698768943334</v>
      </c>
    </row>
    <row r="12" spans="1:10" ht="16" x14ac:dyDescent="0.25">
      <c r="B12" s="6" t="s">
        <v>2</v>
      </c>
      <c r="C12" s="7" t="s">
        <v>17</v>
      </c>
      <c r="E12" s="19" t="s">
        <v>32</v>
      </c>
      <c r="F12" s="20">
        <v>0.27406876618709836</v>
      </c>
      <c r="G12" s="17">
        <v>0.26290349015906689</v>
      </c>
      <c r="H12" s="18">
        <v>0.28523404221512982</v>
      </c>
    </row>
    <row r="13" spans="1:10" ht="16" x14ac:dyDescent="0.25">
      <c r="B13" s="6" t="str">
        <f>IF(C12="Constant","Value =",IF(C12="Erlang","Mean =",IF(C12="Exponential","Mean =",IF(C12="Translated Exponential","Minimum Value =","Minimum Value ="))))</f>
        <v>Minimum Value =</v>
      </c>
      <c r="C13" s="7">
        <v>10</v>
      </c>
      <c r="E13" s="19" t="s">
        <v>33</v>
      </c>
      <c r="F13" s="20">
        <v>0.22112456460499635</v>
      </c>
      <c r="G13" s="17">
        <v>0.2131444730162764</v>
      </c>
      <c r="H13" s="18">
        <v>0.22910465619371631</v>
      </c>
    </row>
    <row r="14" spans="1:10" ht="16" x14ac:dyDescent="0.25">
      <c r="B14" s="6" t="str">
        <f>IF(C12="Erlang","k =",IF(C12="Translated Exponential","Mean =",IF(C12="Uniform","Maximum Value =","")))</f>
        <v>Mean =</v>
      </c>
      <c r="C14" s="7">
        <v>20</v>
      </c>
      <c r="E14" s="19" t="s">
        <v>34</v>
      </c>
      <c r="F14" s="20">
        <v>0.13376204367816888</v>
      </c>
      <c r="G14" s="17">
        <v>0.12703547349120173</v>
      </c>
      <c r="H14" s="18">
        <v>0.14048861386513603</v>
      </c>
    </row>
    <row r="15" spans="1:10" ht="16" x14ac:dyDescent="0.25">
      <c r="E15" s="19" t="s">
        <v>35</v>
      </c>
      <c r="F15" s="20">
        <v>8.0125529274945262E-2</v>
      </c>
      <c r="G15" s="17">
        <v>7.3604036983895588E-2</v>
      </c>
      <c r="H15" s="18">
        <v>8.6647021565994936E-2</v>
      </c>
    </row>
    <row r="16" spans="1:10" ht="16" x14ac:dyDescent="0.25">
      <c r="B16" s="5" t="s">
        <v>1</v>
      </c>
      <c r="E16" s="19" t="s">
        <v>36</v>
      </c>
      <c r="F16" s="20">
        <v>4.3300546457406344E-2</v>
      </c>
      <c r="G16" s="17">
        <v>3.7873330073545632E-2</v>
      </c>
      <c r="H16" s="18">
        <v>4.8727762841267057E-2</v>
      </c>
    </row>
    <row r="17" spans="2:8" ht="16" x14ac:dyDescent="0.25">
      <c r="B17" s="6" t="s">
        <v>0</v>
      </c>
      <c r="C17" s="21">
        <v>10000</v>
      </c>
      <c r="E17" s="19" t="s">
        <v>37</v>
      </c>
      <c r="F17" s="20">
        <v>2.481506904417435E-2</v>
      </c>
      <c r="G17" s="17">
        <v>2.0158168420438126E-2</v>
      </c>
      <c r="H17" s="18">
        <v>2.9471969667910575E-2</v>
      </c>
    </row>
    <row r="18" spans="2:8" ht="16" x14ac:dyDescent="0.25">
      <c r="E18" s="19" t="s">
        <v>38</v>
      </c>
      <c r="F18" s="20">
        <v>1.3254536048178509E-2</v>
      </c>
      <c r="G18" s="17">
        <v>9.375715247180564E-3</v>
      </c>
      <c r="H18" s="18">
        <v>1.7133356849176454E-2</v>
      </c>
    </row>
    <row r="19" spans="2:8" ht="16" x14ac:dyDescent="0.25">
      <c r="E19" s="19" t="s">
        <v>39</v>
      </c>
      <c r="F19" s="20">
        <v>6.894361268295934E-3</v>
      </c>
      <c r="G19" s="17">
        <v>3.9272570684056336E-3</v>
      </c>
      <c r="H19" s="18">
        <v>9.8614654681862344E-3</v>
      </c>
    </row>
    <row r="20" spans="2:8" ht="16" x14ac:dyDescent="0.25">
      <c r="E20" s="19" t="s">
        <v>40</v>
      </c>
      <c r="F20" s="20">
        <v>4.0483819643596722E-3</v>
      </c>
      <c r="G20" s="17">
        <v>1.7085761323100673E-3</v>
      </c>
      <c r="H20" s="18">
        <v>6.3881877964092771E-3</v>
      </c>
    </row>
    <row r="21" spans="2:8" ht="17" thickBot="1" x14ac:dyDescent="0.3">
      <c r="E21" s="22" t="s">
        <v>41</v>
      </c>
      <c r="F21" s="23">
        <v>2.2260374983300332E-3</v>
      </c>
      <c r="G21" s="24">
        <v>6.0146711061778886E-4</v>
      </c>
      <c r="H21" s="25">
        <v>3.8506078860422776E-3</v>
      </c>
    </row>
    <row r="23" spans="2:8" x14ac:dyDescent="0.2">
      <c r="B23" s="26" t="s">
        <v>25</v>
      </c>
      <c r="C23" s="27"/>
      <c r="D23" s="28" t="s">
        <v>42</v>
      </c>
      <c r="E23" s="28" t="s">
        <v>23</v>
      </c>
    </row>
    <row r="24" spans="2:8" x14ac:dyDescent="0.2">
      <c r="B24" s="2" t="s">
        <v>20</v>
      </c>
      <c r="C24" s="7">
        <v>2</v>
      </c>
    </row>
    <row r="25" spans="2:8" x14ac:dyDescent="0.2">
      <c r="B25" s="2" t="s">
        <v>19</v>
      </c>
      <c r="C25" s="7">
        <f>C24/2</f>
        <v>1</v>
      </c>
      <c r="D25" s="29">
        <v>100</v>
      </c>
      <c r="E25" s="30">
        <f>C25*D25</f>
        <v>100</v>
      </c>
    </row>
    <row r="26" spans="2:8" x14ac:dyDescent="0.2">
      <c r="B26" s="28" t="s">
        <v>21</v>
      </c>
      <c r="C26" s="31">
        <f>C24/2</f>
        <v>1</v>
      </c>
      <c r="D26" s="32">
        <v>200</v>
      </c>
      <c r="E26" s="33">
        <f>D26*C26</f>
        <v>200</v>
      </c>
    </row>
    <row r="27" spans="2:8" x14ac:dyDescent="0.2">
      <c r="D27" s="5" t="s">
        <v>24</v>
      </c>
      <c r="E27" s="34">
        <f>SUM(E25:E26)</f>
        <v>300</v>
      </c>
    </row>
  </sheetData>
  <mergeCells count="1">
    <mergeCell ref="G4:H4"/>
  </mergeCells>
  <conditionalFormatting sqref="C9">
    <cfRule type="expression" dxfId="14" priority="2" stopIfTrue="1">
      <formula>OR(C7="Exponential",C7="Constant")</formula>
    </cfRule>
  </conditionalFormatting>
  <conditionalFormatting sqref="C14 C25:C26">
    <cfRule type="expression" dxfId="13" priority="3" stopIfTrue="1">
      <formula>OR(C12="Constant",C12="Exponential")</formula>
    </cfRule>
  </conditionalFormatting>
  <conditionalFormatting sqref="C24">
    <cfRule type="expression" dxfId="12" priority="4" stopIfTrue="1">
      <formula>OR(#REF!="Constant",#REF!="Exponential")</formula>
    </cfRule>
  </conditionalFormatting>
  <dataValidations count="3">
    <dataValidation type="whole" allowBlank="1" showInputMessage="1" showErrorMessage="1" error="The number of servers must be between 1 and 25 (inclusive)." sqref="C4" xr:uid="{00000000-0002-0000-0000-000003000000}">
      <formula1>1</formula1>
      <formula2>25</formula2>
    </dataValidation>
    <dataValidation type="whole" allowBlank="1" showInputMessage="1" showErrorMessage="1" error="The number of arrivals simulated must be an integer between 1 and 1,000,000." sqref="C17" xr:uid="{00000000-0002-0000-0000-000002000000}">
      <formula1>1</formula1>
      <formula2>1000000</formula2>
    </dataValidation>
    <dataValidation type="list" allowBlank="1" showInputMessage="1" showErrorMessage="1" sqref="C7 C12" xr:uid="{00000000-0002-0000-0000-000000000000}">
      <formula1>"Constant,Erlang,Exponential,Translated Exponential,Uniform"</formula1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6F0F0-27A9-CE41-A935-318CD1671203}">
  <sheetPr codeName="Sheet7">
    <pageSetUpPr fitToPage="1"/>
  </sheetPr>
  <dimension ref="A1:J30"/>
  <sheetViews>
    <sheetView zoomScale="134" zoomScaleNormal="100" workbookViewId="0">
      <selection activeCell="E29" sqref="E29"/>
    </sheetView>
  </sheetViews>
  <sheetFormatPr baseColWidth="10" defaultColWidth="10.83203125" defaultRowHeight="14" x14ac:dyDescent="0.2"/>
  <cols>
    <col min="1" max="1" width="4.1640625" style="2" customWidth="1"/>
    <col min="2" max="2" width="31.5" style="2" bestFit="1" customWidth="1"/>
    <col min="3" max="3" width="21.83203125" style="3" bestFit="1" customWidth="1"/>
    <col min="4" max="4" width="17" style="2" bestFit="1" customWidth="1"/>
    <col min="5" max="5" width="10.33203125" style="2" bestFit="1" customWidth="1"/>
    <col min="6" max="6" width="11.33203125" style="3" bestFit="1" customWidth="1"/>
    <col min="7" max="7" width="12.1640625" style="2" bestFit="1" customWidth="1"/>
    <col min="8" max="8" width="11.33203125" style="2" bestFit="1" customWidth="1"/>
    <col min="9" max="16384" width="10.83203125" style="2"/>
  </cols>
  <sheetData>
    <row r="1" spans="1:10" ht="19" x14ac:dyDescent="0.25">
      <c r="A1" s="1" t="s">
        <v>15</v>
      </c>
    </row>
    <row r="3" spans="1:10" ht="15" thickBot="1" x14ac:dyDescent="0.25">
      <c r="C3" s="4" t="s">
        <v>14</v>
      </c>
      <c r="F3" s="2"/>
      <c r="G3" s="5" t="s">
        <v>13</v>
      </c>
    </row>
    <row r="4" spans="1:10" x14ac:dyDescent="0.2">
      <c r="B4" s="6" t="s">
        <v>12</v>
      </c>
      <c r="C4" s="7">
        <v>3</v>
      </c>
      <c r="E4" s="8"/>
      <c r="F4" s="9" t="s">
        <v>11</v>
      </c>
      <c r="G4" s="39" t="s">
        <v>10</v>
      </c>
      <c r="H4" s="40"/>
    </row>
    <row r="5" spans="1:10" ht="16" x14ac:dyDescent="0.2">
      <c r="E5" s="10"/>
      <c r="F5" s="11" t="s">
        <v>9</v>
      </c>
      <c r="G5" s="12" t="s">
        <v>8</v>
      </c>
      <c r="H5" s="13" t="s">
        <v>7</v>
      </c>
      <c r="J5" s="14"/>
    </row>
    <row r="6" spans="1:10" x14ac:dyDescent="0.2">
      <c r="B6" s="5" t="s">
        <v>6</v>
      </c>
      <c r="E6" s="15" t="s">
        <v>5</v>
      </c>
      <c r="F6" s="16">
        <v>1.40142049250219</v>
      </c>
      <c r="G6" s="17">
        <v>1.3635551610646361</v>
      </c>
      <c r="H6" s="18">
        <v>1.4392858239397439</v>
      </c>
    </row>
    <row r="7" spans="1:10" ht="16" x14ac:dyDescent="0.25">
      <c r="B7" s="6" t="s">
        <v>2</v>
      </c>
      <c r="C7" s="7" t="s">
        <v>16</v>
      </c>
      <c r="E7" s="19" t="s">
        <v>29</v>
      </c>
      <c r="F7" s="20">
        <v>8.716918050958597E-2</v>
      </c>
      <c r="G7" s="17">
        <v>7.4070412834563545E-2</v>
      </c>
      <c r="H7" s="18">
        <v>0.10026794818460839</v>
      </c>
    </row>
    <row r="8" spans="1:10" x14ac:dyDescent="0.2">
      <c r="B8" s="6" t="str">
        <f>IF(C7="Constant","Value =",IF(C7="Erlang","Mean =",IF(C7="Exponential","Mean =",IF(C7="Translated Exponential","Minimum Value =","Minimum Value ="))))</f>
        <v>Mean =</v>
      </c>
      <c r="C8" s="7">
        <v>15</v>
      </c>
      <c r="E8" s="19" t="s">
        <v>4</v>
      </c>
      <c r="F8" s="20">
        <v>21.173856843196457</v>
      </c>
      <c r="G8" s="17">
        <v>20.858235354619506</v>
      </c>
      <c r="H8" s="18">
        <v>21.489478331773409</v>
      </c>
    </row>
    <row r="9" spans="1:10" ht="16" x14ac:dyDescent="0.25">
      <c r="B9" s="6" t="str">
        <f>IF(C7="Erlang","k =",IF(C7="Translated Exponential","Mean =",IF(C7="Uniform","Maximum Value =","")))</f>
        <v/>
      </c>
      <c r="C9" s="7"/>
      <c r="E9" s="19" t="s">
        <v>30</v>
      </c>
      <c r="F9" s="20">
        <v>1.3170263736855126</v>
      </c>
      <c r="G9" s="17">
        <v>1.131367105351528</v>
      </c>
      <c r="H9" s="18">
        <v>1.5026856420194972</v>
      </c>
    </row>
    <row r="10" spans="1:10" x14ac:dyDescent="0.2">
      <c r="E10" s="19"/>
      <c r="F10" s="20"/>
      <c r="G10" s="17"/>
      <c r="H10" s="18"/>
    </row>
    <row r="11" spans="1:10" ht="16" x14ac:dyDescent="0.25">
      <c r="B11" s="5" t="s">
        <v>3</v>
      </c>
      <c r="E11" s="19" t="s">
        <v>31</v>
      </c>
      <c r="F11" s="20">
        <v>0.25294551335925775</v>
      </c>
      <c r="G11" s="17">
        <v>0.24325325427162012</v>
      </c>
      <c r="H11" s="18">
        <v>0.26263777244689535</v>
      </c>
    </row>
    <row r="12" spans="1:10" ht="16" x14ac:dyDescent="0.25">
      <c r="B12" s="6" t="s">
        <v>2</v>
      </c>
      <c r="C12" s="7" t="s">
        <v>17</v>
      </c>
      <c r="E12" s="19" t="s">
        <v>32</v>
      </c>
      <c r="F12" s="20">
        <v>0.34879407778937355</v>
      </c>
      <c r="G12" s="17">
        <v>0.34069959127117333</v>
      </c>
      <c r="H12" s="18">
        <v>0.35688856430757376</v>
      </c>
    </row>
    <row r="13" spans="1:10" ht="16" x14ac:dyDescent="0.25">
      <c r="B13" s="6" t="str">
        <f>IF(C12="Constant","Value =",IF(C12="Erlang","Mean =",IF(C12="Exponential","Mean =",IF(C12="Translated Exponential","Minimum Value =","Minimum Value ="))))</f>
        <v>Minimum Value =</v>
      </c>
      <c r="C13" s="7">
        <v>10</v>
      </c>
      <c r="E13" s="19" t="s">
        <v>33</v>
      </c>
      <c r="F13" s="20">
        <v>0.22932399235087628</v>
      </c>
      <c r="G13" s="17">
        <v>0.22258342190672994</v>
      </c>
      <c r="H13" s="18">
        <v>0.23606456279502261</v>
      </c>
    </row>
    <row r="14" spans="1:10" ht="16" x14ac:dyDescent="0.25">
      <c r="B14" s="6" t="str">
        <f>IF(C12="Erlang","k =",IF(C12="Translated Exponential","Mean =",IF(C12="Uniform","Maximum Value =","")))</f>
        <v>Mean =</v>
      </c>
      <c r="C14" s="7">
        <v>20</v>
      </c>
      <c r="E14" s="19" t="s">
        <v>34</v>
      </c>
      <c r="F14" s="20">
        <v>0.10885574239982045</v>
      </c>
      <c r="G14" s="17">
        <v>0.10354496715766495</v>
      </c>
      <c r="H14" s="18">
        <v>0.11416651764197594</v>
      </c>
    </row>
    <row r="15" spans="1:10" ht="16" x14ac:dyDescent="0.25">
      <c r="E15" s="19" t="s">
        <v>35</v>
      </c>
      <c r="F15" s="20">
        <v>4.1064663449144126E-2</v>
      </c>
      <c r="G15" s="17">
        <v>3.7205404220863367E-2</v>
      </c>
      <c r="H15" s="18">
        <v>4.4923922677424885E-2</v>
      </c>
    </row>
    <row r="16" spans="1:10" ht="16" x14ac:dyDescent="0.25">
      <c r="B16" s="5" t="s">
        <v>1</v>
      </c>
      <c r="E16" s="19" t="s">
        <v>36</v>
      </c>
      <c r="F16" s="20">
        <v>1.3307454192788594E-2</v>
      </c>
      <c r="G16" s="17">
        <v>1.1096528950658081E-2</v>
      </c>
      <c r="H16" s="18">
        <v>1.5518379434919106E-2</v>
      </c>
    </row>
    <row r="17" spans="2:8" ht="16" x14ac:dyDescent="0.25">
      <c r="B17" s="6" t="s">
        <v>0</v>
      </c>
      <c r="C17" s="21">
        <v>10000</v>
      </c>
      <c r="E17" s="19" t="s">
        <v>37</v>
      </c>
      <c r="F17" s="20">
        <v>4.2367036062298975E-3</v>
      </c>
      <c r="G17" s="17">
        <v>2.9466253898404633E-3</v>
      </c>
      <c r="H17" s="18">
        <v>5.5267818226193317E-3</v>
      </c>
    </row>
    <row r="18" spans="2:8" ht="16" x14ac:dyDescent="0.25">
      <c r="E18" s="19" t="s">
        <v>38</v>
      </c>
      <c r="F18" s="20">
        <v>8.7201299827121322E-4</v>
      </c>
      <c r="G18" s="17">
        <v>2.6081054696200747E-4</v>
      </c>
      <c r="H18" s="18">
        <v>1.4832154495804189E-3</v>
      </c>
    </row>
    <row r="19" spans="2:8" ht="16" x14ac:dyDescent="0.25">
      <c r="E19" s="19" t="s">
        <v>39</v>
      </c>
      <c r="F19" s="20">
        <v>3.2153857309148958E-4</v>
      </c>
      <c r="G19" s="17">
        <v>-2.4405620071470265E-5</v>
      </c>
      <c r="H19" s="18">
        <v>6.6748276625444949E-4</v>
      </c>
    </row>
    <row r="20" spans="2:8" ht="16" x14ac:dyDescent="0.25">
      <c r="E20" s="19" t="s">
        <v>40</v>
      </c>
      <c r="F20" s="20">
        <v>2.6435597039402151E-4</v>
      </c>
      <c r="G20" s="17">
        <v>-3.903718074218962E-5</v>
      </c>
      <c r="H20" s="18">
        <v>5.677491215302327E-4</v>
      </c>
    </row>
    <row r="21" spans="2:8" ht="17" thickBot="1" x14ac:dyDescent="0.3">
      <c r="E21" s="22" t="s">
        <v>41</v>
      </c>
      <c r="F21" s="23">
        <v>1.3945310752648556E-5</v>
      </c>
      <c r="G21" s="24">
        <v>-1.3369126863159028E-5</v>
      </c>
      <c r="H21" s="25">
        <v>4.1259748368456139E-5</v>
      </c>
    </row>
    <row r="23" spans="2:8" x14ac:dyDescent="0.2">
      <c r="B23" s="26"/>
      <c r="C23" s="27"/>
      <c r="D23" s="28" t="s">
        <v>22</v>
      </c>
      <c r="E23" s="28" t="s">
        <v>23</v>
      </c>
    </row>
    <row r="24" spans="2:8" x14ac:dyDescent="0.2">
      <c r="B24" s="2" t="s">
        <v>20</v>
      </c>
      <c r="C24" s="7">
        <v>1.4</v>
      </c>
    </row>
    <row r="25" spans="2:8" x14ac:dyDescent="0.2">
      <c r="B25" s="2" t="s">
        <v>19</v>
      </c>
      <c r="C25" s="7">
        <f>C24/2</f>
        <v>0.7</v>
      </c>
      <c r="D25" s="29">
        <v>100</v>
      </c>
      <c r="E25" s="30">
        <f>C25*D25</f>
        <v>70</v>
      </c>
    </row>
    <row r="26" spans="2:8" x14ac:dyDescent="0.2">
      <c r="B26" s="28" t="s">
        <v>21</v>
      </c>
      <c r="C26" s="31">
        <f>C24/2</f>
        <v>0.7</v>
      </c>
      <c r="D26" s="32">
        <v>200</v>
      </c>
      <c r="E26" s="33">
        <f>D26*C26</f>
        <v>140</v>
      </c>
    </row>
    <row r="27" spans="2:8" x14ac:dyDescent="0.2">
      <c r="D27" s="35" t="s">
        <v>24</v>
      </c>
      <c r="E27" s="36">
        <f>SUM(E25:E26)</f>
        <v>210</v>
      </c>
    </row>
    <row r="28" spans="2:8" x14ac:dyDescent="0.2">
      <c r="D28" s="2" t="s">
        <v>26</v>
      </c>
      <c r="E28" s="30">
        <f>'Case 1 (Current Situation)'!E27-E27</f>
        <v>90</v>
      </c>
    </row>
    <row r="29" spans="2:8" x14ac:dyDescent="0.2">
      <c r="D29" s="28" t="s">
        <v>27</v>
      </c>
      <c r="E29" s="32">
        <v>30</v>
      </c>
    </row>
    <row r="30" spans="2:8" x14ac:dyDescent="0.2">
      <c r="D30" s="37" t="s">
        <v>28</v>
      </c>
      <c r="E30" s="38">
        <f>E28-E29</f>
        <v>60</v>
      </c>
    </row>
  </sheetData>
  <mergeCells count="1">
    <mergeCell ref="G4:H4"/>
  </mergeCells>
  <conditionalFormatting sqref="C9">
    <cfRule type="expression" dxfId="11" priority="3" stopIfTrue="1">
      <formula>OR(C7="Exponential",C7="Constant")</formula>
    </cfRule>
  </conditionalFormatting>
  <conditionalFormatting sqref="C14">
    <cfRule type="expression" dxfId="10" priority="4" stopIfTrue="1">
      <formula>OR(C12="Constant",C12="Exponential")</formula>
    </cfRule>
  </conditionalFormatting>
  <conditionalFormatting sqref="C25:C26">
    <cfRule type="expression" dxfId="9" priority="1" stopIfTrue="1">
      <formula>OR(C23="Constant",C23="Exponential")</formula>
    </cfRule>
  </conditionalFormatting>
  <conditionalFormatting sqref="C24">
    <cfRule type="expression" dxfId="8" priority="2" stopIfTrue="1">
      <formula>OR(#REF!="Constant",#REF!="Exponential")</formula>
    </cfRule>
  </conditionalFormatting>
  <dataValidations disablePrompts="1" count="3">
    <dataValidation type="list" allowBlank="1" showInputMessage="1" showErrorMessage="1" sqref="C7 C12" xr:uid="{A259F595-DB8E-5A4D-963E-D4AE89E61471}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 xr:uid="{3714C161-8484-604C-93A9-C85F687650E2}">
      <formula1>1</formula1>
      <formula2>1000000</formula2>
    </dataValidation>
    <dataValidation type="whole" allowBlank="1" showInputMessage="1" showErrorMessage="1" error="The number of servers must be between 1 and 25 (inclusive)." sqref="C4" xr:uid="{CE114043-BD27-0541-BCEB-6218745D7EED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6B808-F976-8D4C-995A-24E4CAA40E25}">
  <sheetPr codeName="Sheet8">
    <pageSetUpPr fitToPage="1"/>
  </sheetPr>
  <dimension ref="A1:J30"/>
  <sheetViews>
    <sheetView zoomScale="125" zoomScaleNormal="100" workbookViewId="0">
      <selection activeCell="E30" sqref="E30"/>
    </sheetView>
  </sheetViews>
  <sheetFormatPr baseColWidth="10" defaultColWidth="10.83203125" defaultRowHeight="14" x14ac:dyDescent="0.2"/>
  <cols>
    <col min="1" max="1" width="2.83203125" style="2" customWidth="1"/>
    <col min="2" max="2" width="31.1640625" style="2" bestFit="1" customWidth="1"/>
    <col min="3" max="3" width="19.6640625" style="3" bestFit="1" customWidth="1"/>
    <col min="4" max="4" width="16.83203125" style="2" bestFit="1" customWidth="1"/>
    <col min="5" max="5" width="10.5" style="2" bestFit="1" customWidth="1"/>
    <col min="6" max="6" width="10.83203125" style="3" customWidth="1"/>
    <col min="7" max="8" width="12.83203125" style="2" customWidth="1"/>
    <col min="9" max="16384" width="10.83203125" style="2"/>
  </cols>
  <sheetData>
    <row r="1" spans="1:10" ht="19" x14ac:dyDescent="0.25">
      <c r="A1" s="1" t="s">
        <v>15</v>
      </c>
    </row>
    <row r="3" spans="1:10" ht="15" thickBot="1" x14ac:dyDescent="0.25">
      <c r="C3" s="4" t="s">
        <v>14</v>
      </c>
      <c r="F3" s="2"/>
      <c r="G3" s="5" t="s">
        <v>13</v>
      </c>
    </row>
    <row r="4" spans="1:10" x14ac:dyDescent="0.2">
      <c r="B4" s="6" t="s">
        <v>12</v>
      </c>
      <c r="C4" s="7">
        <v>2</v>
      </c>
      <c r="E4" s="8"/>
      <c r="F4" s="9" t="s">
        <v>11</v>
      </c>
      <c r="G4" s="39" t="s">
        <v>10</v>
      </c>
      <c r="H4" s="40"/>
    </row>
    <row r="5" spans="1:10" ht="16" x14ac:dyDescent="0.2">
      <c r="E5" s="10"/>
      <c r="F5" s="11" t="s">
        <v>9</v>
      </c>
      <c r="G5" s="12" t="s">
        <v>8</v>
      </c>
      <c r="H5" s="13" t="s">
        <v>7</v>
      </c>
      <c r="J5" s="14"/>
    </row>
    <row r="6" spans="1:10" x14ac:dyDescent="0.2">
      <c r="B6" s="5" t="s">
        <v>6</v>
      </c>
      <c r="E6" s="15" t="s">
        <v>5</v>
      </c>
      <c r="F6" s="16">
        <v>1.3949875317622922</v>
      </c>
      <c r="G6" s="17">
        <v>1.3754808825200111</v>
      </c>
      <c r="H6" s="18">
        <v>1.4144941810045732</v>
      </c>
    </row>
    <row r="7" spans="1:10" ht="16" x14ac:dyDescent="0.25">
      <c r="B7" s="6" t="s">
        <v>2</v>
      </c>
      <c r="C7" s="7" t="s">
        <v>18</v>
      </c>
      <c r="E7" s="19" t="s">
        <v>29</v>
      </c>
      <c r="F7" s="20">
        <v>5.9571487366294806E-2</v>
      </c>
      <c r="G7" s="17">
        <v>5.1573249497998963E-2</v>
      </c>
      <c r="H7" s="18">
        <v>6.756972523459065E-2</v>
      </c>
    </row>
    <row r="8" spans="1:10" x14ac:dyDescent="0.2">
      <c r="B8" s="6" t="str">
        <f>IF(C7="Constant","Value =",IF(C7="Erlang","Mean =",IF(C7="Exponential","Mean =",IF(C7="Translated Exponential","Minimum Value =","Minimum Value ="))))</f>
        <v>Value =</v>
      </c>
      <c r="C8" s="7">
        <v>15</v>
      </c>
      <c r="E8" s="19" t="s">
        <v>4</v>
      </c>
      <c r="F8" s="20">
        <v>20.924812976434382</v>
      </c>
      <c r="G8" s="17">
        <v>20.632213237800169</v>
      </c>
      <c r="H8" s="18">
        <v>21.217412715068594</v>
      </c>
    </row>
    <row r="9" spans="1:10" ht="16" x14ac:dyDescent="0.25">
      <c r="B9" s="6" t="str">
        <f>IF(C7="Erlang","k =",IF(C7="Translated Exponential","Mean =",IF(C7="Uniform","Maximum Value =","")))</f>
        <v/>
      </c>
      <c r="C9" s="7"/>
      <c r="E9" s="19" t="s">
        <v>30</v>
      </c>
      <c r="F9" s="20">
        <v>0.8935723104944221</v>
      </c>
      <c r="G9" s="17">
        <v>0.7735987424699845</v>
      </c>
      <c r="H9" s="18">
        <v>1.0135458785188596</v>
      </c>
    </row>
    <row r="10" spans="1:10" x14ac:dyDescent="0.2">
      <c r="E10" s="19"/>
      <c r="F10" s="20"/>
      <c r="G10" s="17"/>
      <c r="H10" s="18"/>
    </row>
    <row r="11" spans="1:10" ht="16" x14ac:dyDescent="0.25">
      <c r="B11" s="5" t="s">
        <v>3</v>
      </c>
      <c r="E11" s="19" t="s">
        <v>31</v>
      </c>
      <c r="F11" s="20">
        <v>5.14459144262637E-2</v>
      </c>
      <c r="G11" s="17">
        <v>4.92689549309605E-2</v>
      </c>
      <c r="H11" s="18">
        <v>5.3622873921566901E-2</v>
      </c>
    </row>
    <row r="12" spans="1:10" ht="16" x14ac:dyDescent="0.25">
      <c r="B12" s="6" t="s">
        <v>2</v>
      </c>
      <c r="C12" s="7" t="s">
        <v>17</v>
      </c>
      <c r="E12" s="19" t="s">
        <v>32</v>
      </c>
      <c r="F12" s="20">
        <v>0.56169212675147584</v>
      </c>
      <c r="G12" s="17">
        <v>0.55154286691780041</v>
      </c>
      <c r="H12" s="18">
        <v>0.57184138658515127</v>
      </c>
    </row>
    <row r="13" spans="1:10" ht="16" x14ac:dyDescent="0.25">
      <c r="B13" s="6" t="str">
        <f>IF(C12="Constant","Value =",IF(C12="Erlang","Mean =",IF(C12="Exponential","Mean =",IF(C12="Translated Exponential","Minimum Value =","Minimum Value ="))))</f>
        <v>Minimum Value =</v>
      </c>
      <c r="C13" s="7">
        <v>10</v>
      </c>
      <c r="E13" s="19" t="s">
        <v>33</v>
      </c>
      <c r="F13" s="20">
        <v>0.33278698621706526</v>
      </c>
      <c r="G13" s="17">
        <v>0.32472950402127915</v>
      </c>
      <c r="H13" s="18">
        <v>0.34084446841285138</v>
      </c>
    </row>
    <row r="14" spans="1:10" ht="16" x14ac:dyDescent="0.25">
      <c r="B14" s="6" t="str">
        <f>IF(C12="Erlang","k =",IF(C12="Translated Exponential","Mean =",IF(C12="Uniform","Maximum Value =","")))</f>
        <v>Mean =</v>
      </c>
      <c r="C14" s="7">
        <v>20</v>
      </c>
      <c r="E14" s="19" t="s">
        <v>34</v>
      </c>
      <c r="F14" s="20">
        <v>4.9019227377960689E-2</v>
      </c>
      <c r="G14" s="17">
        <v>4.3905304621889171E-2</v>
      </c>
      <c r="H14" s="18">
        <v>5.4133150134032207E-2</v>
      </c>
    </row>
    <row r="15" spans="1:10" ht="16" x14ac:dyDescent="0.25">
      <c r="E15" s="19" t="s">
        <v>35</v>
      </c>
      <c r="F15" s="20">
        <v>4.6562008323169273E-3</v>
      </c>
      <c r="G15" s="17">
        <v>2.9549218736500877E-3</v>
      </c>
      <c r="H15" s="18">
        <v>6.3574797909837673E-3</v>
      </c>
    </row>
    <row r="16" spans="1:10" ht="16" x14ac:dyDescent="0.25">
      <c r="B16" s="5" t="s">
        <v>1</v>
      </c>
      <c r="E16" s="19" t="s">
        <v>36</v>
      </c>
      <c r="F16" s="20">
        <v>3.583192559696404E-4</v>
      </c>
      <c r="G16" s="17">
        <v>-1.6795516263275407E-5</v>
      </c>
      <c r="H16" s="18">
        <v>7.3343402820255621E-4</v>
      </c>
    </row>
    <row r="17" spans="2:8" ht="16" x14ac:dyDescent="0.25">
      <c r="B17" s="6" t="s">
        <v>0</v>
      </c>
      <c r="C17" s="21">
        <v>10000</v>
      </c>
      <c r="E17" s="19" t="s">
        <v>37</v>
      </c>
      <c r="F17" s="20">
        <v>4.1225138947834479E-5</v>
      </c>
      <c r="G17" s="17">
        <v>-3.942281575447069E-5</v>
      </c>
      <c r="H17" s="18">
        <v>1.2187309365013965E-4</v>
      </c>
    </row>
    <row r="18" spans="2:8" ht="16" x14ac:dyDescent="0.25">
      <c r="E18" s="19" t="s">
        <v>38</v>
      </c>
      <c r="F18" s="20">
        <v>0</v>
      </c>
      <c r="G18" s="17">
        <v>0</v>
      </c>
      <c r="H18" s="18">
        <v>0</v>
      </c>
    </row>
    <row r="19" spans="2:8" ht="16" x14ac:dyDescent="0.25">
      <c r="E19" s="19" t="s">
        <v>39</v>
      </c>
      <c r="F19" s="20">
        <v>0</v>
      </c>
      <c r="G19" s="17">
        <v>0</v>
      </c>
      <c r="H19" s="18">
        <v>0</v>
      </c>
    </row>
    <row r="20" spans="2:8" ht="16" x14ac:dyDescent="0.25">
      <c r="E20" s="19" t="s">
        <v>40</v>
      </c>
      <c r="F20" s="20">
        <v>0</v>
      </c>
      <c r="G20" s="17">
        <v>0</v>
      </c>
      <c r="H20" s="18">
        <v>0</v>
      </c>
    </row>
    <row r="21" spans="2:8" ht="17" thickBot="1" x14ac:dyDescent="0.3">
      <c r="E21" s="22" t="s">
        <v>41</v>
      </c>
      <c r="F21" s="23">
        <v>0</v>
      </c>
      <c r="G21" s="24">
        <v>0</v>
      </c>
      <c r="H21" s="25">
        <v>0</v>
      </c>
    </row>
    <row r="23" spans="2:8" x14ac:dyDescent="0.2">
      <c r="B23" s="26"/>
      <c r="C23" s="27"/>
      <c r="D23" s="28" t="s">
        <v>22</v>
      </c>
      <c r="E23" s="28" t="s">
        <v>23</v>
      </c>
    </row>
    <row r="24" spans="2:8" x14ac:dyDescent="0.2">
      <c r="B24" s="2" t="s">
        <v>20</v>
      </c>
      <c r="C24" s="7">
        <v>1.4</v>
      </c>
    </row>
    <row r="25" spans="2:8" x14ac:dyDescent="0.2">
      <c r="B25" s="2" t="s">
        <v>19</v>
      </c>
      <c r="C25" s="7">
        <f>C24/2</f>
        <v>0.7</v>
      </c>
      <c r="D25" s="29">
        <v>100</v>
      </c>
      <c r="E25" s="30">
        <f>C25*D25</f>
        <v>70</v>
      </c>
    </row>
    <row r="26" spans="2:8" x14ac:dyDescent="0.2">
      <c r="B26" s="28" t="s">
        <v>21</v>
      </c>
      <c r="C26" s="31">
        <f>C24/2</f>
        <v>0.7</v>
      </c>
      <c r="D26" s="32">
        <v>200</v>
      </c>
      <c r="E26" s="33">
        <f>D26*C26</f>
        <v>140</v>
      </c>
    </row>
    <row r="27" spans="2:8" x14ac:dyDescent="0.2">
      <c r="D27" s="35" t="s">
        <v>24</v>
      </c>
      <c r="E27" s="36">
        <f>SUM(E25:E26)</f>
        <v>210</v>
      </c>
    </row>
    <row r="28" spans="2:8" x14ac:dyDescent="0.2">
      <c r="D28" s="2" t="s">
        <v>26</v>
      </c>
      <c r="E28" s="30">
        <f>'Case 1 (Current Situation)'!$E$27-E27</f>
        <v>90</v>
      </c>
    </row>
    <row r="29" spans="2:8" x14ac:dyDescent="0.2">
      <c r="D29" s="28" t="s">
        <v>27</v>
      </c>
      <c r="E29" s="32">
        <v>60</v>
      </c>
    </row>
    <row r="30" spans="2:8" x14ac:dyDescent="0.2">
      <c r="D30" s="37" t="s">
        <v>28</v>
      </c>
      <c r="E30" s="38">
        <f>E28-E29</f>
        <v>30</v>
      </c>
    </row>
  </sheetData>
  <mergeCells count="1">
    <mergeCell ref="G4:H4"/>
  </mergeCells>
  <conditionalFormatting sqref="C9">
    <cfRule type="expression" dxfId="7" priority="3" stopIfTrue="1">
      <formula>OR(C7="Exponential",C7="Constant")</formula>
    </cfRule>
  </conditionalFormatting>
  <conditionalFormatting sqref="C14">
    <cfRule type="expression" dxfId="6" priority="4" stopIfTrue="1">
      <formula>OR(C12="Constant",C12="Exponential")</formula>
    </cfRule>
  </conditionalFormatting>
  <conditionalFormatting sqref="C25:C26">
    <cfRule type="expression" dxfId="5" priority="1" stopIfTrue="1">
      <formula>OR(C23="Constant",C23="Exponential")</formula>
    </cfRule>
  </conditionalFormatting>
  <conditionalFormatting sqref="C24">
    <cfRule type="expression" dxfId="4" priority="2" stopIfTrue="1">
      <formula>OR(#REF!="Constant",#REF!="Exponential")</formula>
    </cfRule>
  </conditionalFormatting>
  <dataValidations count="3">
    <dataValidation type="whole" allowBlank="1" showInputMessage="1" showErrorMessage="1" error="The number of servers must be between 1 and 25 (inclusive)." sqref="C4" xr:uid="{53D9DCF7-BF7B-194B-B4A8-BEB3DB747E01}">
      <formula1>1</formula1>
      <formula2>25</formula2>
    </dataValidation>
    <dataValidation type="whole" allowBlank="1" showInputMessage="1" showErrorMessage="1" error="The number of arrivals simulated must be an integer between 1 and 1,000,000." sqref="C17" xr:uid="{D114A307-765C-9C47-B8CD-E4BE8AE68949}">
      <formula1>1</formula1>
      <formula2>1000000</formula2>
    </dataValidation>
    <dataValidation type="list" allowBlank="1" showInputMessage="1" showErrorMessage="1" sqref="C7 C12" xr:uid="{B3200603-15A9-DD45-9743-88ED2EEFD2DE}">
      <formula1>"Constant,Erlang,Exponential,Translated Exponential,Uniform"</formula1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E22D4-85D6-5044-8079-F50302BF1769}">
  <sheetPr codeName="Sheet9">
    <pageSetUpPr fitToPage="1"/>
  </sheetPr>
  <dimension ref="A1:J30"/>
  <sheetViews>
    <sheetView zoomScale="133" workbookViewId="0">
      <selection activeCell="C29" sqref="C29"/>
    </sheetView>
  </sheetViews>
  <sheetFormatPr baseColWidth="10" defaultColWidth="10.83203125" defaultRowHeight="14" x14ac:dyDescent="0.2"/>
  <cols>
    <col min="1" max="1" width="4" style="2" customWidth="1"/>
    <col min="2" max="2" width="31.1640625" style="2" bestFit="1" customWidth="1"/>
    <col min="3" max="3" width="21.6640625" style="3" bestFit="1" customWidth="1"/>
    <col min="4" max="4" width="16.83203125" style="2" bestFit="1" customWidth="1"/>
    <col min="5" max="5" width="10.33203125" style="2" bestFit="1" customWidth="1"/>
    <col min="6" max="6" width="11.1640625" style="3" bestFit="1" customWidth="1"/>
    <col min="7" max="7" width="12.1640625" style="2" bestFit="1" customWidth="1"/>
    <col min="8" max="8" width="11.1640625" style="2" bestFit="1" customWidth="1"/>
    <col min="9" max="16384" width="10.83203125" style="2"/>
  </cols>
  <sheetData>
    <row r="1" spans="1:10" ht="19" x14ac:dyDescent="0.25">
      <c r="A1" s="1" t="s">
        <v>15</v>
      </c>
    </row>
    <row r="3" spans="1:10" ht="15" thickBot="1" x14ac:dyDescent="0.25">
      <c r="C3" s="4" t="s">
        <v>14</v>
      </c>
      <c r="F3" s="2"/>
      <c r="G3" s="5" t="s">
        <v>13</v>
      </c>
    </row>
    <row r="4" spans="1:10" x14ac:dyDescent="0.2">
      <c r="B4" s="6" t="s">
        <v>12</v>
      </c>
      <c r="C4" s="7">
        <v>3</v>
      </c>
      <c r="E4" s="8"/>
      <c r="F4" s="9" t="s">
        <v>11</v>
      </c>
      <c r="G4" s="39" t="s">
        <v>10</v>
      </c>
      <c r="H4" s="40"/>
    </row>
    <row r="5" spans="1:10" ht="16" x14ac:dyDescent="0.2">
      <c r="E5" s="10"/>
      <c r="F5" s="11" t="s">
        <v>9</v>
      </c>
      <c r="G5" s="12" t="s">
        <v>8</v>
      </c>
      <c r="H5" s="13" t="s">
        <v>7</v>
      </c>
      <c r="J5" s="14"/>
    </row>
    <row r="6" spans="1:10" x14ac:dyDescent="0.2">
      <c r="B6" s="5" t="s">
        <v>6</v>
      </c>
      <c r="E6" s="15" t="s">
        <v>5</v>
      </c>
      <c r="F6" s="16">
        <v>1.3259725843028967</v>
      </c>
      <c r="G6" s="17">
        <v>1.3123824305566583</v>
      </c>
      <c r="H6" s="18">
        <v>1.3395627380491351</v>
      </c>
    </row>
    <row r="7" spans="1:10" ht="16" x14ac:dyDescent="0.25">
      <c r="B7" s="6" t="s">
        <v>2</v>
      </c>
      <c r="C7" s="7" t="s">
        <v>18</v>
      </c>
      <c r="E7" s="19" t="s">
        <v>29</v>
      </c>
      <c r="F7" s="20">
        <v>9.0499877318814042E-4</v>
      </c>
      <c r="G7" s="17">
        <v>3.3844771949534836E-4</v>
      </c>
      <c r="H7" s="18">
        <v>1.4715498268809326E-3</v>
      </c>
    </row>
    <row r="8" spans="1:10" x14ac:dyDescent="0.2">
      <c r="B8" s="6" t="str">
        <f>IF(C7="Constant","Value =",IF(C7="Erlang","Mean =",IF(C7="Exponential","Mean =",IF(C7="Translated Exponential","Minimum Value =","Minimum Value ="))))</f>
        <v>Value =</v>
      </c>
      <c r="C8" s="7">
        <v>15</v>
      </c>
      <c r="E8" s="19" t="s">
        <v>4</v>
      </c>
      <c r="F8" s="20">
        <v>19.889588764543451</v>
      </c>
      <c r="G8" s="17">
        <v>19.685736458349893</v>
      </c>
      <c r="H8" s="18">
        <v>20.093441070737008</v>
      </c>
    </row>
    <row r="9" spans="1:10" ht="16" x14ac:dyDescent="0.25">
      <c r="B9" s="6" t="str">
        <f>IF(C7="Erlang","k =",IF(C7="Translated Exponential","Mean =",IF(C7="Uniform","Maximum Value =","")))</f>
        <v/>
      </c>
      <c r="C9" s="7"/>
      <c r="E9" s="19" t="s">
        <v>30</v>
      </c>
      <c r="F9" s="20">
        <v>1.3574981597822108E-2</v>
      </c>
      <c r="G9" s="17">
        <v>5.0767157924302263E-3</v>
      </c>
      <c r="H9" s="18">
        <v>2.2073247403213987E-2</v>
      </c>
    </row>
    <row r="10" spans="1:10" x14ac:dyDescent="0.2">
      <c r="E10" s="19"/>
      <c r="F10" s="20"/>
      <c r="G10" s="17"/>
      <c r="H10" s="18"/>
    </row>
    <row r="11" spans="1:10" ht="16" x14ac:dyDescent="0.25">
      <c r="B11" s="5" t="s">
        <v>3</v>
      </c>
      <c r="E11" s="19" t="s">
        <v>31</v>
      </c>
      <c r="F11" s="20">
        <v>5.8569080507802344E-2</v>
      </c>
      <c r="G11" s="17">
        <v>5.6409613595859637E-2</v>
      </c>
      <c r="H11" s="18">
        <v>6.0728547419745052E-2</v>
      </c>
    </row>
    <row r="12" spans="1:10" ht="16" x14ac:dyDescent="0.25">
      <c r="B12" s="6" t="s">
        <v>2</v>
      </c>
      <c r="C12" s="7" t="s">
        <v>17</v>
      </c>
      <c r="E12" s="19" t="s">
        <v>32</v>
      </c>
      <c r="F12" s="20">
        <v>0.59082536590526491</v>
      </c>
      <c r="G12" s="17">
        <v>0.58279262404086785</v>
      </c>
      <c r="H12" s="18">
        <v>0.59885810776966197</v>
      </c>
    </row>
    <row r="13" spans="1:10" ht="16" x14ac:dyDescent="0.25">
      <c r="B13" s="6" t="str">
        <f>IF(C12="Constant","Value =",IF(C12="Erlang","Mean =",IF(C12="Exponential","Mean =",IF(C12="Translated Exponential","Minimum Value =","Minimum Value ="))))</f>
        <v>Minimum Value =</v>
      </c>
      <c r="C13" s="7">
        <v>10</v>
      </c>
      <c r="E13" s="19" t="s">
        <v>33</v>
      </c>
      <c r="F13" s="20">
        <v>0.31757444113635658</v>
      </c>
      <c r="G13" s="17">
        <v>0.30997463126169084</v>
      </c>
      <c r="H13" s="18">
        <v>0.32517425101102232</v>
      </c>
    </row>
    <row r="14" spans="1:10" ht="16" x14ac:dyDescent="0.25">
      <c r="B14" s="6" t="str">
        <f>IF(C12="Erlang","k =",IF(C12="Translated Exponential","Mean =",IF(C12="Uniform","Maximum Value =","")))</f>
        <v>Mean =</v>
      </c>
      <c r="C14" s="7">
        <v>20</v>
      </c>
      <c r="E14" s="19" t="s">
        <v>34</v>
      </c>
      <c r="F14" s="20">
        <v>3.2168003463408812E-2</v>
      </c>
      <c r="G14" s="17">
        <v>2.8899762257782961E-2</v>
      </c>
      <c r="H14" s="18">
        <v>3.543624466903466E-2</v>
      </c>
    </row>
    <row r="15" spans="1:10" ht="16" x14ac:dyDescent="0.25">
      <c r="E15" s="19" t="s">
        <v>35</v>
      </c>
      <c r="F15" s="20">
        <v>8.2121920114665292E-4</v>
      </c>
      <c r="G15" s="17">
        <v>3.6195673767783193E-4</v>
      </c>
      <c r="H15" s="18">
        <v>1.280481664615474E-3</v>
      </c>
    </row>
    <row r="16" spans="1:10" ht="16" x14ac:dyDescent="0.25">
      <c r="B16" s="5" t="s">
        <v>1</v>
      </c>
      <c r="E16" s="19" t="s">
        <v>36</v>
      </c>
      <c r="F16" s="20">
        <v>4.1889786020743764E-5</v>
      </c>
      <c r="G16" s="17">
        <v>-4.0191728185571868E-5</v>
      </c>
      <c r="H16" s="18">
        <v>1.239713002270594E-4</v>
      </c>
    </row>
    <row r="17" spans="2:8" ht="16" x14ac:dyDescent="0.25">
      <c r="B17" s="6" t="s">
        <v>0</v>
      </c>
      <c r="C17" s="21">
        <v>10000</v>
      </c>
      <c r="E17" s="19" t="s">
        <v>37</v>
      </c>
      <c r="F17" s="20">
        <v>0</v>
      </c>
      <c r="G17" s="17">
        <v>0</v>
      </c>
      <c r="H17" s="18">
        <v>0</v>
      </c>
    </row>
    <row r="18" spans="2:8" ht="16" x14ac:dyDescent="0.25">
      <c r="E18" s="19" t="s">
        <v>38</v>
      </c>
      <c r="F18" s="20">
        <v>0</v>
      </c>
      <c r="G18" s="17">
        <v>0</v>
      </c>
      <c r="H18" s="18">
        <v>0</v>
      </c>
    </row>
    <row r="19" spans="2:8" ht="16" x14ac:dyDescent="0.25">
      <c r="E19" s="19" t="s">
        <v>39</v>
      </c>
      <c r="F19" s="20">
        <v>0</v>
      </c>
      <c r="G19" s="17">
        <v>0</v>
      </c>
      <c r="H19" s="18">
        <v>0</v>
      </c>
    </row>
    <row r="20" spans="2:8" ht="16" x14ac:dyDescent="0.25">
      <c r="E20" s="19" t="s">
        <v>40</v>
      </c>
      <c r="F20" s="20">
        <v>0</v>
      </c>
      <c r="G20" s="17">
        <v>0</v>
      </c>
      <c r="H20" s="18">
        <v>0</v>
      </c>
    </row>
    <row r="21" spans="2:8" ht="17" thickBot="1" x14ac:dyDescent="0.3">
      <c r="E21" s="22" t="s">
        <v>41</v>
      </c>
      <c r="F21" s="23">
        <v>0</v>
      </c>
      <c r="G21" s="24">
        <v>0</v>
      </c>
      <c r="H21" s="25">
        <v>0</v>
      </c>
    </row>
    <row r="23" spans="2:8" x14ac:dyDescent="0.2">
      <c r="B23" s="26"/>
      <c r="C23" s="27"/>
      <c r="D23" s="28" t="s">
        <v>22</v>
      </c>
      <c r="E23" s="28" t="s">
        <v>23</v>
      </c>
    </row>
    <row r="24" spans="2:8" x14ac:dyDescent="0.2">
      <c r="B24" s="2" t="s">
        <v>20</v>
      </c>
      <c r="C24" s="7">
        <v>1.33</v>
      </c>
    </row>
    <row r="25" spans="2:8" x14ac:dyDescent="0.2">
      <c r="B25" s="2" t="s">
        <v>19</v>
      </c>
      <c r="C25" s="7">
        <f>C24/2</f>
        <v>0.66500000000000004</v>
      </c>
      <c r="D25" s="29">
        <v>100</v>
      </c>
      <c r="E25" s="30">
        <f>C25*D25</f>
        <v>66.5</v>
      </c>
    </row>
    <row r="26" spans="2:8" x14ac:dyDescent="0.2">
      <c r="B26" s="28" t="s">
        <v>21</v>
      </c>
      <c r="C26" s="31">
        <f>C24/2</f>
        <v>0.66500000000000004</v>
      </c>
      <c r="D26" s="32">
        <v>200</v>
      </c>
      <c r="E26" s="33">
        <f>D26*C26</f>
        <v>133</v>
      </c>
    </row>
    <row r="27" spans="2:8" x14ac:dyDescent="0.2">
      <c r="D27" s="35" t="s">
        <v>24</v>
      </c>
      <c r="E27" s="36">
        <f>SUM(E25:E26)</f>
        <v>199.5</v>
      </c>
    </row>
    <row r="28" spans="2:8" x14ac:dyDescent="0.2">
      <c r="D28" s="2" t="s">
        <v>26</v>
      </c>
      <c r="E28" s="30">
        <f>'Case 1 (Current Situation)'!$E$27-E27</f>
        <v>100.5</v>
      </c>
    </row>
    <row r="29" spans="2:8" x14ac:dyDescent="0.2">
      <c r="D29" s="28" t="s">
        <v>27</v>
      </c>
      <c r="E29" s="32">
        <v>90</v>
      </c>
    </row>
    <row r="30" spans="2:8" x14ac:dyDescent="0.2">
      <c r="D30" s="37" t="s">
        <v>28</v>
      </c>
      <c r="E30" s="38">
        <f>E28-E29</f>
        <v>10.5</v>
      </c>
    </row>
  </sheetData>
  <mergeCells count="1">
    <mergeCell ref="G4:H4"/>
  </mergeCells>
  <conditionalFormatting sqref="C9">
    <cfRule type="expression" dxfId="3" priority="3" stopIfTrue="1">
      <formula>OR(C7="Exponential",C7="Constant")</formula>
    </cfRule>
  </conditionalFormatting>
  <conditionalFormatting sqref="C14">
    <cfRule type="expression" dxfId="2" priority="4" stopIfTrue="1">
      <formula>OR(C12="Constant",C12="Exponential")</formula>
    </cfRule>
  </conditionalFormatting>
  <conditionalFormatting sqref="C25:C26">
    <cfRule type="expression" dxfId="1" priority="1" stopIfTrue="1">
      <formula>OR(C23="Constant",C23="Exponential")</formula>
    </cfRule>
  </conditionalFormatting>
  <conditionalFormatting sqref="C24">
    <cfRule type="expression" dxfId="0" priority="2" stopIfTrue="1">
      <formula>OR(#REF!="Constant",#REF!="Exponential")</formula>
    </cfRule>
  </conditionalFormatting>
  <dataValidations count="3">
    <dataValidation type="list" allowBlank="1" showInputMessage="1" showErrorMessage="1" sqref="C7 C12" xr:uid="{5A02FDD1-CF09-C84A-BD89-6060CB398F74}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 xr:uid="{FCBA1152-DC05-E64E-80EA-EC09052A1298}">
      <formula1>1</formula1>
      <formula2>1000000</formula2>
    </dataValidation>
    <dataValidation type="whole" allowBlank="1" showInputMessage="1" showErrorMessage="1" error="The number of servers must be between 1 and 25 (inclusive)." sqref="C4" xr:uid="{01C7B4D9-930E-CB45-A49B-4A6207B9367A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Case 1 (Problem)</vt:lpstr>
      <vt:lpstr>Case 1 (Current Situation)</vt:lpstr>
      <vt:lpstr>Case 1 (Proposal 1)</vt:lpstr>
      <vt:lpstr>Case 1 (Proposal 2)</vt:lpstr>
      <vt:lpstr>Case 1 (Proposal 1-2)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Saboorideilami, Vafa</cp:lastModifiedBy>
  <dcterms:created xsi:type="dcterms:W3CDTF">2021-06-18T17:44:11Z</dcterms:created>
  <dcterms:modified xsi:type="dcterms:W3CDTF">2025-06-26T04:31:47Z</dcterms:modified>
</cp:coreProperties>
</file>