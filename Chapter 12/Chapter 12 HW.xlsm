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08" codeName="{E5D1E7B1-6628-F0F0-D09B-76B25B5F3CD3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/Users/vafa.saboorideilami/Documents/5509 Summer 2025/Chapter 12/"/>
    </mc:Choice>
  </mc:AlternateContent>
  <xr:revisionPtr revIDLastSave="0" documentId="13_ncr:1_{874B927C-A787-0141-8B08-435FB67C88E0}" xr6:coauthVersionLast="47" xr6:coauthVersionMax="47" xr10:uidLastSave="{00000000-0000-0000-0000-000000000000}"/>
  <bookViews>
    <workbookView xWindow="0" yWindow="500" windowWidth="28800" windowHeight="17500" tabRatio="702" xr2:uid="{00000000-000D-0000-FFFF-FFFF00000000}"/>
  </bookViews>
  <sheets>
    <sheet name="12.3" sheetId="2101" r:id="rId1"/>
    <sheet name="12.9" sheetId="2105" r:id="rId2"/>
    <sheet name="12.10" sheetId="2106" r:id="rId3"/>
    <sheet name="12.12-a" sheetId="2126" r:id="rId4"/>
    <sheet name="12.12-b (Crew 2)" sheetId="2108" r:id="rId5"/>
    <sheet name="12.12-b (Crew 3)" sheetId="2118" r:id="rId6"/>
    <sheet name="12.12-b (Crew 4)" sheetId="2119" r:id="rId7"/>
    <sheet name="12.12-c (Q Sim Cre 2)" sheetId="2120" r:id="rId8"/>
    <sheet name="12.12-c (Q Sim Crew 3)" sheetId="2127" r:id="rId9"/>
    <sheet name="12.12-c (Q Sim Crew 4)" sheetId="2128" r:id="rId10"/>
    <sheet name="12.18-a,b" sheetId="2116" r:id="rId11"/>
    <sheet name="12.18c" sheetId="2117" r:id="rId12"/>
    <sheet name="12.18d Q Sim (Monitors)" sheetId="2121" r:id="rId13"/>
    <sheet name="12.18d Q Sim (Printers)" sheetId="2122" r:id="rId14"/>
    <sheet name="12.18e Q Sim (Monitor)" sheetId="2123" r:id="rId15"/>
    <sheet name="12.18e Queuing Sim (Printer)" sheetId="2124" r:id="rId16"/>
  </sheets>
  <functionGroups builtInGroupCount="19"/>
  <definedNames>
    <definedName name="beta" localSheetId="7">#REF!</definedName>
    <definedName name="beta" localSheetId="8">#REF!</definedName>
    <definedName name="beta" localSheetId="9">#REF!</definedName>
    <definedName name="beta" localSheetId="12">#REF!</definedName>
    <definedName name="beta" localSheetId="13">#REF!</definedName>
    <definedName name="beta" localSheetId="14">#REF!</definedName>
    <definedName name="beta" localSheetId="15">#REF!</definedName>
    <definedName name="beta">#REF!</definedName>
    <definedName name="CashAtEndOfGame">#REF!</definedName>
    <definedName name="Flip">#REF!</definedName>
    <definedName name="InitialTrend" localSheetId="7">#REF!</definedName>
    <definedName name="InitialTrend" localSheetId="8">#REF!</definedName>
    <definedName name="InitialTrend" localSheetId="9">#REF!</definedName>
    <definedName name="InitialTrend" localSheetId="12">#REF!</definedName>
    <definedName name="InitialTrend" localSheetId="13">#REF!</definedName>
    <definedName name="InitialTrend" localSheetId="14">#REF!</definedName>
    <definedName name="InitialTrend" localSheetId="15">#REF!</definedName>
    <definedName name="InitialTrend">#REF!</definedName>
    <definedName name="L">#REF!</definedName>
    <definedName name="Lambda">#REF!</definedName>
    <definedName name="Lq">#REF!</definedName>
    <definedName name="NumberOfFlips">#REF!</definedName>
    <definedName name="OneOverMu">#REF!</definedName>
    <definedName name="RandomNumber">#REF!</definedName>
    <definedName name="RequiredDifference">#REF!</definedName>
    <definedName name="Result">#REF!</definedName>
    <definedName name="Rho">#REF!</definedName>
    <definedName name="s">#REF!</definedName>
    <definedName name="sencount" hidden="1">4</definedName>
    <definedName name="sencount2" hidden="1">3</definedName>
    <definedName name="Sigma">#REF!</definedName>
    <definedName name="Stop?">#REF!</definedName>
    <definedName name="TotalHeads">#REF!</definedName>
    <definedName name="TotalTails">#REF!</definedName>
    <definedName name="W">#REF!</definedName>
    <definedName name="Winnings">#REF!</definedName>
    <definedName name="Wq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" i="2108" l="1"/>
  <c r="E12" i="2108"/>
  <c r="B14" i="2128"/>
  <c r="B13" i="2128"/>
  <c r="B9" i="2128"/>
  <c r="B8" i="2128"/>
  <c r="B14" i="2127"/>
  <c r="B13" i="2127"/>
  <c r="B9" i="2127"/>
  <c r="B8" i="2127"/>
  <c r="O18" i="2101"/>
  <c r="O17" i="2101"/>
  <c r="O16" i="2101"/>
  <c r="O15" i="2101"/>
  <c r="E11" i="2116"/>
  <c r="B11" i="2116"/>
  <c r="C11" i="2116" s="1"/>
  <c r="D11" i="2116" s="1"/>
  <c r="G11" i="2116" s="1"/>
  <c r="B17" i="2101"/>
  <c r="B16" i="2101"/>
  <c r="C16" i="2101" s="1"/>
  <c r="B14" i="2124"/>
  <c r="B13" i="2124"/>
  <c r="B9" i="2124"/>
  <c r="B8" i="2124"/>
  <c r="B14" i="2123"/>
  <c r="B13" i="2123"/>
  <c r="B9" i="2123"/>
  <c r="B8" i="2123"/>
  <c r="B14" i="2122"/>
  <c r="B13" i="2122"/>
  <c r="B9" i="2122"/>
  <c r="B8" i="2122"/>
  <c r="B14" i="2121"/>
  <c r="B13" i="2121"/>
  <c r="B9" i="2121"/>
  <c r="B8" i="2121"/>
  <c r="B8" i="2120"/>
  <c r="B9" i="2120"/>
  <c r="B13" i="2120"/>
  <c r="B14" i="2120"/>
  <c r="E111" i="2119"/>
  <c r="B111" i="2119"/>
  <c r="E110" i="2119"/>
  <c r="B110" i="2119"/>
  <c r="E109" i="2119"/>
  <c r="B109" i="2119"/>
  <c r="E108" i="2119"/>
  <c r="B108" i="2119"/>
  <c r="E107" i="2119"/>
  <c r="B107" i="2119"/>
  <c r="E106" i="2119"/>
  <c r="B106" i="2119"/>
  <c r="E105" i="2119"/>
  <c r="B105" i="2119"/>
  <c r="E104" i="2119"/>
  <c r="B104" i="2119"/>
  <c r="E103" i="2119"/>
  <c r="B103" i="2119"/>
  <c r="E102" i="2119"/>
  <c r="B102" i="2119"/>
  <c r="E101" i="2119"/>
  <c r="B101" i="2119"/>
  <c r="E100" i="2119"/>
  <c r="B100" i="2119"/>
  <c r="E99" i="2119"/>
  <c r="B99" i="2119"/>
  <c r="E98" i="2119"/>
  <c r="B98" i="2119"/>
  <c r="E97" i="2119"/>
  <c r="B97" i="2119"/>
  <c r="E96" i="2119"/>
  <c r="B96" i="2119"/>
  <c r="E95" i="2119"/>
  <c r="B95" i="2119"/>
  <c r="E94" i="2119"/>
  <c r="B94" i="2119"/>
  <c r="E93" i="2119"/>
  <c r="B93" i="2119"/>
  <c r="E92" i="2119"/>
  <c r="B92" i="2119"/>
  <c r="E91" i="2119"/>
  <c r="B91" i="2119"/>
  <c r="E90" i="2119"/>
  <c r="B90" i="2119"/>
  <c r="E89" i="2119"/>
  <c r="B89" i="2119"/>
  <c r="E88" i="2119"/>
  <c r="B88" i="2119"/>
  <c r="E87" i="2119"/>
  <c r="B87" i="2119"/>
  <c r="E86" i="2119"/>
  <c r="B86" i="2119"/>
  <c r="E85" i="2119"/>
  <c r="B85" i="2119"/>
  <c r="E84" i="2119"/>
  <c r="B84" i="2119"/>
  <c r="E83" i="2119"/>
  <c r="B83" i="2119"/>
  <c r="E82" i="2119"/>
  <c r="B82" i="2119"/>
  <c r="E81" i="2119"/>
  <c r="B81" i="2119"/>
  <c r="E80" i="2119"/>
  <c r="B80" i="2119"/>
  <c r="E79" i="2119"/>
  <c r="B79" i="2119"/>
  <c r="E78" i="2119"/>
  <c r="B78" i="2119"/>
  <c r="E77" i="2119"/>
  <c r="B77" i="2119"/>
  <c r="E76" i="2119"/>
  <c r="B76" i="2119"/>
  <c r="E75" i="2119"/>
  <c r="B75" i="2119"/>
  <c r="E74" i="2119"/>
  <c r="B74" i="2119"/>
  <c r="E73" i="2119"/>
  <c r="B73" i="2119"/>
  <c r="E72" i="2119"/>
  <c r="B72" i="2119"/>
  <c r="E71" i="2119"/>
  <c r="B71" i="2119"/>
  <c r="E70" i="2119"/>
  <c r="B70" i="2119"/>
  <c r="E69" i="2119"/>
  <c r="B69" i="2119"/>
  <c r="E68" i="2119"/>
  <c r="B68" i="2119"/>
  <c r="E67" i="2119"/>
  <c r="B67" i="2119"/>
  <c r="E66" i="2119"/>
  <c r="B66" i="2119"/>
  <c r="E65" i="2119"/>
  <c r="B65" i="2119"/>
  <c r="E64" i="2119"/>
  <c r="B64" i="2119"/>
  <c r="E63" i="2119"/>
  <c r="B63" i="2119"/>
  <c r="E62" i="2119"/>
  <c r="B62" i="2119"/>
  <c r="E61" i="2119"/>
  <c r="B61" i="2119"/>
  <c r="E60" i="2119"/>
  <c r="B60" i="2119"/>
  <c r="E59" i="2119"/>
  <c r="B59" i="2119"/>
  <c r="E58" i="2119"/>
  <c r="B58" i="2119"/>
  <c r="E57" i="2119"/>
  <c r="B57" i="2119"/>
  <c r="E56" i="2119"/>
  <c r="B56" i="2119"/>
  <c r="E55" i="2119"/>
  <c r="B55" i="2119"/>
  <c r="E54" i="2119"/>
  <c r="B54" i="2119"/>
  <c r="E53" i="2119"/>
  <c r="B53" i="2119"/>
  <c r="E52" i="2119"/>
  <c r="B52" i="2119"/>
  <c r="E51" i="2119"/>
  <c r="B51" i="2119"/>
  <c r="E50" i="2119"/>
  <c r="B50" i="2119"/>
  <c r="E49" i="2119"/>
  <c r="B49" i="2119"/>
  <c r="E48" i="2119"/>
  <c r="B48" i="2119"/>
  <c r="E47" i="2119"/>
  <c r="B47" i="2119"/>
  <c r="E46" i="2119"/>
  <c r="B46" i="2119"/>
  <c r="E45" i="2119"/>
  <c r="B45" i="2119"/>
  <c r="E44" i="2119"/>
  <c r="B44" i="2119"/>
  <c r="E43" i="2119"/>
  <c r="B43" i="2119"/>
  <c r="E42" i="2119"/>
  <c r="B42" i="2119"/>
  <c r="E41" i="2119"/>
  <c r="B41" i="2119"/>
  <c r="E40" i="2119"/>
  <c r="B40" i="2119"/>
  <c r="E39" i="2119"/>
  <c r="B39" i="2119"/>
  <c r="E38" i="2119"/>
  <c r="B38" i="2119"/>
  <c r="E37" i="2119"/>
  <c r="B37" i="2119"/>
  <c r="E36" i="2119"/>
  <c r="B36" i="2119"/>
  <c r="E35" i="2119"/>
  <c r="B35" i="2119"/>
  <c r="E34" i="2119"/>
  <c r="B34" i="2119"/>
  <c r="E33" i="2119"/>
  <c r="B33" i="2119"/>
  <c r="E32" i="2119"/>
  <c r="B32" i="2119"/>
  <c r="E31" i="2119"/>
  <c r="B31" i="2119"/>
  <c r="E30" i="2119"/>
  <c r="B30" i="2119"/>
  <c r="E29" i="2119"/>
  <c r="B29" i="2119"/>
  <c r="E28" i="2119"/>
  <c r="B28" i="2119"/>
  <c r="E27" i="2119"/>
  <c r="B27" i="2119"/>
  <c r="E26" i="2119"/>
  <c r="B26" i="2119"/>
  <c r="E25" i="2119"/>
  <c r="B25" i="2119"/>
  <c r="E24" i="2119"/>
  <c r="B24" i="2119"/>
  <c r="E23" i="2119"/>
  <c r="B23" i="2119"/>
  <c r="E22" i="2119"/>
  <c r="B22" i="2119"/>
  <c r="E21" i="2119"/>
  <c r="B21" i="2119"/>
  <c r="E20" i="2119"/>
  <c r="B20" i="2119"/>
  <c r="E19" i="2119"/>
  <c r="B19" i="2119"/>
  <c r="E18" i="2119"/>
  <c r="B18" i="2119"/>
  <c r="E17" i="2119"/>
  <c r="B17" i="2119"/>
  <c r="E16" i="2119"/>
  <c r="B16" i="2119"/>
  <c r="E15" i="2119"/>
  <c r="B15" i="2119"/>
  <c r="E14" i="2119"/>
  <c r="B14" i="2119"/>
  <c r="E13" i="2119"/>
  <c r="B13" i="2119"/>
  <c r="E12" i="2119"/>
  <c r="B12" i="2119"/>
  <c r="C12" i="2119" s="1"/>
  <c r="D12" i="2119" s="1"/>
  <c r="G12" i="2119" s="1"/>
  <c r="E111" i="2118"/>
  <c r="B111" i="2118"/>
  <c r="E110" i="2118"/>
  <c r="B110" i="2118"/>
  <c r="E109" i="2118"/>
  <c r="B109" i="2118"/>
  <c r="E108" i="2118"/>
  <c r="B108" i="2118"/>
  <c r="E107" i="2118"/>
  <c r="B107" i="2118"/>
  <c r="E106" i="2118"/>
  <c r="B106" i="2118"/>
  <c r="E105" i="2118"/>
  <c r="B105" i="2118"/>
  <c r="E104" i="2118"/>
  <c r="B104" i="2118"/>
  <c r="E103" i="2118"/>
  <c r="B103" i="2118"/>
  <c r="E102" i="2118"/>
  <c r="B102" i="2118"/>
  <c r="E101" i="2118"/>
  <c r="B101" i="2118"/>
  <c r="E100" i="2118"/>
  <c r="B100" i="2118"/>
  <c r="E99" i="2118"/>
  <c r="B99" i="2118"/>
  <c r="E98" i="2118"/>
  <c r="B98" i="2118"/>
  <c r="E97" i="2118"/>
  <c r="B97" i="2118"/>
  <c r="E96" i="2118"/>
  <c r="B96" i="2118"/>
  <c r="E95" i="2118"/>
  <c r="B95" i="2118"/>
  <c r="E94" i="2118"/>
  <c r="B94" i="2118"/>
  <c r="E93" i="2118"/>
  <c r="B93" i="2118"/>
  <c r="E92" i="2118"/>
  <c r="B92" i="2118"/>
  <c r="E91" i="2118"/>
  <c r="B91" i="2118"/>
  <c r="E90" i="2118"/>
  <c r="B90" i="2118"/>
  <c r="E89" i="2118"/>
  <c r="B89" i="2118"/>
  <c r="E88" i="2118"/>
  <c r="B88" i="2118"/>
  <c r="E87" i="2118"/>
  <c r="B87" i="2118"/>
  <c r="E86" i="2118"/>
  <c r="B86" i="2118"/>
  <c r="E85" i="2118"/>
  <c r="B85" i="2118"/>
  <c r="E84" i="2118"/>
  <c r="B84" i="2118"/>
  <c r="E83" i="2118"/>
  <c r="B83" i="2118"/>
  <c r="E82" i="2118"/>
  <c r="B82" i="2118"/>
  <c r="E81" i="2118"/>
  <c r="B81" i="2118"/>
  <c r="E80" i="2118"/>
  <c r="B80" i="2118"/>
  <c r="E79" i="2118"/>
  <c r="B79" i="2118"/>
  <c r="E78" i="2118"/>
  <c r="B78" i="2118"/>
  <c r="E77" i="2118"/>
  <c r="B77" i="2118"/>
  <c r="E76" i="2118"/>
  <c r="B76" i="2118"/>
  <c r="E75" i="2118"/>
  <c r="B75" i="2118"/>
  <c r="E74" i="2118"/>
  <c r="B74" i="2118"/>
  <c r="E73" i="2118"/>
  <c r="B73" i="2118"/>
  <c r="E72" i="2118"/>
  <c r="B72" i="2118"/>
  <c r="E71" i="2118"/>
  <c r="B71" i="2118"/>
  <c r="E70" i="2118"/>
  <c r="B70" i="2118"/>
  <c r="E69" i="2118"/>
  <c r="B69" i="2118"/>
  <c r="E68" i="2118"/>
  <c r="B68" i="2118"/>
  <c r="E67" i="2118"/>
  <c r="B67" i="2118"/>
  <c r="E66" i="2118"/>
  <c r="B66" i="2118"/>
  <c r="E65" i="2118"/>
  <c r="B65" i="2118"/>
  <c r="E64" i="2118"/>
  <c r="B64" i="2118"/>
  <c r="E63" i="2118"/>
  <c r="B63" i="2118"/>
  <c r="E62" i="2118"/>
  <c r="B62" i="2118"/>
  <c r="E61" i="2118"/>
  <c r="B61" i="2118"/>
  <c r="E60" i="2118"/>
  <c r="B60" i="2118"/>
  <c r="E59" i="2118"/>
  <c r="B59" i="2118"/>
  <c r="E58" i="2118"/>
  <c r="B58" i="2118"/>
  <c r="E57" i="2118"/>
  <c r="B57" i="2118"/>
  <c r="E56" i="2118"/>
  <c r="B56" i="2118"/>
  <c r="E55" i="2118"/>
  <c r="B55" i="2118"/>
  <c r="E54" i="2118"/>
  <c r="B54" i="2118"/>
  <c r="E53" i="2118"/>
  <c r="B53" i="2118"/>
  <c r="E52" i="2118"/>
  <c r="B52" i="2118"/>
  <c r="E51" i="2118"/>
  <c r="B51" i="2118"/>
  <c r="E50" i="2118"/>
  <c r="B50" i="2118"/>
  <c r="E49" i="2118"/>
  <c r="B49" i="2118"/>
  <c r="E48" i="2118"/>
  <c r="B48" i="2118"/>
  <c r="E47" i="2118"/>
  <c r="B47" i="2118"/>
  <c r="E46" i="2118"/>
  <c r="B46" i="2118"/>
  <c r="E45" i="2118"/>
  <c r="B45" i="2118"/>
  <c r="E44" i="2118"/>
  <c r="B44" i="2118"/>
  <c r="E43" i="2118"/>
  <c r="B43" i="2118"/>
  <c r="E42" i="2118"/>
  <c r="B42" i="2118"/>
  <c r="E41" i="2118"/>
  <c r="B41" i="2118"/>
  <c r="E40" i="2118"/>
  <c r="B40" i="2118"/>
  <c r="E39" i="2118"/>
  <c r="B39" i="2118"/>
  <c r="E38" i="2118"/>
  <c r="B38" i="2118"/>
  <c r="E37" i="2118"/>
  <c r="B37" i="2118"/>
  <c r="E36" i="2118"/>
  <c r="B36" i="2118"/>
  <c r="E35" i="2118"/>
  <c r="B35" i="2118"/>
  <c r="E34" i="2118"/>
  <c r="B34" i="2118"/>
  <c r="E33" i="2118"/>
  <c r="B33" i="2118"/>
  <c r="E32" i="2118"/>
  <c r="B32" i="2118"/>
  <c r="E31" i="2118"/>
  <c r="B31" i="2118"/>
  <c r="E30" i="2118"/>
  <c r="B30" i="2118"/>
  <c r="E29" i="2118"/>
  <c r="B29" i="2118"/>
  <c r="E28" i="2118"/>
  <c r="B28" i="2118"/>
  <c r="E27" i="2118"/>
  <c r="B27" i="2118"/>
  <c r="E26" i="2118"/>
  <c r="B26" i="2118"/>
  <c r="E25" i="2118"/>
  <c r="B25" i="2118"/>
  <c r="E24" i="2118"/>
  <c r="B24" i="2118"/>
  <c r="E23" i="2118"/>
  <c r="B23" i="2118"/>
  <c r="E22" i="2118"/>
  <c r="B22" i="2118"/>
  <c r="E21" i="2118"/>
  <c r="B21" i="2118"/>
  <c r="E20" i="2118"/>
  <c r="B20" i="2118"/>
  <c r="E19" i="2118"/>
  <c r="B19" i="2118"/>
  <c r="E18" i="2118"/>
  <c r="B18" i="2118"/>
  <c r="E17" i="2118"/>
  <c r="B17" i="2118"/>
  <c r="E16" i="2118"/>
  <c r="B16" i="2118"/>
  <c r="E15" i="2118"/>
  <c r="B15" i="2118"/>
  <c r="E14" i="2118"/>
  <c r="B14" i="2118"/>
  <c r="E13" i="2118"/>
  <c r="B13" i="2118"/>
  <c r="E12" i="2118"/>
  <c r="B12" i="2118"/>
  <c r="C12" i="2118" s="1"/>
  <c r="F11" i="2116" l="1"/>
  <c r="F12" i="2119"/>
  <c r="C13" i="2119"/>
  <c r="C14" i="2119" s="1"/>
  <c r="C15" i="2119" s="1"/>
  <c r="C16" i="2119" s="1"/>
  <c r="C17" i="2119" s="1"/>
  <c r="C18" i="2119" s="1"/>
  <c r="C19" i="2119" s="1"/>
  <c r="C20" i="2119" s="1"/>
  <c r="C21" i="2119" s="1"/>
  <c r="C22" i="2119" s="1"/>
  <c r="C23" i="2119" s="1"/>
  <c r="C24" i="2119" s="1"/>
  <c r="C25" i="2119" s="1"/>
  <c r="C26" i="2119" s="1"/>
  <c r="C27" i="2119" s="1"/>
  <c r="C28" i="2119" s="1"/>
  <c r="C29" i="2119" s="1"/>
  <c r="C30" i="2119" s="1"/>
  <c r="C31" i="2119" s="1"/>
  <c r="C32" i="2119" s="1"/>
  <c r="C33" i="2119" s="1"/>
  <c r="C34" i="2119" s="1"/>
  <c r="C35" i="2119" s="1"/>
  <c r="C36" i="2119" s="1"/>
  <c r="C37" i="2119" s="1"/>
  <c r="C38" i="2119" s="1"/>
  <c r="C39" i="2119" s="1"/>
  <c r="C40" i="2119" s="1"/>
  <c r="C41" i="2119" s="1"/>
  <c r="C42" i="2119" s="1"/>
  <c r="C43" i="2119" s="1"/>
  <c r="C44" i="2119" s="1"/>
  <c r="C45" i="2119" s="1"/>
  <c r="C46" i="2119" s="1"/>
  <c r="C47" i="2119" s="1"/>
  <c r="C48" i="2119" s="1"/>
  <c r="C49" i="2119" s="1"/>
  <c r="C50" i="2119" s="1"/>
  <c r="C51" i="2119" s="1"/>
  <c r="C52" i="2119" s="1"/>
  <c r="C53" i="2119" s="1"/>
  <c r="C54" i="2119" s="1"/>
  <c r="C55" i="2119" s="1"/>
  <c r="C56" i="2119" s="1"/>
  <c r="C57" i="2119" s="1"/>
  <c r="C58" i="2119" s="1"/>
  <c r="C59" i="2119" s="1"/>
  <c r="C60" i="2119" s="1"/>
  <c r="C61" i="2119" s="1"/>
  <c r="C62" i="2119" s="1"/>
  <c r="C63" i="2119" s="1"/>
  <c r="C64" i="2119" s="1"/>
  <c r="C65" i="2119" s="1"/>
  <c r="C66" i="2119" s="1"/>
  <c r="C67" i="2119" s="1"/>
  <c r="C68" i="2119" s="1"/>
  <c r="C69" i="2119" s="1"/>
  <c r="C70" i="2119" s="1"/>
  <c r="C71" i="2119" s="1"/>
  <c r="C72" i="2119" s="1"/>
  <c r="C73" i="2119" s="1"/>
  <c r="C74" i="2119" s="1"/>
  <c r="C75" i="2119" s="1"/>
  <c r="C76" i="2119" s="1"/>
  <c r="C77" i="2119" s="1"/>
  <c r="C78" i="2119" s="1"/>
  <c r="C79" i="2119" s="1"/>
  <c r="C80" i="2119" s="1"/>
  <c r="C81" i="2119" s="1"/>
  <c r="C82" i="2119" s="1"/>
  <c r="C83" i="2119" s="1"/>
  <c r="C84" i="2119" s="1"/>
  <c r="C85" i="2119" s="1"/>
  <c r="C86" i="2119" s="1"/>
  <c r="C87" i="2119" s="1"/>
  <c r="C88" i="2119" s="1"/>
  <c r="C89" i="2119" s="1"/>
  <c r="C90" i="2119" s="1"/>
  <c r="C91" i="2119" s="1"/>
  <c r="C92" i="2119" s="1"/>
  <c r="C93" i="2119" s="1"/>
  <c r="C94" i="2119" s="1"/>
  <c r="C95" i="2119" s="1"/>
  <c r="C96" i="2119" s="1"/>
  <c r="C97" i="2119" s="1"/>
  <c r="C98" i="2119" s="1"/>
  <c r="C99" i="2119" s="1"/>
  <c r="C100" i="2119" s="1"/>
  <c r="C101" i="2119" s="1"/>
  <c r="C102" i="2119" s="1"/>
  <c r="C103" i="2119" s="1"/>
  <c r="C104" i="2119" s="1"/>
  <c r="C105" i="2119" s="1"/>
  <c r="C106" i="2119" s="1"/>
  <c r="C107" i="2119" s="1"/>
  <c r="C108" i="2119" s="1"/>
  <c r="C109" i="2119" s="1"/>
  <c r="C110" i="2119" s="1"/>
  <c r="C111" i="2119" s="1"/>
  <c r="C13" i="2118"/>
  <c r="C14" i="2118" s="1"/>
  <c r="C15" i="2118" s="1"/>
  <c r="C16" i="2118" s="1"/>
  <c r="C17" i="2118" s="1"/>
  <c r="C18" i="2118" s="1"/>
  <c r="C19" i="2118" s="1"/>
  <c r="C20" i="2118" s="1"/>
  <c r="C21" i="2118" s="1"/>
  <c r="C22" i="2118" s="1"/>
  <c r="C23" i="2118" s="1"/>
  <c r="C24" i="2118" s="1"/>
  <c r="C25" i="2118" s="1"/>
  <c r="C26" i="2118" s="1"/>
  <c r="C27" i="2118" s="1"/>
  <c r="C28" i="2118" s="1"/>
  <c r="C29" i="2118" s="1"/>
  <c r="C30" i="2118" s="1"/>
  <c r="C31" i="2118" s="1"/>
  <c r="C32" i="2118" s="1"/>
  <c r="C33" i="2118" s="1"/>
  <c r="C34" i="2118" s="1"/>
  <c r="C35" i="2118" s="1"/>
  <c r="C36" i="2118" s="1"/>
  <c r="C37" i="2118" s="1"/>
  <c r="C38" i="2118" s="1"/>
  <c r="C39" i="2118" s="1"/>
  <c r="C40" i="2118" s="1"/>
  <c r="C41" i="2118" s="1"/>
  <c r="C42" i="2118" s="1"/>
  <c r="C43" i="2118" s="1"/>
  <c r="C44" i="2118" s="1"/>
  <c r="C45" i="2118" s="1"/>
  <c r="C46" i="2118" s="1"/>
  <c r="C47" i="2118" s="1"/>
  <c r="C48" i="2118" s="1"/>
  <c r="C49" i="2118" s="1"/>
  <c r="C50" i="2118" s="1"/>
  <c r="C51" i="2118" s="1"/>
  <c r="C52" i="2118" s="1"/>
  <c r="C53" i="2118" s="1"/>
  <c r="C54" i="2118" s="1"/>
  <c r="C55" i="2118" s="1"/>
  <c r="C56" i="2118" s="1"/>
  <c r="C57" i="2118" s="1"/>
  <c r="C58" i="2118" s="1"/>
  <c r="C59" i="2118" s="1"/>
  <c r="C60" i="2118" s="1"/>
  <c r="C61" i="2118" s="1"/>
  <c r="C62" i="2118" s="1"/>
  <c r="C63" i="2118" s="1"/>
  <c r="C64" i="2118" s="1"/>
  <c r="C65" i="2118" s="1"/>
  <c r="C66" i="2118" s="1"/>
  <c r="C67" i="2118" s="1"/>
  <c r="C68" i="2118" s="1"/>
  <c r="C69" i="2118" s="1"/>
  <c r="C70" i="2118" s="1"/>
  <c r="C71" i="2118" s="1"/>
  <c r="C72" i="2118" s="1"/>
  <c r="C73" i="2118" s="1"/>
  <c r="C74" i="2118" s="1"/>
  <c r="C75" i="2118" s="1"/>
  <c r="C76" i="2118" s="1"/>
  <c r="C77" i="2118" s="1"/>
  <c r="C78" i="2118" s="1"/>
  <c r="C79" i="2118" s="1"/>
  <c r="C80" i="2118" s="1"/>
  <c r="C81" i="2118" s="1"/>
  <c r="C82" i="2118" s="1"/>
  <c r="C83" i="2118" s="1"/>
  <c r="C84" i="2118" s="1"/>
  <c r="C85" i="2118" s="1"/>
  <c r="C86" i="2118" s="1"/>
  <c r="C87" i="2118" s="1"/>
  <c r="C88" i="2118" s="1"/>
  <c r="C89" i="2118" s="1"/>
  <c r="C90" i="2118" s="1"/>
  <c r="C91" i="2118" s="1"/>
  <c r="C92" i="2118" s="1"/>
  <c r="C93" i="2118" s="1"/>
  <c r="C94" i="2118" s="1"/>
  <c r="C95" i="2118" s="1"/>
  <c r="C96" i="2118" s="1"/>
  <c r="C97" i="2118" s="1"/>
  <c r="C98" i="2118" s="1"/>
  <c r="C99" i="2118" s="1"/>
  <c r="C100" i="2118" s="1"/>
  <c r="C101" i="2118" s="1"/>
  <c r="C102" i="2118" s="1"/>
  <c r="C103" i="2118" s="1"/>
  <c r="C104" i="2118" s="1"/>
  <c r="C105" i="2118" s="1"/>
  <c r="C106" i="2118" s="1"/>
  <c r="C107" i="2118" s="1"/>
  <c r="C108" i="2118" s="1"/>
  <c r="C109" i="2118" s="1"/>
  <c r="C110" i="2118" s="1"/>
  <c r="C111" i="2118" s="1"/>
  <c r="D12" i="2118"/>
  <c r="D13" i="2119" l="1"/>
  <c r="H12" i="2119"/>
  <c r="F12" i="2118"/>
  <c r="G12" i="2118"/>
  <c r="F13" i="2119" l="1"/>
  <c r="G13" i="2119"/>
  <c r="D13" i="2118"/>
  <c r="H12" i="2118"/>
  <c r="D14" i="2119" l="1"/>
  <c r="H13" i="2119"/>
  <c r="F13" i="2118"/>
  <c r="G13" i="2118"/>
  <c r="G14" i="2119" l="1"/>
  <c r="F14" i="2119"/>
  <c r="D14" i="2118"/>
  <c r="H13" i="2118"/>
  <c r="D15" i="2119" l="1"/>
  <c r="H14" i="2119"/>
  <c r="G14" i="2118"/>
  <c r="F14" i="2118"/>
  <c r="G15" i="2119" l="1"/>
  <c r="F15" i="2119"/>
  <c r="H14" i="2118"/>
  <c r="D15" i="2118"/>
  <c r="H15" i="2119" l="1"/>
  <c r="D16" i="2119"/>
  <c r="F15" i="2118"/>
  <c r="G15" i="2118"/>
  <c r="G16" i="2119" l="1"/>
  <c r="F16" i="2119"/>
  <c r="H15" i="2118"/>
  <c r="D16" i="2118"/>
  <c r="H16" i="2119" l="1"/>
  <c r="D17" i="2119"/>
  <c r="G16" i="2118"/>
  <c r="F16" i="2118"/>
  <c r="G17" i="2119" l="1"/>
  <c r="F17" i="2119"/>
  <c r="H16" i="2118"/>
  <c r="D17" i="2118"/>
  <c r="H17" i="2119" l="1"/>
  <c r="D18" i="2119"/>
  <c r="G17" i="2118"/>
  <c r="F17" i="2118"/>
  <c r="G18" i="2119" l="1"/>
  <c r="F18" i="2119"/>
  <c r="H17" i="2118"/>
  <c r="D18" i="2118"/>
  <c r="D19" i="2119" l="1"/>
  <c r="H18" i="2119"/>
  <c r="G18" i="2118"/>
  <c r="F18" i="2118"/>
  <c r="G19" i="2119" l="1"/>
  <c r="F19" i="2119"/>
  <c r="D19" i="2118"/>
  <c r="H18" i="2118"/>
  <c r="D20" i="2119" l="1"/>
  <c r="H19" i="2119"/>
  <c r="G19" i="2118"/>
  <c r="F19" i="2118"/>
  <c r="G20" i="2119" l="1"/>
  <c r="F20" i="2119"/>
  <c r="D20" i="2118"/>
  <c r="H19" i="2118"/>
  <c r="D21" i="2119" l="1"/>
  <c r="H20" i="2119"/>
  <c r="F20" i="2118"/>
  <c r="G20" i="2118"/>
  <c r="F21" i="2119" l="1"/>
  <c r="G21" i="2119"/>
  <c r="D21" i="2118"/>
  <c r="H20" i="2118"/>
  <c r="D22" i="2119" l="1"/>
  <c r="H21" i="2119"/>
  <c r="F21" i="2118"/>
  <c r="G21" i="2118"/>
  <c r="G22" i="2119" l="1"/>
  <c r="F22" i="2119"/>
  <c r="D22" i="2118"/>
  <c r="H21" i="2118"/>
  <c r="D23" i="2119" l="1"/>
  <c r="H22" i="2119"/>
  <c r="G22" i="2118"/>
  <c r="F22" i="2118"/>
  <c r="G23" i="2119" l="1"/>
  <c r="F23" i="2119"/>
  <c r="H22" i="2118"/>
  <c r="D23" i="2118"/>
  <c r="H23" i="2119" l="1"/>
  <c r="D24" i="2119"/>
  <c r="G23" i="2118"/>
  <c r="F23" i="2118"/>
  <c r="G24" i="2119" l="1"/>
  <c r="F24" i="2119"/>
  <c r="H23" i="2118"/>
  <c r="D24" i="2118"/>
  <c r="H24" i="2119" l="1"/>
  <c r="D25" i="2119"/>
  <c r="G24" i="2118"/>
  <c r="F24" i="2118"/>
  <c r="F25" i="2119" l="1"/>
  <c r="G25" i="2119"/>
  <c r="H24" i="2118"/>
  <c r="D25" i="2118"/>
  <c r="H25" i="2119" l="1"/>
  <c r="D26" i="2119"/>
  <c r="G25" i="2118"/>
  <c r="F25" i="2118"/>
  <c r="G26" i="2119" l="1"/>
  <c r="F26" i="2119"/>
  <c r="H25" i="2118"/>
  <c r="D26" i="2118"/>
  <c r="D27" i="2119" l="1"/>
  <c r="H26" i="2119"/>
  <c r="G26" i="2118"/>
  <c r="F26" i="2118"/>
  <c r="F27" i="2119" l="1"/>
  <c r="G27" i="2119"/>
  <c r="D27" i="2118"/>
  <c r="H26" i="2118"/>
  <c r="D28" i="2119" l="1"/>
  <c r="H27" i="2119"/>
  <c r="F27" i="2118"/>
  <c r="G27" i="2118"/>
  <c r="G28" i="2119" l="1"/>
  <c r="F28" i="2119"/>
  <c r="D28" i="2118"/>
  <c r="H27" i="2118"/>
  <c r="D29" i="2119" l="1"/>
  <c r="H28" i="2119"/>
  <c r="F28" i="2118"/>
  <c r="G28" i="2118"/>
  <c r="F29" i="2119" l="1"/>
  <c r="G29" i="2119"/>
  <c r="D29" i="2118"/>
  <c r="H28" i="2118"/>
  <c r="D30" i="2119" l="1"/>
  <c r="H29" i="2119"/>
  <c r="F29" i="2118"/>
  <c r="G29" i="2118"/>
  <c r="G30" i="2119" l="1"/>
  <c r="F30" i="2119"/>
  <c r="D30" i="2118"/>
  <c r="H29" i="2118"/>
  <c r="D31" i="2119" l="1"/>
  <c r="H30" i="2119"/>
  <c r="G30" i="2118"/>
  <c r="F30" i="2118"/>
  <c r="G31" i="2119" l="1"/>
  <c r="F31" i="2119"/>
  <c r="H30" i="2118"/>
  <c r="D31" i="2118"/>
  <c r="H31" i="2119" l="1"/>
  <c r="D32" i="2119"/>
  <c r="G31" i="2118"/>
  <c r="F31" i="2118"/>
  <c r="G32" i="2119" l="1"/>
  <c r="F32" i="2119"/>
  <c r="H31" i="2118"/>
  <c r="D32" i="2118"/>
  <c r="H32" i="2119" l="1"/>
  <c r="D33" i="2119"/>
  <c r="G32" i="2118"/>
  <c r="F32" i="2118"/>
  <c r="F33" i="2119" l="1"/>
  <c r="G33" i="2119"/>
  <c r="H32" i="2118"/>
  <c r="D33" i="2118"/>
  <c r="H33" i="2119" l="1"/>
  <c r="D34" i="2119"/>
  <c r="G33" i="2118"/>
  <c r="F33" i="2118"/>
  <c r="G34" i="2119" l="1"/>
  <c r="F34" i="2119"/>
  <c r="H33" i="2118"/>
  <c r="D34" i="2118"/>
  <c r="D35" i="2119" l="1"/>
  <c r="H34" i="2119"/>
  <c r="G34" i="2118"/>
  <c r="F34" i="2118"/>
  <c r="F35" i="2119" l="1"/>
  <c r="G35" i="2119"/>
  <c r="D35" i="2118"/>
  <c r="H34" i="2118"/>
  <c r="D36" i="2119" l="1"/>
  <c r="H35" i="2119"/>
  <c r="G35" i="2118"/>
  <c r="F35" i="2118"/>
  <c r="G36" i="2119" l="1"/>
  <c r="F36" i="2119"/>
  <c r="D36" i="2118"/>
  <c r="H35" i="2118"/>
  <c r="D37" i="2119" l="1"/>
  <c r="H36" i="2119"/>
  <c r="F36" i="2118"/>
  <c r="G36" i="2118"/>
  <c r="F37" i="2119" l="1"/>
  <c r="G37" i="2119"/>
  <c r="D37" i="2118"/>
  <c r="H36" i="2118"/>
  <c r="D38" i="2119" l="1"/>
  <c r="H37" i="2119"/>
  <c r="F37" i="2118"/>
  <c r="G37" i="2118"/>
  <c r="G38" i="2119" l="1"/>
  <c r="F38" i="2119"/>
  <c r="D38" i="2118"/>
  <c r="H37" i="2118"/>
  <c r="D39" i="2119" l="1"/>
  <c r="H38" i="2119"/>
  <c r="G38" i="2118"/>
  <c r="F38" i="2118"/>
  <c r="G39" i="2119" l="1"/>
  <c r="F39" i="2119"/>
  <c r="D39" i="2118"/>
  <c r="H38" i="2118"/>
  <c r="H39" i="2119" l="1"/>
  <c r="D40" i="2119"/>
  <c r="G39" i="2118"/>
  <c r="F39" i="2118"/>
  <c r="G40" i="2119" l="1"/>
  <c r="F40" i="2119"/>
  <c r="H39" i="2118"/>
  <c r="D40" i="2118"/>
  <c r="H40" i="2119" l="1"/>
  <c r="D41" i="2119"/>
  <c r="G40" i="2118"/>
  <c r="F40" i="2118"/>
  <c r="F41" i="2119" l="1"/>
  <c r="G41" i="2119"/>
  <c r="H40" i="2118"/>
  <c r="D41" i="2118"/>
  <c r="H41" i="2119" l="1"/>
  <c r="D42" i="2119"/>
  <c r="G41" i="2118"/>
  <c r="F41" i="2118"/>
  <c r="G42" i="2119" l="1"/>
  <c r="F42" i="2119"/>
  <c r="H41" i="2118"/>
  <c r="D42" i="2118"/>
  <c r="D43" i="2119" l="1"/>
  <c r="H42" i="2119"/>
  <c r="G42" i="2118"/>
  <c r="F42" i="2118"/>
  <c r="F43" i="2119" l="1"/>
  <c r="G43" i="2119"/>
  <c r="D43" i="2118"/>
  <c r="H42" i="2118"/>
  <c r="D44" i="2119" l="1"/>
  <c r="H43" i="2119"/>
  <c r="F43" i="2118"/>
  <c r="G43" i="2118"/>
  <c r="G44" i="2119" l="1"/>
  <c r="F44" i="2119"/>
  <c r="D44" i="2118"/>
  <c r="H43" i="2118"/>
  <c r="D45" i="2119" l="1"/>
  <c r="H44" i="2119"/>
  <c r="F44" i="2118"/>
  <c r="G44" i="2118"/>
  <c r="F45" i="2119" l="1"/>
  <c r="G45" i="2119"/>
  <c r="D45" i="2118"/>
  <c r="H44" i="2118"/>
  <c r="D46" i="2119" l="1"/>
  <c r="H45" i="2119"/>
  <c r="F45" i="2118"/>
  <c r="G45" i="2118"/>
  <c r="G46" i="2119" l="1"/>
  <c r="F46" i="2119"/>
  <c r="D46" i="2118"/>
  <c r="H45" i="2118"/>
  <c r="D47" i="2119" l="1"/>
  <c r="H46" i="2119"/>
  <c r="G46" i="2118"/>
  <c r="F46" i="2118"/>
  <c r="G47" i="2119" l="1"/>
  <c r="F47" i="2119"/>
  <c r="H46" i="2118"/>
  <c r="D47" i="2118"/>
  <c r="H47" i="2119" l="1"/>
  <c r="D48" i="2119"/>
  <c r="G47" i="2118"/>
  <c r="F47" i="2118"/>
  <c r="G48" i="2119" l="1"/>
  <c r="F48" i="2119"/>
  <c r="H47" i="2118"/>
  <c r="D48" i="2118"/>
  <c r="H48" i="2119" l="1"/>
  <c r="D49" i="2119"/>
  <c r="F48" i="2118"/>
  <c r="G48" i="2118"/>
  <c r="F49" i="2119" l="1"/>
  <c r="G49" i="2119"/>
  <c r="H48" i="2118"/>
  <c r="D49" i="2118"/>
  <c r="H49" i="2119" l="1"/>
  <c r="D50" i="2119"/>
  <c r="F49" i="2118"/>
  <c r="G49" i="2118"/>
  <c r="G50" i="2119" l="1"/>
  <c r="F50" i="2119"/>
  <c r="H49" i="2118"/>
  <c r="D50" i="2118"/>
  <c r="D51" i="2119" l="1"/>
  <c r="H50" i="2119"/>
  <c r="G50" i="2118"/>
  <c r="F50" i="2118"/>
  <c r="G51" i="2119" l="1"/>
  <c r="F51" i="2119"/>
  <c r="D51" i="2118"/>
  <c r="H50" i="2118"/>
  <c r="D52" i="2119" l="1"/>
  <c r="H51" i="2119"/>
  <c r="G51" i="2118"/>
  <c r="F51" i="2118"/>
  <c r="G52" i="2119" l="1"/>
  <c r="F52" i="2119"/>
  <c r="D52" i="2118"/>
  <c r="H51" i="2118"/>
  <c r="D53" i="2119" l="1"/>
  <c r="H52" i="2119"/>
  <c r="F52" i="2118"/>
  <c r="G52" i="2118"/>
  <c r="F53" i="2119" l="1"/>
  <c r="G53" i="2119"/>
  <c r="D53" i="2118"/>
  <c r="H52" i="2118"/>
  <c r="D54" i="2119" l="1"/>
  <c r="H53" i="2119"/>
  <c r="F53" i="2118"/>
  <c r="G53" i="2118"/>
  <c r="G54" i="2119" l="1"/>
  <c r="F54" i="2119"/>
  <c r="D54" i="2118"/>
  <c r="H53" i="2118"/>
  <c r="D55" i="2119" l="1"/>
  <c r="H54" i="2119"/>
  <c r="G54" i="2118"/>
  <c r="F54" i="2118"/>
  <c r="G55" i="2119" l="1"/>
  <c r="F55" i="2119"/>
  <c r="H54" i="2118"/>
  <c r="D55" i="2118"/>
  <c r="H55" i="2119" l="1"/>
  <c r="D56" i="2119"/>
  <c r="G55" i="2118"/>
  <c r="F55" i="2118"/>
  <c r="G56" i="2119" l="1"/>
  <c r="F56" i="2119"/>
  <c r="H55" i="2118"/>
  <c r="D56" i="2118"/>
  <c r="H56" i="2119" l="1"/>
  <c r="D57" i="2119"/>
  <c r="G56" i="2118"/>
  <c r="F56" i="2118"/>
  <c r="F57" i="2119" l="1"/>
  <c r="G57" i="2119"/>
  <c r="H56" i="2118"/>
  <c r="D57" i="2118"/>
  <c r="H57" i="2119" l="1"/>
  <c r="D58" i="2119"/>
  <c r="G57" i="2118"/>
  <c r="F57" i="2118"/>
  <c r="G58" i="2119" l="1"/>
  <c r="F58" i="2119"/>
  <c r="H57" i="2118"/>
  <c r="D58" i="2118"/>
  <c r="D59" i="2119" l="1"/>
  <c r="H58" i="2119"/>
  <c r="G58" i="2118"/>
  <c r="F58" i="2118"/>
  <c r="G59" i="2119" l="1"/>
  <c r="F59" i="2119"/>
  <c r="D59" i="2118"/>
  <c r="H58" i="2118"/>
  <c r="D60" i="2119" l="1"/>
  <c r="H59" i="2119"/>
  <c r="G59" i="2118"/>
  <c r="F59" i="2118"/>
  <c r="F60" i="2119" l="1"/>
  <c r="G60" i="2119"/>
  <c r="D60" i="2118"/>
  <c r="H59" i="2118"/>
  <c r="D61" i="2119" l="1"/>
  <c r="H60" i="2119"/>
  <c r="F60" i="2118"/>
  <c r="G60" i="2118"/>
  <c r="F61" i="2119" l="1"/>
  <c r="G61" i="2119"/>
  <c r="D61" i="2118"/>
  <c r="H60" i="2118"/>
  <c r="D62" i="2119" l="1"/>
  <c r="H61" i="2119"/>
  <c r="F61" i="2118"/>
  <c r="G61" i="2118"/>
  <c r="G62" i="2119" l="1"/>
  <c r="F62" i="2119"/>
  <c r="D62" i="2118"/>
  <c r="H61" i="2118"/>
  <c r="D63" i="2119" l="1"/>
  <c r="H62" i="2119"/>
  <c r="G62" i="2118"/>
  <c r="F62" i="2118"/>
  <c r="G63" i="2119" l="1"/>
  <c r="F63" i="2119"/>
  <c r="D63" i="2118"/>
  <c r="H62" i="2118"/>
  <c r="H63" i="2119" l="1"/>
  <c r="D64" i="2119"/>
  <c r="G63" i="2118"/>
  <c r="F63" i="2118"/>
  <c r="G64" i="2119" l="1"/>
  <c r="F64" i="2119"/>
  <c r="H63" i="2118"/>
  <c r="D64" i="2118"/>
  <c r="H64" i="2119" l="1"/>
  <c r="D65" i="2119"/>
  <c r="G64" i="2118"/>
  <c r="F64" i="2118"/>
  <c r="F65" i="2119" l="1"/>
  <c r="G65" i="2119"/>
  <c r="H64" i="2118"/>
  <c r="D65" i="2118"/>
  <c r="H65" i="2119" l="1"/>
  <c r="D66" i="2119"/>
  <c r="G65" i="2118"/>
  <c r="F65" i="2118"/>
  <c r="G66" i="2119" l="1"/>
  <c r="F66" i="2119"/>
  <c r="H65" i="2118"/>
  <c r="D66" i="2118"/>
  <c r="D67" i="2119" l="1"/>
  <c r="H66" i="2119"/>
  <c r="G66" i="2118"/>
  <c r="F66" i="2118"/>
  <c r="G67" i="2119" l="1"/>
  <c r="F67" i="2119"/>
  <c r="D67" i="2118"/>
  <c r="H66" i="2118"/>
  <c r="D68" i="2119" l="1"/>
  <c r="H67" i="2119"/>
  <c r="G67" i="2118"/>
  <c r="F67" i="2118"/>
  <c r="G68" i="2119" l="1"/>
  <c r="F68" i="2119"/>
  <c r="D68" i="2118"/>
  <c r="H67" i="2118"/>
  <c r="D69" i="2119" l="1"/>
  <c r="H68" i="2119"/>
  <c r="F68" i="2118"/>
  <c r="G68" i="2118"/>
  <c r="F69" i="2119" l="1"/>
  <c r="G69" i="2119"/>
  <c r="D69" i="2118"/>
  <c r="H68" i="2118"/>
  <c r="D70" i="2119" l="1"/>
  <c r="H69" i="2119"/>
  <c r="F69" i="2118"/>
  <c r="G69" i="2118"/>
  <c r="G70" i="2119" l="1"/>
  <c r="F70" i="2119"/>
  <c r="D70" i="2118"/>
  <c r="H69" i="2118"/>
  <c r="D71" i="2119" l="1"/>
  <c r="H70" i="2119"/>
  <c r="G70" i="2118"/>
  <c r="F70" i="2118"/>
  <c r="G71" i="2119" l="1"/>
  <c r="F71" i="2119"/>
  <c r="D71" i="2118"/>
  <c r="H70" i="2118"/>
  <c r="H71" i="2119" l="1"/>
  <c r="D72" i="2119"/>
  <c r="G71" i="2118"/>
  <c r="F71" i="2118"/>
  <c r="G72" i="2119" l="1"/>
  <c r="F72" i="2119"/>
  <c r="H71" i="2118"/>
  <c r="D72" i="2118"/>
  <c r="H72" i="2119" l="1"/>
  <c r="D73" i="2119"/>
  <c r="G72" i="2118"/>
  <c r="F72" i="2118"/>
  <c r="G73" i="2119" l="1"/>
  <c r="F73" i="2119"/>
  <c r="H72" i="2118"/>
  <c r="D73" i="2118"/>
  <c r="H73" i="2119" l="1"/>
  <c r="D74" i="2119"/>
  <c r="G73" i="2118"/>
  <c r="F73" i="2118"/>
  <c r="G74" i="2119" l="1"/>
  <c r="F74" i="2119"/>
  <c r="H73" i="2118"/>
  <c r="D74" i="2118"/>
  <c r="D75" i="2119" l="1"/>
  <c r="H74" i="2119"/>
  <c r="G74" i="2118"/>
  <c r="F74" i="2118"/>
  <c r="G75" i="2119" l="1"/>
  <c r="F75" i="2119"/>
  <c r="D75" i="2118"/>
  <c r="H74" i="2118"/>
  <c r="H75" i="2119" l="1"/>
  <c r="D76" i="2119"/>
  <c r="F75" i="2118"/>
  <c r="G75" i="2118"/>
  <c r="F76" i="2119" l="1"/>
  <c r="G76" i="2119"/>
  <c r="D76" i="2118"/>
  <c r="H75" i="2118"/>
  <c r="D77" i="2119" l="1"/>
  <c r="H76" i="2119"/>
  <c r="F76" i="2118"/>
  <c r="G76" i="2118"/>
  <c r="F77" i="2119" l="1"/>
  <c r="G77" i="2119"/>
  <c r="D77" i="2118"/>
  <c r="H76" i="2118"/>
  <c r="D78" i="2119" l="1"/>
  <c r="H77" i="2119"/>
  <c r="F77" i="2118"/>
  <c r="G77" i="2118"/>
  <c r="G78" i="2119" l="1"/>
  <c r="F78" i="2119"/>
  <c r="D78" i="2118"/>
  <c r="H77" i="2118"/>
  <c r="D79" i="2119" l="1"/>
  <c r="H78" i="2119"/>
  <c r="G78" i="2118"/>
  <c r="F78" i="2118"/>
  <c r="G79" i="2119" l="1"/>
  <c r="F79" i="2119"/>
  <c r="D79" i="2118"/>
  <c r="H78" i="2118"/>
  <c r="H79" i="2119" l="1"/>
  <c r="D80" i="2119"/>
  <c r="G79" i="2118"/>
  <c r="F79" i="2118"/>
  <c r="G80" i="2119" l="1"/>
  <c r="F80" i="2119"/>
  <c r="H79" i="2118"/>
  <c r="D80" i="2118"/>
  <c r="H80" i="2119" l="1"/>
  <c r="D81" i="2119"/>
  <c r="G80" i="2118"/>
  <c r="F80" i="2118"/>
  <c r="F81" i="2119" l="1"/>
  <c r="G81" i="2119"/>
  <c r="H80" i="2118"/>
  <c r="D81" i="2118"/>
  <c r="H81" i="2119" l="1"/>
  <c r="D82" i="2119"/>
  <c r="G81" i="2118"/>
  <c r="F81" i="2118"/>
  <c r="G82" i="2119" l="1"/>
  <c r="F82" i="2119"/>
  <c r="H81" i="2118"/>
  <c r="D82" i="2118"/>
  <c r="D83" i="2119" l="1"/>
  <c r="H82" i="2119"/>
  <c r="G82" i="2118"/>
  <c r="F82" i="2118"/>
  <c r="G83" i="2119" l="1"/>
  <c r="F83" i="2119"/>
  <c r="D83" i="2118"/>
  <c r="H82" i="2118"/>
  <c r="D84" i="2119" l="1"/>
  <c r="H83" i="2119"/>
  <c r="G83" i="2118"/>
  <c r="F83" i="2118"/>
  <c r="G84" i="2119" l="1"/>
  <c r="F84" i="2119"/>
  <c r="D84" i="2118"/>
  <c r="H83" i="2118"/>
  <c r="D85" i="2119" l="1"/>
  <c r="H84" i="2119"/>
  <c r="F84" i="2118"/>
  <c r="G84" i="2118"/>
  <c r="F85" i="2119" l="1"/>
  <c r="G85" i="2119"/>
  <c r="D85" i="2118"/>
  <c r="H84" i="2118"/>
  <c r="D86" i="2119" l="1"/>
  <c r="H85" i="2119"/>
  <c r="F85" i="2118"/>
  <c r="G85" i="2118"/>
  <c r="G86" i="2119" l="1"/>
  <c r="F86" i="2119"/>
  <c r="D86" i="2118"/>
  <c r="H85" i="2118"/>
  <c r="D87" i="2119" l="1"/>
  <c r="H86" i="2119"/>
  <c r="G86" i="2118"/>
  <c r="F86" i="2118"/>
  <c r="G87" i="2119" l="1"/>
  <c r="F87" i="2119"/>
  <c r="D87" i="2118"/>
  <c r="H86" i="2118"/>
  <c r="H87" i="2119" l="1"/>
  <c r="D88" i="2119"/>
  <c r="G87" i="2118"/>
  <c r="F87" i="2118"/>
  <c r="G88" i="2119" l="1"/>
  <c r="F88" i="2119"/>
  <c r="H87" i="2118"/>
  <c r="D88" i="2118"/>
  <c r="H88" i="2119" l="1"/>
  <c r="D89" i="2119"/>
  <c r="F88" i="2118"/>
  <c r="G88" i="2118"/>
  <c r="F89" i="2119" l="1"/>
  <c r="G89" i="2119"/>
  <c r="H88" i="2118"/>
  <c r="D89" i="2118"/>
  <c r="H89" i="2119" l="1"/>
  <c r="D90" i="2119"/>
  <c r="G89" i="2118"/>
  <c r="F89" i="2118"/>
  <c r="G90" i="2119" l="1"/>
  <c r="F90" i="2119"/>
  <c r="H89" i="2118"/>
  <c r="D90" i="2118"/>
  <c r="D91" i="2119" l="1"/>
  <c r="H90" i="2119"/>
  <c r="G90" i="2118"/>
  <c r="F90" i="2118"/>
  <c r="F91" i="2119" l="1"/>
  <c r="G91" i="2119"/>
  <c r="D91" i="2118"/>
  <c r="H90" i="2118"/>
  <c r="D92" i="2119" l="1"/>
  <c r="H91" i="2119"/>
  <c r="G91" i="2118"/>
  <c r="F91" i="2118"/>
  <c r="G92" i="2119" l="1"/>
  <c r="F92" i="2119"/>
  <c r="D92" i="2118"/>
  <c r="H91" i="2118"/>
  <c r="D93" i="2119" l="1"/>
  <c r="H92" i="2119"/>
  <c r="F92" i="2118"/>
  <c r="G92" i="2118"/>
  <c r="F93" i="2119" l="1"/>
  <c r="G93" i="2119"/>
  <c r="D93" i="2118"/>
  <c r="H92" i="2118"/>
  <c r="D94" i="2119" l="1"/>
  <c r="H93" i="2119"/>
  <c r="F93" i="2118"/>
  <c r="G93" i="2118"/>
  <c r="G94" i="2119" l="1"/>
  <c r="F94" i="2119"/>
  <c r="D94" i="2118"/>
  <c r="H93" i="2118"/>
  <c r="D95" i="2119" l="1"/>
  <c r="H94" i="2119"/>
  <c r="G94" i="2118"/>
  <c r="F94" i="2118"/>
  <c r="G95" i="2119" l="1"/>
  <c r="F95" i="2119"/>
  <c r="D95" i="2118"/>
  <c r="H94" i="2118"/>
  <c r="H95" i="2119" l="1"/>
  <c r="D96" i="2119"/>
  <c r="G95" i="2118"/>
  <c r="F95" i="2118"/>
  <c r="G96" i="2119" l="1"/>
  <c r="F96" i="2119"/>
  <c r="H95" i="2118"/>
  <c r="D96" i="2118"/>
  <c r="H96" i="2119" l="1"/>
  <c r="D97" i="2119"/>
  <c r="F96" i="2118"/>
  <c r="G96" i="2118"/>
  <c r="G97" i="2119" l="1"/>
  <c r="F97" i="2119"/>
  <c r="H96" i="2118"/>
  <c r="D97" i="2118"/>
  <c r="H97" i="2119" l="1"/>
  <c r="D98" i="2119"/>
  <c r="G97" i="2118"/>
  <c r="F97" i="2118"/>
  <c r="G98" i="2119" l="1"/>
  <c r="F98" i="2119"/>
  <c r="H97" i="2118"/>
  <c r="D98" i="2118"/>
  <c r="D99" i="2119" l="1"/>
  <c r="H98" i="2119"/>
  <c r="G98" i="2118"/>
  <c r="F98" i="2118"/>
  <c r="G99" i="2119" l="1"/>
  <c r="F99" i="2119"/>
  <c r="D99" i="2118"/>
  <c r="H98" i="2118"/>
  <c r="D100" i="2119" l="1"/>
  <c r="H99" i="2119"/>
  <c r="F99" i="2118"/>
  <c r="G99" i="2118"/>
  <c r="G100" i="2119" l="1"/>
  <c r="F100" i="2119"/>
  <c r="D100" i="2118"/>
  <c r="H99" i="2118"/>
  <c r="D101" i="2119" l="1"/>
  <c r="H100" i="2119"/>
  <c r="F100" i="2118"/>
  <c r="G100" i="2118"/>
  <c r="F101" i="2119" l="1"/>
  <c r="G101" i="2119"/>
  <c r="D101" i="2118"/>
  <c r="H100" i="2118"/>
  <c r="D102" i="2119" l="1"/>
  <c r="H101" i="2119"/>
  <c r="F101" i="2118"/>
  <c r="G101" i="2118"/>
  <c r="G102" i="2119" l="1"/>
  <c r="F102" i="2119"/>
  <c r="D102" i="2118"/>
  <c r="H101" i="2118"/>
  <c r="D103" i="2119" l="1"/>
  <c r="H102" i="2119"/>
  <c r="G102" i="2118"/>
  <c r="F102" i="2118"/>
  <c r="G103" i="2119" l="1"/>
  <c r="F103" i="2119"/>
  <c r="D103" i="2118"/>
  <c r="H102" i="2118"/>
  <c r="H103" i="2119" l="1"/>
  <c r="D104" i="2119"/>
  <c r="G103" i="2118"/>
  <c r="F103" i="2118"/>
  <c r="G104" i="2119" l="1"/>
  <c r="F104" i="2119"/>
  <c r="H103" i="2118"/>
  <c r="D104" i="2118"/>
  <c r="H104" i="2119" l="1"/>
  <c r="D105" i="2119"/>
  <c r="G104" i="2118"/>
  <c r="F104" i="2118"/>
  <c r="F105" i="2119" l="1"/>
  <c r="G105" i="2119"/>
  <c r="H104" i="2118"/>
  <c r="D105" i="2118"/>
  <c r="H105" i="2119" l="1"/>
  <c r="D106" i="2119"/>
  <c r="G105" i="2118"/>
  <c r="F105" i="2118"/>
  <c r="G106" i="2119" l="1"/>
  <c r="F106" i="2119"/>
  <c r="H105" i="2118"/>
  <c r="D106" i="2118"/>
  <c r="D107" i="2119" l="1"/>
  <c r="H106" i="2119"/>
  <c r="G106" i="2118"/>
  <c r="F106" i="2118"/>
  <c r="F107" i="2119" l="1"/>
  <c r="G107" i="2119"/>
  <c r="D107" i="2118"/>
  <c r="H106" i="2118"/>
  <c r="D108" i="2119" l="1"/>
  <c r="H107" i="2119"/>
  <c r="G107" i="2118"/>
  <c r="F107" i="2118"/>
  <c r="G108" i="2119" l="1"/>
  <c r="F108" i="2119"/>
  <c r="D108" i="2118"/>
  <c r="H107" i="2118"/>
  <c r="D109" i="2119" l="1"/>
  <c r="H108" i="2119"/>
  <c r="F108" i="2118"/>
  <c r="G108" i="2118"/>
  <c r="F109" i="2119" l="1"/>
  <c r="G109" i="2119"/>
  <c r="D109" i="2118"/>
  <c r="H108" i="2118"/>
  <c r="B18" i="2101"/>
  <c r="C18" i="2101" s="1"/>
  <c r="C17" i="2101"/>
  <c r="B14" i="2105"/>
  <c r="C14" i="2105" s="1"/>
  <c r="B15" i="2105"/>
  <c r="C15" i="2105" s="1"/>
  <c r="B16" i="2105"/>
  <c r="C16" i="2105" s="1"/>
  <c r="B17" i="2105"/>
  <c r="C17" i="2105" s="1"/>
  <c r="B18" i="2105"/>
  <c r="C18" i="2105" s="1"/>
  <c r="B19" i="2105"/>
  <c r="C19" i="2105" s="1"/>
  <c r="B20" i="2105"/>
  <c r="C20" i="2105" s="1"/>
  <c r="B21" i="2105"/>
  <c r="C21" i="2105" s="1"/>
  <c r="B22" i="2105"/>
  <c r="C22" i="2105" s="1"/>
  <c r="B23" i="2105"/>
  <c r="C23" i="2105" s="1"/>
  <c r="B24" i="2105"/>
  <c r="C24" i="2105" s="1"/>
  <c r="B25" i="2105"/>
  <c r="C25" i="2105" s="1"/>
  <c r="B26" i="2105"/>
  <c r="C26" i="2105" s="1"/>
  <c r="B27" i="2105"/>
  <c r="C27" i="2105" s="1"/>
  <c r="B28" i="2105"/>
  <c r="C28" i="2105" s="1"/>
  <c r="B29" i="2105"/>
  <c r="C29" i="2105" s="1"/>
  <c r="B30" i="2105"/>
  <c r="C30" i="2105" s="1"/>
  <c r="B31" i="2105"/>
  <c r="C31" i="2105" s="1"/>
  <c r="B32" i="2105"/>
  <c r="C32" i="2105" s="1"/>
  <c r="B33" i="2105"/>
  <c r="C33" i="2105" s="1"/>
  <c r="B34" i="2105"/>
  <c r="C34" i="2105" s="1"/>
  <c r="B35" i="2105"/>
  <c r="C35" i="2105" s="1"/>
  <c r="B36" i="2105"/>
  <c r="C36" i="2105" s="1"/>
  <c r="B37" i="2105"/>
  <c r="C37" i="2105" s="1"/>
  <c r="B38" i="2105"/>
  <c r="C38" i="2105" s="1"/>
  <c r="B39" i="2105"/>
  <c r="C39" i="2105" s="1"/>
  <c r="B40" i="2105"/>
  <c r="C40" i="2105" s="1"/>
  <c r="B41" i="2105"/>
  <c r="C41" i="2105" s="1"/>
  <c r="B42" i="2105"/>
  <c r="C42" i="2105" s="1"/>
  <c r="B43" i="2105"/>
  <c r="C43" i="2105" s="1"/>
  <c r="B44" i="2105"/>
  <c r="C44" i="2105" s="1"/>
  <c r="B45" i="2105"/>
  <c r="C45" i="2105" s="1"/>
  <c r="B46" i="2105"/>
  <c r="C46" i="2105" s="1"/>
  <c r="B47" i="2105"/>
  <c r="C47" i="2105" s="1"/>
  <c r="B48" i="2105"/>
  <c r="C48" i="2105" s="1"/>
  <c r="B49" i="2105"/>
  <c r="C49" i="2105" s="1"/>
  <c r="B50" i="2105"/>
  <c r="C50" i="2105" s="1"/>
  <c r="B51" i="2105"/>
  <c r="C51" i="2105" s="1"/>
  <c r="B52" i="2105"/>
  <c r="C52" i="2105" s="1"/>
  <c r="B53" i="2105"/>
  <c r="C53" i="2105" s="1"/>
  <c r="B54" i="2105"/>
  <c r="C54" i="2105" s="1"/>
  <c r="B55" i="2105"/>
  <c r="C55" i="2105" s="1"/>
  <c r="B56" i="2105"/>
  <c r="C56" i="2105" s="1"/>
  <c r="B57" i="2105"/>
  <c r="C57" i="2105" s="1"/>
  <c r="B58" i="2105"/>
  <c r="C58" i="2105" s="1"/>
  <c r="B59" i="2105"/>
  <c r="C59" i="2105" s="1"/>
  <c r="B60" i="2105"/>
  <c r="C60" i="2105" s="1"/>
  <c r="B61" i="2105"/>
  <c r="C61" i="2105" s="1"/>
  <c r="B62" i="2105"/>
  <c r="C62" i="2105" s="1"/>
  <c r="B63" i="2105"/>
  <c r="C63" i="2105" s="1"/>
  <c r="B64" i="2105"/>
  <c r="C64" i="2105" s="1"/>
  <c r="B65" i="2105"/>
  <c r="C65" i="2105" s="1"/>
  <c r="B66" i="2105"/>
  <c r="C66" i="2105" s="1"/>
  <c r="B67" i="2105"/>
  <c r="C67" i="2105" s="1"/>
  <c r="B68" i="2105"/>
  <c r="C68" i="2105" s="1"/>
  <c r="B69" i="2105"/>
  <c r="C69" i="2105" s="1"/>
  <c r="B70" i="2105"/>
  <c r="C70" i="2105" s="1"/>
  <c r="B71" i="2105"/>
  <c r="C71" i="2105" s="1"/>
  <c r="B72" i="2105"/>
  <c r="C72" i="2105" s="1"/>
  <c r="B73" i="2105"/>
  <c r="C73" i="2105" s="1"/>
  <c r="B74" i="2105"/>
  <c r="C74" i="2105" s="1"/>
  <c r="B75" i="2105"/>
  <c r="C75" i="2105" s="1"/>
  <c r="B76" i="2105"/>
  <c r="C76" i="2105" s="1"/>
  <c r="B77" i="2105"/>
  <c r="C77" i="2105" s="1"/>
  <c r="B78" i="2105"/>
  <c r="C78" i="2105" s="1"/>
  <c r="B79" i="2105"/>
  <c r="C79" i="2105" s="1"/>
  <c r="B80" i="2105"/>
  <c r="C80" i="2105" s="1"/>
  <c r="B81" i="2105"/>
  <c r="C81" i="2105" s="1"/>
  <c r="B82" i="2105"/>
  <c r="C82" i="2105" s="1"/>
  <c r="B83" i="2105"/>
  <c r="C83" i="2105" s="1"/>
  <c r="B84" i="2105"/>
  <c r="C84" i="2105" s="1"/>
  <c r="B85" i="2105"/>
  <c r="C85" i="2105" s="1"/>
  <c r="B86" i="2105"/>
  <c r="C86" i="2105" s="1"/>
  <c r="B87" i="2105"/>
  <c r="C87" i="2105" s="1"/>
  <c r="B88" i="2105"/>
  <c r="C88" i="2105" s="1"/>
  <c r="B89" i="2105"/>
  <c r="C89" i="2105" s="1"/>
  <c r="B90" i="2105"/>
  <c r="C90" i="2105" s="1"/>
  <c r="B91" i="2105"/>
  <c r="C91" i="2105" s="1"/>
  <c r="B92" i="2105"/>
  <c r="C92" i="2105" s="1"/>
  <c r="B93" i="2105"/>
  <c r="C93" i="2105" s="1"/>
  <c r="B94" i="2105"/>
  <c r="C94" i="2105" s="1"/>
  <c r="B95" i="2105"/>
  <c r="C95" i="2105" s="1"/>
  <c r="B96" i="2105"/>
  <c r="C96" i="2105" s="1"/>
  <c r="B97" i="2105"/>
  <c r="C97" i="2105" s="1"/>
  <c r="B98" i="2105"/>
  <c r="C98" i="2105" s="1"/>
  <c r="B99" i="2105"/>
  <c r="C99" i="2105" s="1"/>
  <c r="B100" i="2105"/>
  <c r="C100" i="2105" s="1"/>
  <c r="B101" i="2105"/>
  <c r="C101" i="2105" s="1"/>
  <c r="B102" i="2105"/>
  <c r="C102" i="2105" s="1"/>
  <c r="B103" i="2105"/>
  <c r="C103" i="2105" s="1"/>
  <c r="B104" i="2105"/>
  <c r="C104" i="2105" s="1"/>
  <c r="B105" i="2105"/>
  <c r="C105" i="2105" s="1"/>
  <c r="B106" i="2105"/>
  <c r="C106" i="2105" s="1"/>
  <c r="B107" i="2105"/>
  <c r="C107" i="2105" s="1"/>
  <c r="B108" i="2105"/>
  <c r="C108" i="2105" s="1"/>
  <c r="B109" i="2105"/>
  <c r="C109" i="2105" s="1"/>
  <c r="B110" i="2105"/>
  <c r="C110" i="2105" s="1"/>
  <c r="B111" i="2105"/>
  <c r="C111" i="2105" s="1"/>
  <c r="B112" i="2105"/>
  <c r="C112" i="2105" s="1"/>
  <c r="B113" i="2105"/>
  <c r="C113" i="2105" s="1"/>
  <c r="B114" i="2105"/>
  <c r="C114" i="2105" s="1"/>
  <c r="B115" i="2105"/>
  <c r="C115" i="2105" s="1"/>
  <c r="B116" i="2105"/>
  <c r="C116" i="2105" s="1"/>
  <c r="B117" i="2105"/>
  <c r="C117" i="2105" s="1"/>
  <c r="B118" i="2105"/>
  <c r="C118" i="2105" s="1"/>
  <c r="B119" i="2105"/>
  <c r="C119" i="2105" s="1"/>
  <c r="B120" i="2105"/>
  <c r="C120" i="2105" s="1"/>
  <c r="B121" i="2105"/>
  <c r="C121" i="2105" s="1"/>
  <c r="B122" i="2105"/>
  <c r="C122" i="2105" s="1"/>
  <c r="B123" i="2105"/>
  <c r="C123" i="2105" s="1"/>
  <c r="B124" i="2105"/>
  <c r="C124" i="2105" s="1"/>
  <c r="B125" i="2105"/>
  <c r="C125" i="2105" s="1"/>
  <c r="B126" i="2105"/>
  <c r="C126" i="2105" s="1"/>
  <c r="B127" i="2105"/>
  <c r="C127" i="2105" s="1"/>
  <c r="B128" i="2105"/>
  <c r="C128" i="2105" s="1"/>
  <c r="B129" i="2105"/>
  <c r="C129" i="2105" s="1"/>
  <c r="B130" i="2105"/>
  <c r="C130" i="2105" s="1"/>
  <c r="B131" i="2105"/>
  <c r="C131" i="2105" s="1"/>
  <c r="B132" i="2105"/>
  <c r="C132" i="2105" s="1"/>
  <c r="B133" i="2105"/>
  <c r="C133" i="2105" s="1"/>
  <c r="B134" i="2105"/>
  <c r="C134" i="2105" s="1"/>
  <c r="B135" i="2105"/>
  <c r="C135" i="2105" s="1"/>
  <c r="B136" i="2105"/>
  <c r="C136" i="2105" s="1"/>
  <c r="B137" i="2105"/>
  <c r="C137" i="2105" s="1"/>
  <c r="B138" i="2105"/>
  <c r="C138" i="2105" s="1"/>
  <c r="B139" i="2105"/>
  <c r="C139" i="2105" s="1"/>
  <c r="B140" i="2105"/>
  <c r="C140" i="2105" s="1"/>
  <c r="B141" i="2105"/>
  <c r="C141" i="2105" s="1"/>
  <c r="B142" i="2105"/>
  <c r="C142" i="2105" s="1"/>
  <c r="B143" i="2105"/>
  <c r="C143" i="2105" s="1"/>
  <c r="B144" i="2105"/>
  <c r="C144" i="2105" s="1"/>
  <c r="B145" i="2105"/>
  <c r="C145" i="2105" s="1"/>
  <c r="B146" i="2105"/>
  <c r="C146" i="2105" s="1"/>
  <c r="B147" i="2105"/>
  <c r="C147" i="2105" s="1"/>
  <c r="B148" i="2105"/>
  <c r="C148" i="2105" s="1"/>
  <c r="B149" i="2105"/>
  <c r="C149" i="2105" s="1"/>
  <c r="B150" i="2105"/>
  <c r="C150" i="2105" s="1"/>
  <c r="B151" i="2105"/>
  <c r="C151" i="2105" s="1"/>
  <c r="B152" i="2105"/>
  <c r="C152" i="2105" s="1"/>
  <c r="B153" i="2105"/>
  <c r="C153" i="2105" s="1"/>
  <c r="B154" i="2105"/>
  <c r="C154" i="2105" s="1"/>
  <c r="B155" i="2105"/>
  <c r="C155" i="2105" s="1"/>
  <c r="B156" i="2105"/>
  <c r="C156" i="2105" s="1"/>
  <c r="B157" i="2105"/>
  <c r="C157" i="2105" s="1"/>
  <c r="B158" i="2105"/>
  <c r="C158" i="2105" s="1"/>
  <c r="B159" i="2105"/>
  <c r="C159" i="2105" s="1"/>
  <c r="B160" i="2105"/>
  <c r="C160" i="2105" s="1"/>
  <c r="B161" i="2105"/>
  <c r="C161" i="2105" s="1"/>
  <c r="B162" i="2105"/>
  <c r="C162" i="2105" s="1"/>
  <c r="B163" i="2105"/>
  <c r="C163" i="2105" s="1"/>
  <c r="B164" i="2105"/>
  <c r="C164" i="2105" s="1"/>
  <c r="B165" i="2105"/>
  <c r="C165" i="2105" s="1"/>
  <c r="B166" i="2105"/>
  <c r="C166" i="2105" s="1"/>
  <c r="B167" i="2105"/>
  <c r="C167" i="2105" s="1"/>
  <c r="B168" i="2105"/>
  <c r="C168" i="2105" s="1"/>
  <c r="B169" i="2105"/>
  <c r="C169" i="2105" s="1"/>
  <c r="B170" i="2105"/>
  <c r="C170" i="2105" s="1"/>
  <c r="B171" i="2105"/>
  <c r="C171" i="2105" s="1"/>
  <c r="B172" i="2105"/>
  <c r="C172" i="2105" s="1"/>
  <c r="B173" i="2105"/>
  <c r="C173" i="2105" s="1"/>
  <c r="B174" i="2105"/>
  <c r="C174" i="2105" s="1"/>
  <c r="B175" i="2105"/>
  <c r="C175" i="2105" s="1"/>
  <c r="B176" i="2105"/>
  <c r="C176" i="2105" s="1"/>
  <c r="B177" i="2105"/>
  <c r="C177" i="2105" s="1"/>
  <c r="B178" i="2105"/>
  <c r="C178" i="2105" s="1"/>
  <c r="B179" i="2105"/>
  <c r="C179" i="2105" s="1"/>
  <c r="B180" i="2105"/>
  <c r="C180" i="2105" s="1"/>
  <c r="B181" i="2105"/>
  <c r="C181" i="2105" s="1"/>
  <c r="B182" i="2105"/>
  <c r="C182" i="2105" s="1"/>
  <c r="B183" i="2105"/>
  <c r="C183" i="2105" s="1"/>
  <c r="B184" i="2105"/>
  <c r="C184" i="2105" s="1"/>
  <c r="B185" i="2105"/>
  <c r="C185" i="2105" s="1"/>
  <c r="B186" i="2105"/>
  <c r="C186" i="2105" s="1"/>
  <c r="B187" i="2105"/>
  <c r="C187" i="2105" s="1"/>
  <c r="B188" i="2105"/>
  <c r="C188" i="2105" s="1"/>
  <c r="B189" i="2105"/>
  <c r="C189" i="2105" s="1"/>
  <c r="B190" i="2105"/>
  <c r="C190" i="2105" s="1"/>
  <c r="B191" i="2105"/>
  <c r="C191" i="2105" s="1"/>
  <c r="B192" i="2105"/>
  <c r="C192" i="2105" s="1"/>
  <c r="B193" i="2105"/>
  <c r="C193" i="2105" s="1"/>
  <c r="B194" i="2105"/>
  <c r="C194" i="2105" s="1"/>
  <c r="B195" i="2105"/>
  <c r="C195" i="2105" s="1"/>
  <c r="B196" i="2105"/>
  <c r="C196" i="2105" s="1"/>
  <c r="B197" i="2105"/>
  <c r="C197" i="2105" s="1"/>
  <c r="B198" i="2105"/>
  <c r="C198" i="2105" s="1"/>
  <c r="B199" i="2105"/>
  <c r="C199" i="2105" s="1"/>
  <c r="B200" i="2105"/>
  <c r="C200" i="2105" s="1"/>
  <c r="B201" i="2105"/>
  <c r="C201" i="2105" s="1"/>
  <c r="B202" i="2105"/>
  <c r="C202" i="2105" s="1"/>
  <c r="B203" i="2105"/>
  <c r="C203" i="2105" s="1"/>
  <c r="B204" i="2105"/>
  <c r="C204" i="2105" s="1"/>
  <c r="B205" i="2105"/>
  <c r="C205" i="2105" s="1"/>
  <c r="B206" i="2105"/>
  <c r="C206" i="2105" s="1"/>
  <c r="B207" i="2105"/>
  <c r="C207" i="2105" s="1"/>
  <c r="B208" i="2105"/>
  <c r="C208" i="2105" s="1"/>
  <c r="B209" i="2105"/>
  <c r="C209" i="2105" s="1"/>
  <c r="B210" i="2105"/>
  <c r="C210" i="2105" s="1"/>
  <c r="B211" i="2105"/>
  <c r="C211" i="2105" s="1"/>
  <c r="B212" i="2105"/>
  <c r="C212" i="2105" s="1"/>
  <c r="B213" i="2105"/>
  <c r="C213" i="2105" s="1"/>
  <c r="B214" i="2105"/>
  <c r="C214" i="2105" s="1"/>
  <c r="B215" i="2105"/>
  <c r="C215" i="2105" s="1"/>
  <c r="B216" i="2105"/>
  <c r="C216" i="2105" s="1"/>
  <c r="B217" i="2105"/>
  <c r="C217" i="2105" s="1"/>
  <c r="B218" i="2105"/>
  <c r="C218" i="2105" s="1"/>
  <c r="B219" i="2105"/>
  <c r="C219" i="2105" s="1"/>
  <c r="B220" i="2105"/>
  <c r="C220" i="2105" s="1"/>
  <c r="B221" i="2105"/>
  <c r="C221" i="2105" s="1"/>
  <c r="B222" i="2105"/>
  <c r="C222" i="2105" s="1"/>
  <c r="B223" i="2105"/>
  <c r="C223" i="2105" s="1"/>
  <c r="B224" i="2105"/>
  <c r="C224" i="2105" s="1"/>
  <c r="B225" i="2105"/>
  <c r="C225" i="2105" s="1"/>
  <c r="B226" i="2105"/>
  <c r="C226" i="2105" s="1"/>
  <c r="B227" i="2105"/>
  <c r="C227" i="2105" s="1"/>
  <c r="B228" i="2105"/>
  <c r="C228" i="2105" s="1"/>
  <c r="B229" i="2105"/>
  <c r="C229" i="2105" s="1"/>
  <c r="B230" i="2105"/>
  <c r="C230" i="2105" s="1"/>
  <c r="B231" i="2105"/>
  <c r="C231" i="2105" s="1"/>
  <c r="B232" i="2105"/>
  <c r="C232" i="2105" s="1"/>
  <c r="B233" i="2105"/>
  <c r="C233" i="2105" s="1"/>
  <c r="B234" i="2105"/>
  <c r="C234" i="2105" s="1"/>
  <c r="B235" i="2105"/>
  <c r="C235" i="2105" s="1"/>
  <c r="B236" i="2105"/>
  <c r="C236" i="2105" s="1"/>
  <c r="B237" i="2105"/>
  <c r="C237" i="2105" s="1"/>
  <c r="B238" i="2105"/>
  <c r="C238" i="2105" s="1"/>
  <c r="B239" i="2105"/>
  <c r="C239" i="2105" s="1"/>
  <c r="B240" i="2105"/>
  <c r="C240" i="2105" s="1"/>
  <c r="B241" i="2105"/>
  <c r="C241" i="2105" s="1"/>
  <c r="B242" i="2105"/>
  <c r="C242" i="2105" s="1"/>
  <c r="B243" i="2105"/>
  <c r="C243" i="2105" s="1"/>
  <c r="B244" i="2105"/>
  <c r="C244" i="2105" s="1"/>
  <c r="B245" i="2105"/>
  <c r="C245" i="2105" s="1"/>
  <c r="B246" i="2105"/>
  <c r="C246" i="2105" s="1"/>
  <c r="B247" i="2105"/>
  <c r="C247" i="2105" s="1"/>
  <c r="B248" i="2105"/>
  <c r="C248" i="2105" s="1"/>
  <c r="B249" i="2105"/>
  <c r="C249" i="2105" s="1"/>
  <c r="B250" i="2105"/>
  <c r="C250" i="2105" s="1"/>
  <c r="B251" i="2105"/>
  <c r="C251" i="2105" s="1"/>
  <c r="B252" i="2105"/>
  <c r="C252" i="2105" s="1"/>
  <c r="B253" i="2105"/>
  <c r="C253" i="2105" s="1"/>
  <c r="B254" i="2105"/>
  <c r="C254" i="2105" s="1"/>
  <c r="B255" i="2105"/>
  <c r="C255" i="2105" s="1"/>
  <c r="B256" i="2105"/>
  <c r="C256" i="2105" s="1"/>
  <c r="B257" i="2105"/>
  <c r="C257" i="2105" s="1"/>
  <c r="B258" i="2105"/>
  <c r="C258" i="2105" s="1"/>
  <c r="B259" i="2105"/>
  <c r="C259" i="2105" s="1"/>
  <c r="B260" i="2105"/>
  <c r="C260" i="2105" s="1"/>
  <c r="B261" i="2105"/>
  <c r="C261" i="2105" s="1"/>
  <c r="B262" i="2105"/>
  <c r="C262" i="2105" s="1"/>
  <c r="B263" i="2105"/>
  <c r="C263" i="2105" s="1"/>
  <c r="B264" i="2105"/>
  <c r="C264" i="2105" s="1"/>
  <c r="B265" i="2105"/>
  <c r="C265" i="2105" s="1"/>
  <c r="B266" i="2105"/>
  <c r="C266" i="2105" s="1"/>
  <c r="B267" i="2105"/>
  <c r="C267" i="2105" s="1"/>
  <c r="B268" i="2105"/>
  <c r="C268" i="2105" s="1"/>
  <c r="B269" i="2105"/>
  <c r="C269" i="2105" s="1"/>
  <c r="B270" i="2105"/>
  <c r="C270" i="2105" s="1"/>
  <c r="B271" i="2105"/>
  <c r="C271" i="2105" s="1"/>
  <c r="B272" i="2105"/>
  <c r="C272" i="2105" s="1"/>
  <c r="B273" i="2105"/>
  <c r="C273" i="2105" s="1"/>
  <c r="B274" i="2105"/>
  <c r="C274" i="2105" s="1"/>
  <c r="B275" i="2105"/>
  <c r="C275" i="2105" s="1"/>
  <c r="B276" i="2105"/>
  <c r="C276" i="2105" s="1"/>
  <c r="B277" i="2105"/>
  <c r="C277" i="2105" s="1"/>
  <c r="B278" i="2105"/>
  <c r="C278" i="2105" s="1"/>
  <c r="B279" i="2105"/>
  <c r="C279" i="2105" s="1"/>
  <c r="B280" i="2105"/>
  <c r="C280" i="2105" s="1"/>
  <c r="B281" i="2105"/>
  <c r="C281" i="2105" s="1"/>
  <c r="B282" i="2105"/>
  <c r="C282" i="2105" s="1"/>
  <c r="B283" i="2105"/>
  <c r="C283" i="2105" s="1"/>
  <c r="B284" i="2105"/>
  <c r="C284" i="2105" s="1"/>
  <c r="B285" i="2105"/>
  <c r="C285" i="2105" s="1"/>
  <c r="B286" i="2105"/>
  <c r="C286" i="2105" s="1"/>
  <c r="B287" i="2105"/>
  <c r="C287" i="2105" s="1"/>
  <c r="B288" i="2105"/>
  <c r="C288" i="2105" s="1"/>
  <c r="B289" i="2105"/>
  <c r="C289" i="2105" s="1"/>
  <c r="B290" i="2105"/>
  <c r="C290" i="2105" s="1"/>
  <c r="B291" i="2105"/>
  <c r="C291" i="2105" s="1"/>
  <c r="B292" i="2105"/>
  <c r="C292" i="2105" s="1"/>
  <c r="B293" i="2105"/>
  <c r="C293" i="2105" s="1"/>
  <c r="B294" i="2105"/>
  <c r="C294" i="2105" s="1"/>
  <c r="B295" i="2105"/>
  <c r="C295" i="2105" s="1"/>
  <c r="B296" i="2105"/>
  <c r="C296" i="2105" s="1"/>
  <c r="B297" i="2105"/>
  <c r="C297" i="2105" s="1"/>
  <c r="B298" i="2105"/>
  <c r="C298" i="2105" s="1"/>
  <c r="B299" i="2105"/>
  <c r="C299" i="2105" s="1"/>
  <c r="B300" i="2105"/>
  <c r="C300" i="2105" s="1"/>
  <c r="B301" i="2105"/>
  <c r="C301" i="2105" s="1"/>
  <c r="B302" i="2105"/>
  <c r="C302" i="2105" s="1"/>
  <c r="B303" i="2105"/>
  <c r="C303" i="2105" s="1"/>
  <c r="B304" i="2105"/>
  <c r="C304" i="2105" s="1"/>
  <c r="B305" i="2105"/>
  <c r="C305" i="2105" s="1"/>
  <c r="B306" i="2105"/>
  <c r="C306" i="2105" s="1"/>
  <c r="B307" i="2105"/>
  <c r="C307" i="2105" s="1"/>
  <c r="B308" i="2105"/>
  <c r="C308" i="2105" s="1"/>
  <c r="B309" i="2105"/>
  <c r="C309" i="2105" s="1"/>
  <c r="B310" i="2105"/>
  <c r="C310" i="2105" s="1"/>
  <c r="B311" i="2105"/>
  <c r="C311" i="2105" s="1"/>
  <c r="B312" i="2105"/>
  <c r="C312" i="2105" s="1"/>
  <c r="B313" i="2105"/>
  <c r="C313" i="2105" s="1"/>
  <c r="B314" i="2105"/>
  <c r="C314" i="2105" s="1"/>
  <c r="B315" i="2105"/>
  <c r="C315" i="2105" s="1"/>
  <c r="B316" i="2105"/>
  <c r="C316" i="2105" s="1"/>
  <c r="B317" i="2105"/>
  <c r="C317" i="2105" s="1"/>
  <c r="B318" i="2105"/>
  <c r="C318" i="2105" s="1"/>
  <c r="B319" i="2105"/>
  <c r="C319" i="2105" s="1"/>
  <c r="B320" i="2105"/>
  <c r="C320" i="2105" s="1"/>
  <c r="B321" i="2105"/>
  <c r="C321" i="2105" s="1"/>
  <c r="B322" i="2105"/>
  <c r="C322" i="2105" s="1"/>
  <c r="B323" i="2105"/>
  <c r="C323" i="2105" s="1"/>
  <c r="B324" i="2105"/>
  <c r="C324" i="2105" s="1"/>
  <c r="B325" i="2105"/>
  <c r="C325" i="2105" s="1"/>
  <c r="B326" i="2105"/>
  <c r="C326" i="2105" s="1"/>
  <c r="B327" i="2105"/>
  <c r="C327" i="2105" s="1"/>
  <c r="B328" i="2105"/>
  <c r="C328" i="2105" s="1"/>
  <c r="B329" i="2105"/>
  <c r="C329" i="2105" s="1"/>
  <c r="B330" i="2105"/>
  <c r="C330" i="2105" s="1"/>
  <c r="B331" i="2105"/>
  <c r="C331" i="2105" s="1"/>
  <c r="B332" i="2105"/>
  <c r="C332" i="2105" s="1"/>
  <c r="B333" i="2105"/>
  <c r="C333" i="2105" s="1"/>
  <c r="B334" i="2105"/>
  <c r="C334" i="2105" s="1"/>
  <c r="B335" i="2105"/>
  <c r="C335" i="2105" s="1"/>
  <c r="B336" i="2105"/>
  <c r="C336" i="2105" s="1"/>
  <c r="B337" i="2105"/>
  <c r="C337" i="2105" s="1"/>
  <c r="B338" i="2105"/>
  <c r="C338" i="2105" s="1"/>
  <c r="B339" i="2105"/>
  <c r="C339" i="2105" s="1"/>
  <c r="B340" i="2105"/>
  <c r="C340" i="2105" s="1"/>
  <c r="B341" i="2105"/>
  <c r="C341" i="2105" s="1"/>
  <c r="B342" i="2105"/>
  <c r="C342" i="2105" s="1"/>
  <c r="B343" i="2105"/>
  <c r="C343" i="2105" s="1"/>
  <c r="B344" i="2105"/>
  <c r="C344" i="2105" s="1"/>
  <c r="B345" i="2105"/>
  <c r="C345" i="2105" s="1"/>
  <c r="B346" i="2105"/>
  <c r="C346" i="2105" s="1"/>
  <c r="B347" i="2105"/>
  <c r="C347" i="2105" s="1"/>
  <c r="B348" i="2105"/>
  <c r="C348" i="2105" s="1"/>
  <c r="B349" i="2105"/>
  <c r="C349" i="2105" s="1"/>
  <c r="B350" i="2105"/>
  <c r="C350" i="2105" s="1"/>
  <c r="B351" i="2105"/>
  <c r="C351" i="2105" s="1"/>
  <c r="B352" i="2105"/>
  <c r="C352" i="2105" s="1"/>
  <c r="B353" i="2105"/>
  <c r="C353" i="2105" s="1"/>
  <c r="B354" i="2105"/>
  <c r="C354" i="2105" s="1"/>
  <c r="B355" i="2105"/>
  <c r="C355" i="2105" s="1"/>
  <c r="B356" i="2105"/>
  <c r="C356" i="2105" s="1"/>
  <c r="B357" i="2105"/>
  <c r="C357" i="2105" s="1"/>
  <c r="B358" i="2105"/>
  <c r="C358" i="2105" s="1"/>
  <c r="B359" i="2105"/>
  <c r="C359" i="2105" s="1"/>
  <c r="B360" i="2105"/>
  <c r="C360" i="2105" s="1"/>
  <c r="B361" i="2105"/>
  <c r="C361" i="2105" s="1"/>
  <c r="B362" i="2105"/>
  <c r="C362" i="2105" s="1"/>
  <c r="B363" i="2105"/>
  <c r="C363" i="2105" s="1"/>
  <c r="B364" i="2105"/>
  <c r="C364" i="2105" s="1"/>
  <c r="B365" i="2105"/>
  <c r="C365" i="2105" s="1"/>
  <c r="B366" i="2105"/>
  <c r="C366" i="2105" s="1"/>
  <c r="B367" i="2105"/>
  <c r="C367" i="2105" s="1"/>
  <c r="B368" i="2105"/>
  <c r="C368" i="2105" s="1"/>
  <c r="B369" i="2105"/>
  <c r="C369" i="2105" s="1"/>
  <c r="B370" i="2105"/>
  <c r="C370" i="2105" s="1"/>
  <c r="B371" i="2105"/>
  <c r="C371" i="2105" s="1"/>
  <c r="B372" i="2105"/>
  <c r="C372" i="2105" s="1"/>
  <c r="B373" i="2105"/>
  <c r="C373" i="2105" s="1"/>
  <c r="B374" i="2105"/>
  <c r="C374" i="2105" s="1"/>
  <c r="B375" i="2105"/>
  <c r="C375" i="2105" s="1"/>
  <c r="B376" i="2105"/>
  <c r="C376" i="2105" s="1"/>
  <c r="B377" i="2105"/>
  <c r="C377" i="2105" s="1"/>
  <c r="B378" i="2105"/>
  <c r="C378" i="2105" s="1"/>
  <c r="B379" i="2105"/>
  <c r="C379" i="2105" s="1"/>
  <c r="B380" i="2105"/>
  <c r="C380" i="2105" s="1"/>
  <c r="B381" i="2105"/>
  <c r="C381" i="2105" s="1"/>
  <c r="B382" i="2105"/>
  <c r="C382" i="2105" s="1"/>
  <c r="B383" i="2105"/>
  <c r="C383" i="2105" s="1"/>
  <c r="B384" i="2105"/>
  <c r="C384" i="2105" s="1"/>
  <c r="B385" i="2105"/>
  <c r="C385" i="2105" s="1"/>
  <c r="B386" i="2105"/>
  <c r="C386" i="2105" s="1"/>
  <c r="B387" i="2105"/>
  <c r="C387" i="2105" s="1"/>
  <c r="B388" i="2105"/>
  <c r="C388" i="2105" s="1"/>
  <c r="B389" i="2105"/>
  <c r="C389" i="2105" s="1"/>
  <c r="B390" i="2105"/>
  <c r="C390" i="2105" s="1"/>
  <c r="B391" i="2105"/>
  <c r="C391" i="2105" s="1"/>
  <c r="B392" i="2105"/>
  <c r="C392" i="2105" s="1"/>
  <c r="B393" i="2105"/>
  <c r="C393" i="2105" s="1"/>
  <c r="B394" i="2105"/>
  <c r="C394" i="2105" s="1"/>
  <c r="B395" i="2105"/>
  <c r="C395" i="2105" s="1"/>
  <c r="B396" i="2105"/>
  <c r="C396" i="2105" s="1"/>
  <c r="B397" i="2105"/>
  <c r="C397" i="2105" s="1"/>
  <c r="B398" i="2105"/>
  <c r="C398" i="2105" s="1"/>
  <c r="B399" i="2105"/>
  <c r="C399" i="2105" s="1"/>
  <c r="B400" i="2105"/>
  <c r="C400" i="2105" s="1"/>
  <c r="B401" i="2105"/>
  <c r="C401" i="2105" s="1"/>
  <c r="B402" i="2105"/>
  <c r="C402" i="2105" s="1"/>
  <c r="B403" i="2105"/>
  <c r="C403" i="2105" s="1"/>
  <c r="B404" i="2105"/>
  <c r="C404" i="2105" s="1"/>
  <c r="B405" i="2105"/>
  <c r="C405" i="2105" s="1"/>
  <c r="B406" i="2105"/>
  <c r="C406" i="2105" s="1"/>
  <c r="B407" i="2105"/>
  <c r="C407" i="2105" s="1"/>
  <c r="B408" i="2105"/>
  <c r="C408" i="2105" s="1"/>
  <c r="B409" i="2105"/>
  <c r="C409" i="2105" s="1"/>
  <c r="B410" i="2105"/>
  <c r="C410" i="2105" s="1"/>
  <c r="B411" i="2105"/>
  <c r="C411" i="2105" s="1"/>
  <c r="B412" i="2105"/>
  <c r="C412" i="2105" s="1"/>
  <c r="B413" i="2105"/>
  <c r="C413" i="2105" s="1"/>
  <c r="B414" i="2105"/>
  <c r="C414" i="2105" s="1"/>
  <c r="B415" i="2105"/>
  <c r="C415" i="2105" s="1"/>
  <c r="B416" i="2105"/>
  <c r="C416" i="2105" s="1"/>
  <c r="B417" i="2105"/>
  <c r="C417" i="2105" s="1"/>
  <c r="B418" i="2105"/>
  <c r="C418" i="2105" s="1"/>
  <c r="B419" i="2105"/>
  <c r="C419" i="2105" s="1"/>
  <c r="B420" i="2105"/>
  <c r="C420" i="2105" s="1"/>
  <c r="B421" i="2105"/>
  <c r="C421" i="2105" s="1"/>
  <c r="B422" i="2105"/>
  <c r="C422" i="2105" s="1"/>
  <c r="B423" i="2105"/>
  <c r="C423" i="2105" s="1"/>
  <c r="B424" i="2105"/>
  <c r="C424" i="2105" s="1"/>
  <c r="B425" i="2105"/>
  <c r="C425" i="2105" s="1"/>
  <c r="B426" i="2105"/>
  <c r="C426" i="2105" s="1"/>
  <c r="B427" i="2105"/>
  <c r="C427" i="2105" s="1"/>
  <c r="B428" i="2105"/>
  <c r="C428" i="2105" s="1"/>
  <c r="B429" i="2105"/>
  <c r="C429" i="2105" s="1"/>
  <c r="B430" i="2105"/>
  <c r="C430" i="2105" s="1"/>
  <c r="B431" i="2105"/>
  <c r="C431" i="2105" s="1"/>
  <c r="B432" i="2105"/>
  <c r="C432" i="2105" s="1"/>
  <c r="B433" i="2105"/>
  <c r="C433" i="2105" s="1"/>
  <c r="B434" i="2105"/>
  <c r="C434" i="2105" s="1"/>
  <c r="B435" i="2105"/>
  <c r="C435" i="2105" s="1"/>
  <c r="B436" i="2105"/>
  <c r="C436" i="2105" s="1"/>
  <c r="B437" i="2105"/>
  <c r="C437" i="2105" s="1"/>
  <c r="B438" i="2105"/>
  <c r="C438" i="2105" s="1"/>
  <c r="B439" i="2105"/>
  <c r="C439" i="2105" s="1"/>
  <c r="B440" i="2105"/>
  <c r="C440" i="2105" s="1"/>
  <c r="B441" i="2105"/>
  <c r="C441" i="2105" s="1"/>
  <c r="B442" i="2105"/>
  <c r="C442" i="2105" s="1"/>
  <c r="B443" i="2105"/>
  <c r="C443" i="2105" s="1"/>
  <c r="B444" i="2105"/>
  <c r="C444" i="2105" s="1"/>
  <c r="B445" i="2105"/>
  <c r="C445" i="2105" s="1"/>
  <c r="B446" i="2105"/>
  <c r="C446" i="2105" s="1"/>
  <c r="B447" i="2105"/>
  <c r="C447" i="2105" s="1"/>
  <c r="B448" i="2105"/>
  <c r="C448" i="2105" s="1"/>
  <c r="B449" i="2105"/>
  <c r="C449" i="2105" s="1"/>
  <c r="B450" i="2105"/>
  <c r="C450" i="2105" s="1"/>
  <c r="B451" i="2105"/>
  <c r="C451" i="2105" s="1"/>
  <c r="B452" i="2105"/>
  <c r="C452" i="2105" s="1"/>
  <c r="B453" i="2105"/>
  <c r="C453" i="2105" s="1"/>
  <c r="B454" i="2105"/>
  <c r="C454" i="2105" s="1"/>
  <c r="B455" i="2105"/>
  <c r="C455" i="2105" s="1"/>
  <c r="B456" i="2105"/>
  <c r="C456" i="2105" s="1"/>
  <c r="B457" i="2105"/>
  <c r="C457" i="2105" s="1"/>
  <c r="B458" i="2105"/>
  <c r="C458" i="2105" s="1"/>
  <c r="B459" i="2105"/>
  <c r="C459" i="2105" s="1"/>
  <c r="B460" i="2105"/>
  <c r="C460" i="2105" s="1"/>
  <c r="B461" i="2105"/>
  <c r="C461" i="2105" s="1"/>
  <c r="B462" i="2105"/>
  <c r="C462" i="2105" s="1"/>
  <c r="B463" i="2105"/>
  <c r="C463" i="2105" s="1"/>
  <c r="B464" i="2105"/>
  <c r="C464" i="2105" s="1"/>
  <c r="B465" i="2105"/>
  <c r="C465" i="2105" s="1"/>
  <c r="B466" i="2105"/>
  <c r="C466" i="2105" s="1"/>
  <c r="B467" i="2105"/>
  <c r="C467" i="2105" s="1"/>
  <c r="B468" i="2105"/>
  <c r="C468" i="2105" s="1"/>
  <c r="B469" i="2105"/>
  <c r="C469" i="2105" s="1"/>
  <c r="B470" i="2105"/>
  <c r="C470" i="2105" s="1"/>
  <c r="B471" i="2105"/>
  <c r="C471" i="2105" s="1"/>
  <c r="B472" i="2105"/>
  <c r="C472" i="2105" s="1"/>
  <c r="B473" i="2105"/>
  <c r="C473" i="2105" s="1"/>
  <c r="B474" i="2105"/>
  <c r="C474" i="2105" s="1"/>
  <c r="B475" i="2105"/>
  <c r="C475" i="2105" s="1"/>
  <c r="B476" i="2105"/>
  <c r="C476" i="2105" s="1"/>
  <c r="B477" i="2105"/>
  <c r="C477" i="2105" s="1"/>
  <c r="B478" i="2105"/>
  <c r="C478" i="2105" s="1"/>
  <c r="B479" i="2105"/>
  <c r="C479" i="2105" s="1"/>
  <c r="B480" i="2105"/>
  <c r="C480" i="2105" s="1"/>
  <c r="B481" i="2105"/>
  <c r="C481" i="2105" s="1"/>
  <c r="B482" i="2105"/>
  <c r="C482" i="2105" s="1"/>
  <c r="B483" i="2105"/>
  <c r="C483" i="2105" s="1"/>
  <c r="B484" i="2105"/>
  <c r="C484" i="2105" s="1"/>
  <c r="B485" i="2105"/>
  <c r="C485" i="2105" s="1"/>
  <c r="B486" i="2105"/>
  <c r="C486" i="2105" s="1"/>
  <c r="B487" i="2105"/>
  <c r="C487" i="2105" s="1"/>
  <c r="B488" i="2105"/>
  <c r="C488" i="2105" s="1"/>
  <c r="B489" i="2105"/>
  <c r="C489" i="2105" s="1"/>
  <c r="B490" i="2105"/>
  <c r="C490" i="2105" s="1"/>
  <c r="B491" i="2105"/>
  <c r="C491" i="2105" s="1"/>
  <c r="B492" i="2105"/>
  <c r="C492" i="2105" s="1"/>
  <c r="B493" i="2105"/>
  <c r="C493" i="2105" s="1"/>
  <c r="B494" i="2105"/>
  <c r="C494" i="2105" s="1"/>
  <c r="B495" i="2105"/>
  <c r="C495" i="2105" s="1"/>
  <c r="B496" i="2105"/>
  <c r="C496" i="2105" s="1"/>
  <c r="B497" i="2105"/>
  <c r="C497" i="2105" s="1"/>
  <c r="B498" i="2105"/>
  <c r="C498" i="2105" s="1"/>
  <c r="B499" i="2105"/>
  <c r="C499" i="2105" s="1"/>
  <c r="B500" i="2105"/>
  <c r="C500" i="2105" s="1"/>
  <c r="B501" i="2105"/>
  <c r="C501" i="2105" s="1"/>
  <c r="B502" i="2105"/>
  <c r="C502" i="2105" s="1"/>
  <c r="B503" i="2105"/>
  <c r="C503" i="2105" s="1"/>
  <c r="B504" i="2105"/>
  <c r="C504" i="2105" s="1"/>
  <c r="B505" i="2105"/>
  <c r="C505" i="2105" s="1"/>
  <c r="B506" i="2105"/>
  <c r="C506" i="2105" s="1"/>
  <c r="B507" i="2105"/>
  <c r="C507" i="2105" s="1"/>
  <c r="B508" i="2105"/>
  <c r="C508" i="2105" s="1"/>
  <c r="B509" i="2105"/>
  <c r="C509" i="2105" s="1"/>
  <c r="B510" i="2105"/>
  <c r="C510" i="2105" s="1"/>
  <c r="B511" i="2105"/>
  <c r="C511" i="2105" s="1"/>
  <c r="B512" i="2105"/>
  <c r="C512" i="2105" s="1"/>
  <c r="B513" i="2105"/>
  <c r="C513" i="2105" s="1"/>
  <c r="B37" i="2106"/>
  <c r="C37" i="2106" s="1"/>
  <c r="B38" i="2106"/>
  <c r="C38" i="2106" s="1"/>
  <c r="B39" i="2106"/>
  <c r="C39" i="2106" s="1"/>
  <c r="B40" i="2106"/>
  <c r="C40" i="2106" s="1"/>
  <c r="B41" i="2106"/>
  <c r="C41" i="2106" s="1"/>
  <c r="B42" i="2106"/>
  <c r="C42" i="2106" s="1"/>
  <c r="B43" i="2106"/>
  <c r="C43" i="2106" s="1"/>
  <c r="B44" i="2106"/>
  <c r="C44" i="2106" s="1"/>
  <c r="B45" i="2106"/>
  <c r="C45" i="2106" s="1"/>
  <c r="B46" i="2106"/>
  <c r="C46" i="2106" s="1"/>
  <c r="B47" i="2106"/>
  <c r="C47" i="2106" s="1"/>
  <c r="B48" i="2106"/>
  <c r="B49" i="2106"/>
  <c r="C49" i="2106" s="1"/>
  <c r="B50" i="2106"/>
  <c r="B51" i="2106"/>
  <c r="C51" i="2106" s="1"/>
  <c r="B52" i="2106"/>
  <c r="C52" i="2106" s="1"/>
  <c r="B53" i="2106"/>
  <c r="C53" i="2106" s="1"/>
  <c r="B54" i="2106"/>
  <c r="C54" i="2106" s="1"/>
  <c r="B55" i="2106"/>
  <c r="C55" i="2106" s="1"/>
  <c r="B56" i="2106"/>
  <c r="C56" i="2106" s="1"/>
  <c r="B57" i="2106"/>
  <c r="C57" i="2106" s="1"/>
  <c r="B58" i="2106"/>
  <c r="B59" i="2106"/>
  <c r="C59" i="2106" s="1"/>
  <c r="B60" i="2106"/>
  <c r="C60" i="2106" s="1"/>
  <c r="B61" i="2106"/>
  <c r="C61" i="2106" s="1"/>
  <c r="B62" i="2106"/>
  <c r="C62" i="2106" s="1"/>
  <c r="B63" i="2106"/>
  <c r="B64" i="2106"/>
  <c r="B65" i="2106"/>
  <c r="B66" i="2106"/>
  <c r="C66" i="2106" s="1"/>
  <c r="B67" i="2106"/>
  <c r="C67" i="2106" s="1"/>
  <c r="B68" i="2106"/>
  <c r="C68" i="2106" s="1"/>
  <c r="B69" i="2106"/>
  <c r="C69" i="2106" s="1"/>
  <c r="B70" i="2106"/>
  <c r="B71" i="2106"/>
  <c r="C71" i="2106" s="1"/>
  <c r="B72" i="2106"/>
  <c r="C72" i="2106" s="1"/>
  <c r="B73" i="2106"/>
  <c r="C73" i="2106" s="1"/>
  <c r="B74" i="2106"/>
  <c r="B75" i="2106"/>
  <c r="B76" i="2106"/>
  <c r="C76" i="2106" s="1"/>
  <c r="B77" i="2106"/>
  <c r="B78" i="2106"/>
  <c r="C78" i="2106" s="1"/>
  <c r="B79" i="2106"/>
  <c r="C79" i="2106" s="1"/>
  <c r="B80" i="2106"/>
  <c r="B81" i="2106"/>
  <c r="C81" i="2106" s="1"/>
  <c r="B82" i="2106"/>
  <c r="B83" i="2106"/>
  <c r="C83" i="2106" s="1"/>
  <c r="B84" i="2106"/>
  <c r="B85" i="2106"/>
  <c r="C85" i="2106" s="1"/>
  <c r="B86" i="2106"/>
  <c r="C86" i="2106" s="1"/>
  <c r="B87" i="2106"/>
  <c r="B88" i="2106"/>
  <c r="C88" i="2106" s="1"/>
  <c r="B89" i="2106"/>
  <c r="B90" i="2106"/>
  <c r="C90" i="2106" s="1"/>
  <c r="B91" i="2106"/>
  <c r="B92" i="2106"/>
  <c r="C92" i="2106" s="1"/>
  <c r="B93" i="2106"/>
  <c r="B94" i="2106"/>
  <c r="C94" i="2106" s="1"/>
  <c r="B95" i="2106"/>
  <c r="C95" i="2106" s="1"/>
  <c r="B96" i="2106"/>
  <c r="C96" i="2106" s="1"/>
  <c r="B97" i="2106"/>
  <c r="C97" i="2106" s="1"/>
  <c r="B98" i="2106"/>
  <c r="C98" i="2106" s="1"/>
  <c r="B99" i="2106"/>
  <c r="C99" i="2106" s="1"/>
  <c r="B100" i="2106"/>
  <c r="C100" i="2106" s="1"/>
  <c r="B101" i="2106"/>
  <c r="C101" i="2106" s="1"/>
  <c r="B102" i="2106"/>
  <c r="C102" i="2106" s="1"/>
  <c r="B103" i="2106"/>
  <c r="B104" i="2106"/>
  <c r="B105" i="2106"/>
  <c r="C105" i="2106" s="1"/>
  <c r="B106" i="2106"/>
  <c r="C106" i="2106" s="1"/>
  <c r="B107" i="2106"/>
  <c r="B108" i="2106"/>
  <c r="C108" i="2106" s="1"/>
  <c r="B109" i="2106"/>
  <c r="B110" i="2106"/>
  <c r="C110" i="2106" s="1"/>
  <c r="B111" i="2106"/>
  <c r="C111" i="2106" s="1"/>
  <c r="B112" i="2106"/>
  <c r="B113" i="2106"/>
  <c r="C113" i="2106" s="1"/>
  <c r="B114" i="2106"/>
  <c r="C114" i="2106" s="1"/>
  <c r="B115" i="2106"/>
  <c r="C115" i="2106" s="1"/>
  <c r="B116" i="2106"/>
  <c r="C116" i="2106" s="1"/>
  <c r="B117" i="2106"/>
  <c r="C117" i="2106" s="1"/>
  <c r="B118" i="2106"/>
  <c r="B119" i="2106"/>
  <c r="C119" i="2106" s="1"/>
  <c r="B120" i="2106"/>
  <c r="B121" i="2106"/>
  <c r="B122" i="2106"/>
  <c r="C122" i="2106" s="1"/>
  <c r="B123" i="2106"/>
  <c r="C123" i="2106" s="1"/>
  <c r="B124" i="2106"/>
  <c r="C124" i="2106" s="1"/>
  <c r="B125" i="2106"/>
  <c r="C125" i="2106" s="1"/>
  <c r="B126" i="2106"/>
  <c r="C126" i="2106" s="1"/>
  <c r="B127" i="2106"/>
  <c r="C127" i="2106" s="1"/>
  <c r="B128" i="2106"/>
  <c r="C128" i="2106" s="1"/>
  <c r="B129" i="2106"/>
  <c r="B130" i="2106"/>
  <c r="C130" i="2106" s="1"/>
  <c r="B131" i="2106"/>
  <c r="C131" i="2106" s="1"/>
  <c r="B132" i="2106"/>
  <c r="C132" i="2106" s="1"/>
  <c r="B133" i="2106"/>
  <c r="C133" i="2106" s="1"/>
  <c r="B134" i="2106"/>
  <c r="C134" i="2106" s="1"/>
  <c r="B135" i="2106"/>
  <c r="C135" i="2106" s="1"/>
  <c r="B136" i="2106"/>
  <c r="C136" i="2106" s="1"/>
  <c r="B137" i="2106"/>
  <c r="C137" i="2106" s="1"/>
  <c r="B138" i="2106"/>
  <c r="C138" i="2106" s="1"/>
  <c r="B139" i="2106"/>
  <c r="C139" i="2106" s="1"/>
  <c r="B140" i="2106"/>
  <c r="C140" i="2106" s="1"/>
  <c r="B141" i="2106"/>
  <c r="C141" i="2106" s="1"/>
  <c r="B142" i="2106"/>
  <c r="B143" i="2106"/>
  <c r="B144" i="2106"/>
  <c r="B145" i="2106"/>
  <c r="C145" i="2106" s="1"/>
  <c r="B146" i="2106"/>
  <c r="C146" i="2106" s="1"/>
  <c r="B147" i="2106"/>
  <c r="C147" i="2106" s="1"/>
  <c r="B148" i="2106"/>
  <c r="B149" i="2106"/>
  <c r="C149" i="2106" s="1"/>
  <c r="B150" i="2106"/>
  <c r="B151" i="2106"/>
  <c r="B152" i="2106"/>
  <c r="C152" i="2106" s="1"/>
  <c r="B153" i="2106"/>
  <c r="B154" i="2106"/>
  <c r="C154" i="2106" s="1"/>
  <c r="B155" i="2106"/>
  <c r="B156" i="2106"/>
  <c r="B157" i="2106"/>
  <c r="B158" i="2106"/>
  <c r="C158" i="2106" s="1"/>
  <c r="B159" i="2106"/>
  <c r="C159" i="2106" s="1"/>
  <c r="B160" i="2106"/>
  <c r="C160" i="2106" s="1"/>
  <c r="B161" i="2106"/>
  <c r="B162" i="2106"/>
  <c r="B163" i="2106"/>
  <c r="B164" i="2106"/>
  <c r="B165" i="2106"/>
  <c r="B166" i="2106"/>
  <c r="C166" i="2106" s="1"/>
  <c r="B167" i="2106"/>
  <c r="C167" i="2106" s="1"/>
  <c r="B168" i="2106"/>
  <c r="B169" i="2106"/>
  <c r="C169" i="2106" s="1"/>
  <c r="B170" i="2106"/>
  <c r="B171" i="2106"/>
  <c r="B172" i="2106"/>
  <c r="C172" i="2106" s="1"/>
  <c r="B173" i="2106"/>
  <c r="B174" i="2106"/>
  <c r="C174" i="2106" s="1"/>
  <c r="B175" i="2106"/>
  <c r="C175" i="2106" s="1"/>
  <c r="B176" i="2106"/>
  <c r="C176" i="2106" s="1"/>
  <c r="B177" i="2106"/>
  <c r="B178" i="2106"/>
  <c r="B179" i="2106"/>
  <c r="C179" i="2106" s="1"/>
  <c r="B180" i="2106"/>
  <c r="B181" i="2106"/>
  <c r="C181" i="2106" s="1"/>
  <c r="B182" i="2106"/>
  <c r="C182" i="2106" s="1"/>
  <c r="B183" i="2106"/>
  <c r="B184" i="2106"/>
  <c r="C184" i="2106" s="1"/>
  <c r="B185" i="2106"/>
  <c r="C185" i="2106" s="1"/>
  <c r="B186" i="2106"/>
  <c r="C186" i="2106" s="1"/>
  <c r="B187" i="2106"/>
  <c r="C187" i="2106" s="1"/>
  <c r="B188" i="2106"/>
  <c r="C188" i="2106" s="1"/>
  <c r="B189" i="2106"/>
  <c r="C189" i="2106" s="1"/>
  <c r="B190" i="2106"/>
  <c r="C190" i="2106" s="1"/>
  <c r="B191" i="2106"/>
  <c r="B192" i="2106"/>
  <c r="C192" i="2106" s="1"/>
  <c r="B193" i="2106"/>
  <c r="C193" i="2106" s="1"/>
  <c r="B194" i="2106"/>
  <c r="C194" i="2106" s="1"/>
  <c r="B195" i="2106"/>
  <c r="C195" i="2106" s="1"/>
  <c r="B196" i="2106"/>
  <c r="C196" i="2106" s="1"/>
  <c r="B197" i="2106"/>
  <c r="C197" i="2106" s="1"/>
  <c r="B198" i="2106"/>
  <c r="C198" i="2106" s="1"/>
  <c r="B199" i="2106"/>
  <c r="B200" i="2106"/>
  <c r="C200" i="2106" s="1"/>
  <c r="B201" i="2106"/>
  <c r="B202" i="2106"/>
  <c r="C202" i="2106" s="1"/>
  <c r="B203" i="2106"/>
  <c r="B204" i="2106"/>
  <c r="C204" i="2106" s="1"/>
  <c r="B205" i="2106"/>
  <c r="B206" i="2106"/>
  <c r="C206" i="2106" s="1"/>
  <c r="B207" i="2106"/>
  <c r="B208" i="2106"/>
  <c r="C208" i="2106" s="1"/>
  <c r="B209" i="2106"/>
  <c r="B210" i="2106"/>
  <c r="C210" i="2106" s="1"/>
  <c r="B211" i="2106"/>
  <c r="B212" i="2106"/>
  <c r="C212" i="2106" s="1"/>
  <c r="B213" i="2106"/>
  <c r="B214" i="2106"/>
  <c r="C214" i="2106" s="1"/>
  <c r="B215" i="2106"/>
  <c r="C215" i="2106" s="1"/>
  <c r="B216" i="2106"/>
  <c r="C216" i="2106" s="1"/>
  <c r="B217" i="2106"/>
  <c r="C217" i="2106" s="1"/>
  <c r="B218" i="2106"/>
  <c r="C218" i="2106" s="1"/>
  <c r="B219" i="2106"/>
  <c r="C219" i="2106" s="1"/>
  <c r="B220" i="2106"/>
  <c r="C220" i="2106" s="1"/>
  <c r="B221" i="2106"/>
  <c r="B222" i="2106"/>
  <c r="C222" i="2106" s="1"/>
  <c r="B223" i="2106"/>
  <c r="B224" i="2106"/>
  <c r="C224" i="2106" s="1"/>
  <c r="B225" i="2106"/>
  <c r="B226" i="2106"/>
  <c r="C226" i="2106" s="1"/>
  <c r="B227" i="2106"/>
  <c r="B228" i="2106"/>
  <c r="C228" i="2106" s="1"/>
  <c r="B229" i="2106"/>
  <c r="B230" i="2106"/>
  <c r="C230" i="2106" s="1"/>
  <c r="B231" i="2106"/>
  <c r="B232" i="2106"/>
  <c r="C232" i="2106" s="1"/>
  <c r="B233" i="2106"/>
  <c r="B234" i="2106"/>
  <c r="C234" i="2106" s="1"/>
  <c r="B235" i="2106"/>
  <c r="C235" i="2106" s="1"/>
  <c r="B236" i="2106"/>
  <c r="C236" i="2106" s="1"/>
  <c r="B237" i="2106"/>
  <c r="B238" i="2106"/>
  <c r="C238" i="2106" s="1"/>
  <c r="B239" i="2106"/>
  <c r="C239" i="2106" s="1"/>
  <c r="B240" i="2106"/>
  <c r="C240" i="2106" s="1"/>
  <c r="B241" i="2106"/>
  <c r="C241" i="2106" s="1"/>
  <c r="B242" i="2106"/>
  <c r="C242" i="2106" s="1"/>
  <c r="B243" i="2106"/>
  <c r="B244" i="2106"/>
  <c r="C244" i="2106" s="1"/>
  <c r="B245" i="2106"/>
  <c r="C245" i="2106" s="1"/>
  <c r="B246" i="2106"/>
  <c r="C246" i="2106" s="1"/>
  <c r="B247" i="2106"/>
  <c r="B248" i="2106"/>
  <c r="C248" i="2106" s="1"/>
  <c r="B249" i="2106"/>
  <c r="C249" i="2106" s="1"/>
  <c r="B250" i="2106"/>
  <c r="C250" i="2106" s="1"/>
  <c r="B251" i="2106"/>
  <c r="C251" i="2106" s="1"/>
  <c r="B252" i="2106"/>
  <c r="C252" i="2106" s="1"/>
  <c r="B253" i="2106"/>
  <c r="B254" i="2106"/>
  <c r="C254" i="2106" s="1"/>
  <c r="B255" i="2106"/>
  <c r="B256" i="2106"/>
  <c r="C256" i="2106" s="1"/>
  <c r="B257" i="2106"/>
  <c r="C257" i="2106" s="1"/>
  <c r="B258" i="2106"/>
  <c r="C258" i="2106" s="1"/>
  <c r="B259" i="2106"/>
  <c r="B260" i="2106"/>
  <c r="C260" i="2106" s="1"/>
  <c r="B261" i="2106"/>
  <c r="C261" i="2106" s="1"/>
  <c r="B262" i="2106"/>
  <c r="C262" i="2106" s="1"/>
  <c r="B263" i="2106"/>
  <c r="C263" i="2106" s="1"/>
  <c r="B264" i="2106"/>
  <c r="C264" i="2106" s="1"/>
  <c r="B265" i="2106"/>
  <c r="B266" i="2106"/>
  <c r="C266" i="2106" s="1"/>
  <c r="B267" i="2106"/>
  <c r="C267" i="2106" s="1"/>
  <c r="B268" i="2106"/>
  <c r="C268" i="2106" s="1"/>
  <c r="B269" i="2106"/>
  <c r="C269" i="2106" s="1"/>
  <c r="B270" i="2106"/>
  <c r="C270" i="2106" s="1"/>
  <c r="B271" i="2106"/>
  <c r="B272" i="2106"/>
  <c r="C272" i="2106" s="1"/>
  <c r="B273" i="2106"/>
  <c r="C273" i="2106" s="1"/>
  <c r="B274" i="2106"/>
  <c r="C274" i="2106" s="1"/>
  <c r="B275" i="2106"/>
  <c r="C275" i="2106" s="1"/>
  <c r="B276" i="2106"/>
  <c r="C276" i="2106" s="1"/>
  <c r="B277" i="2106"/>
  <c r="C277" i="2106" s="1"/>
  <c r="B278" i="2106"/>
  <c r="C278" i="2106" s="1"/>
  <c r="B279" i="2106"/>
  <c r="B280" i="2106"/>
  <c r="C280" i="2106" s="1"/>
  <c r="B281" i="2106"/>
  <c r="C281" i="2106" s="1"/>
  <c r="B282" i="2106"/>
  <c r="C282" i="2106" s="1"/>
  <c r="B283" i="2106"/>
  <c r="B284" i="2106"/>
  <c r="C284" i="2106" s="1"/>
  <c r="B285" i="2106"/>
  <c r="B286" i="2106"/>
  <c r="C286" i="2106" s="1"/>
  <c r="B287" i="2106"/>
  <c r="B288" i="2106"/>
  <c r="C288" i="2106" s="1"/>
  <c r="B289" i="2106"/>
  <c r="C289" i="2106" s="1"/>
  <c r="B290" i="2106"/>
  <c r="C290" i="2106" s="1"/>
  <c r="B291" i="2106"/>
  <c r="C291" i="2106" s="1"/>
  <c r="B292" i="2106"/>
  <c r="C292" i="2106" s="1"/>
  <c r="B293" i="2106"/>
  <c r="C293" i="2106" s="1"/>
  <c r="B294" i="2106"/>
  <c r="C294" i="2106" s="1"/>
  <c r="B295" i="2106"/>
  <c r="B296" i="2106"/>
  <c r="C296" i="2106" s="1"/>
  <c r="B297" i="2106"/>
  <c r="C297" i="2106" s="1"/>
  <c r="B298" i="2106"/>
  <c r="C298" i="2106" s="1"/>
  <c r="B299" i="2106"/>
  <c r="C299" i="2106" s="1"/>
  <c r="B300" i="2106"/>
  <c r="C300" i="2106" s="1"/>
  <c r="B301" i="2106"/>
  <c r="C301" i="2106" s="1"/>
  <c r="B302" i="2106"/>
  <c r="C302" i="2106" s="1"/>
  <c r="B303" i="2106"/>
  <c r="B304" i="2106"/>
  <c r="C304" i="2106" s="1"/>
  <c r="B305" i="2106"/>
  <c r="B306" i="2106"/>
  <c r="C306" i="2106" s="1"/>
  <c r="B307" i="2106"/>
  <c r="B308" i="2106"/>
  <c r="C308" i="2106" s="1"/>
  <c r="B309" i="2106"/>
  <c r="C309" i="2106" s="1"/>
  <c r="B310" i="2106"/>
  <c r="C310" i="2106" s="1"/>
  <c r="B311" i="2106"/>
  <c r="B312" i="2106"/>
  <c r="C312" i="2106" s="1"/>
  <c r="B313" i="2106"/>
  <c r="C313" i="2106" s="1"/>
  <c r="B314" i="2106"/>
  <c r="C314" i="2106" s="1"/>
  <c r="B315" i="2106"/>
  <c r="B316" i="2106"/>
  <c r="C316" i="2106" s="1"/>
  <c r="B317" i="2106"/>
  <c r="C317" i="2106" s="1"/>
  <c r="B318" i="2106"/>
  <c r="C318" i="2106" s="1"/>
  <c r="B319" i="2106"/>
  <c r="B320" i="2106"/>
  <c r="C320" i="2106" s="1"/>
  <c r="B321" i="2106"/>
  <c r="B322" i="2106"/>
  <c r="C322" i="2106" s="1"/>
  <c r="B323" i="2106"/>
  <c r="C323" i="2106" s="1"/>
  <c r="B324" i="2106"/>
  <c r="C324" i="2106" s="1"/>
  <c r="B325" i="2106"/>
  <c r="C325" i="2106" s="1"/>
  <c r="B326" i="2106"/>
  <c r="C326" i="2106" s="1"/>
  <c r="B327" i="2106"/>
  <c r="C327" i="2106" s="1"/>
  <c r="B328" i="2106"/>
  <c r="C328" i="2106" s="1"/>
  <c r="B329" i="2106"/>
  <c r="C329" i="2106" s="1"/>
  <c r="B330" i="2106"/>
  <c r="C330" i="2106" s="1"/>
  <c r="B331" i="2106"/>
  <c r="C331" i="2106" s="1"/>
  <c r="B332" i="2106"/>
  <c r="C332" i="2106" s="1"/>
  <c r="B333" i="2106"/>
  <c r="C333" i="2106" s="1"/>
  <c r="B334" i="2106"/>
  <c r="C334" i="2106" s="1"/>
  <c r="B335" i="2106"/>
  <c r="C335" i="2106" s="1"/>
  <c r="B336" i="2106"/>
  <c r="C336" i="2106" s="1"/>
  <c r="C12" i="2108"/>
  <c r="D12" i="2108" s="1"/>
  <c r="B13" i="2108"/>
  <c r="E13" i="2108"/>
  <c r="B14" i="2108"/>
  <c r="E14" i="2108"/>
  <c r="B15" i="2108"/>
  <c r="E15" i="2108"/>
  <c r="B16" i="2108"/>
  <c r="E16" i="2108"/>
  <c r="B17" i="2108"/>
  <c r="E17" i="2108"/>
  <c r="B18" i="2108"/>
  <c r="E18" i="2108"/>
  <c r="B19" i="2108"/>
  <c r="E19" i="2108"/>
  <c r="B20" i="2108"/>
  <c r="E20" i="2108"/>
  <c r="B21" i="2108"/>
  <c r="E21" i="2108"/>
  <c r="B22" i="2108"/>
  <c r="E22" i="2108"/>
  <c r="B23" i="2108"/>
  <c r="E23" i="2108"/>
  <c r="B24" i="2108"/>
  <c r="E24" i="2108"/>
  <c r="B25" i="2108"/>
  <c r="E25" i="2108"/>
  <c r="B26" i="2108"/>
  <c r="E26" i="2108"/>
  <c r="B27" i="2108"/>
  <c r="E27" i="2108"/>
  <c r="B28" i="2108"/>
  <c r="E28" i="2108"/>
  <c r="B29" i="2108"/>
  <c r="E29" i="2108"/>
  <c r="B30" i="2108"/>
  <c r="E30" i="2108"/>
  <c r="B31" i="2108"/>
  <c r="E31" i="2108"/>
  <c r="B32" i="2108"/>
  <c r="E32" i="2108"/>
  <c r="B33" i="2108"/>
  <c r="E33" i="2108"/>
  <c r="B34" i="2108"/>
  <c r="E34" i="2108"/>
  <c r="B35" i="2108"/>
  <c r="E35" i="2108"/>
  <c r="B36" i="2108"/>
  <c r="E36" i="2108"/>
  <c r="B37" i="2108"/>
  <c r="E37" i="2108"/>
  <c r="B38" i="2108"/>
  <c r="E38" i="2108"/>
  <c r="B39" i="2108"/>
  <c r="E39" i="2108"/>
  <c r="B40" i="2108"/>
  <c r="E40" i="2108"/>
  <c r="B41" i="2108"/>
  <c r="E41" i="2108"/>
  <c r="B42" i="2108"/>
  <c r="E42" i="2108"/>
  <c r="B43" i="2108"/>
  <c r="E43" i="2108"/>
  <c r="B44" i="2108"/>
  <c r="E44" i="2108"/>
  <c r="B45" i="2108"/>
  <c r="E45" i="2108"/>
  <c r="B46" i="2108"/>
  <c r="E46" i="2108"/>
  <c r="B47" i="2108"/>
  <c r="E47" i="2108"/>
  <c r="B48" i="2108"/>
  <c r="E48" i="2108"/>
  <c r="B49" i="2108"/>
  <c r="E49" i="2108"/>
  <c r="B50" i="2108"/>
  <c r="E50" i="2108"/>
  <c r="B51" i="2108"/>
  <c r="E51" i="2108"/>
  <c r="B52" i="2108"/>
  <c r="E52" i="2108"/>
  <c r="B53" i="2108"/>
  <c r="E53" i="2108"/>
  <c r="B54" i="2108"/>
  <c r="E54" i="2108"/>
  <c r="B55" i="2108"/>
  <c r="E55" i="2108"/>
  <c r="B56" i="2108"/>
  <c r="E56" i="2108"/>
  <c r="B57" i="2108"/>
  <c r="E57" i="2108"/>
  <c r="B58" i="2108"/>
  <c r="E58" i="2108"/>
  <c r="B59" i="2108"/>
  <c r="E59" i="2108"/>
  <c r="B60" i="2108"/>
  <c r="E60" i="2108"/>
  <c r="B61" i="2108"/>
  <c r="E61" i="2108"/>
  <c r="B62" i="2108"/>
  <c r="E62" i="2108"/>
  <c r="B63" i="2108"/>
  <c r="E63" i="2108"/>
  <c r="B64" i="2108"/>
  <c r="E64" i="2108"/>
  <c r="B65" i="2108"/>
  <c r="E65" i="2108"/>
  <c r="B66" i="2108"/>
  <c r="E66" i="2108"/>
  <c r="B67" i="2108"/>
  <c r="E67" i="2108"/>
  <c r="B68" i="2108"/>
  <c r="E68" i="2108"/>
  <c r="B69" i="2108"/>
  <c r="E69" i="2108"/>
  <c r="B70" i="2108"/>
  <c r="E70" i="2108"/>
  <c r="B71" i="2108"/>
  <c r="E71" i="2108"/>
  <c r="B72" i="2108"/>
  <c r="E72" i="2108"/>
  <c r="B73" i="2108"/>
  <c r="E73" i="2108"/>
  <c r="B74" i="2108"/>
  <c r="E74" i="2108"/>
  <c r="B75" i="2108"/>
  <c r="E75" i="2108"/>
  <c r="B76" i="2108"/>
  <c r="E76" i="2108"/>
  <c r="B77" i="2108"/>
  <c r="E77" i="2108"/>
  <c r="B78" i="2108"/>
  <c r="E78" i="2108"/>
  <c r="B79" i="2108"/>
  <c r="E79" i="2108"/>
  <c r="B80" i="2108"/>
  <c r="E80" i="2108"/>
  <c r="B81" i="2108"/>
  <c r="E81" i="2108"/>
  <c r="B82" i="2108"/>
  <c r="E82" i="2108"/>
  <c r="B83" i="2108"/>
  <c r="E83" i="2108"/>
  <c r="B84" i="2108"/>
  <c r="E84" i="2108"/>
  <c r="B85" i="2108"/>
  <c r="E85" i="2108"/>
  <c r="B86" i="2108"/>
  <c r="E86" i="2108"/>
  <c r="B87" i="2108"/>
  <c r="E87" i="2108"/>
  <c r="B88" i="2108"/>
  <c r="E88" i="2108"/>
  <c r="B89" i="2108"/>
  <c r="E89" i="2108"/>
  <c r="B90" i="2108"/>
  <c r="E90" i="2108"/>
  <c r="B91" i="2108"/>
  <c r="E91" i="2108"/>
  <c r="B92" i="2108"/>
  <c r="E92" i="2108"/>
  <c r="B93" i="2108"/>
  <c r="E93" i="2108"/>
  <c r="B94" i="2108"/>
  <c r="E94" i="2108"/>
  <c r="B95" i="2108"/>
  <c r="E95" i="2108"/>
  <c r="B96" i="2108"/>
  <c r="E96" i="2108"/>
  <c r="B97" i="2108"/>
  <c r="E97" i="2108"/>
  <c r="B98" i="2108"/>
  <c r="E98" i="2108"/>
  <c r="B99" i="2108"/>
  <c r="E99" i="2108"/>
  <c r="B100" i="2108"/>
  <c r="E100" i="2108"/>
  <c r="B101" i="2108"/>
  <c r="E101" i="2108"/>
  <c r="B102" i="2108"/>
  <c r="E102" i="2108"/>
  <c r="B103" i="2108"/>
  <c r="E103" i="2108"/>
  <c r="B104" i="2108"/>
  <c r="E104" i="2108"/>
  <c r="B105" i="2108"/>
  <c r="E105" i="2108"/>
  <c r="B106" i="2108"/>
  <c r="E106" i="2108"/>
  <c r="B107" i="2108"/>
  <c r="E107" i="2108"/>
  <c r="B108" i="2108"/>
  <c r="E108" i="2108"/>
  <c r="B109" i="2108"/>
  <c r="E109" i="2108"/>
  <c r="B110" i="2108"/>
  <c r="E110" i="2108"/>
  <c r="B111" i="2108"/>
  <c r="E111" i="2108"/>
  <c r="B12" i="2116"/>
  <c r="E12" i="2116"/>
  <c r="B13" i="2116"/>
  <c r="E13" i="2116"/>
  <c r="B14" i="2116"/>
  <c r="E14" i="2116"/>
  <c r="B15" i="2116"/>
  <c r="E15" i="2116"/>
  <c r="B16" i="2116"/>
  <c r="E16" i="2116"/>
  <c r="B17" i="2116"/>
  <c r="E17" i="2116"/>
  <c r="B18" i="2116"/>
  <c r="E18" i="2116"/>
  <c r="B19" i="2116"/>
  <c r="E19" i="2116"/>
  <c r="B20" i="2116"/>
  <c r="E20" i="2116"/>
  <c r="B21" i="2116"/>
  <c r="E21" i="2116"/>
  <c r="B22" i="2116"/>
  <c r="E22" i="2116"/>
  <c r="B23" i="2116"/>
  <c r="E23" i="2116"/>
  <c r="B24" i="2116"/>
  <c r="E24" i="2116"/>
  <c r="B25" i="2116"/>
  <c r="E25" i="2116"/>
  <c r="B26" i="2116"/>
  <c r="E26" i="2116"/>
  <c r="B27" i="2116"/>
  <c r="E27" i="2116"/>
  <c r="B28" i="2116"/>
  <c r="E28" i="2116"/>
  <c r="B29" i="2116"/>
  <c r="E29" i="2116"/>
  <c r="B30" i="2116"/>
  <c r="E30" i="2116"/>
  <c r="B31" i="2116"/>
  <c r="E31" i="2116"/>
  <c r="B32" i="2116"/>
  <c r="E32" i="2116"/>
  <c r="B33" i="2116"/>
  <c r="E33" i="2116"/>
  <c r="B34" i="2116"/>
  <c r="E34" i="2116"/>
  <c r="B35" i="2116"/>
  <c r="E35" i="2116"/>
  <c r="B36" i="2116"/>
  <c r="E36" i="2116"/>
  <c r="B37" i="2116"/>
  <c r="E37" i="2116"/>
  <c r="B38" i="2116"/>
  <c r="E38" i="2116"/>
  <c r="B39" i="2116"/>
  <c r="E39" i="2116"/>
  <c r="B40" i="2116"/>
  <c r="E40" i="2116"/>
  <c r="B41" i="2116"/>
  <c r="E41" i="2116"/>
  <c r="B42" i="2116"/>
  <c r="E42" i="2116"/>
  <c r="B43" i="2116"/>
  <c r="E43" i="2116"/>
  <c r="B44" i="2116"/>
  <c r="E44" i="2116"/>
  <c r="B45" i="2116"/>
  <c r="E45" i="2116"/>
  <c r="B46" i="2116"/>
  <c r="E46" i="2116"/>
  <c r="B47" i="2116"/>
  <c r="E47" i="2116"/>
  <c r="B48" i="2116"/>
  <c r="E48" i="2116"/>
  <c r="B49" i="2116"/>
  <c r="E49" i="2116"/>
  <c r="B50" i="2116"/>
  <c r="E50" i="2116"/>
  <c r="B51" i="2116"/>
  <c r="E51" i="2116"/>
  <c r="B52" i="2116"/>
  <c r="E52" i="2116"/>
  <c r="B53" i="2116"/>
  <c r="E53" i="2116"/>
  <c r="B54" i="2116"/>
  <c r="E54" i="2116"/>
  <c r="B55" i="2116"/>
  <c r="E55" i="2116"/>
  <c r="B56" i="2116"/>
  <c r="E56" i="2116"/>
  <c r="B57" i="2116"/>
  <c r="E57" i="2116"/>
  <c r="B58" i="2116"/>
  <c r="E58" i="2116"/>
  <c r="B59" i="2116"/>
  <c r="E59" i="2116"/>
  <c r="B60" i="2116"/>
  <c r="E60" i="2116"/>
  <c r="B61" i="2116"/>
  <c r="E61" i="2116"/>
  <c r="B62" i="2116"/>
  <c r="E62" i="2116"/>
  <c r="B63" i="2116"/>
  <c r="E63" i="2116"/>
  <c r="B64" i="2116"/>
  <c r="E64" i="2116"/>
  <c r="B65" i="2116"/>
  <c r="E65" i="2116"/>
  <c r="B66" i="2116"/>
  <c r="E66" i="2116"/>
  <c r="B67" i="2116"/>
  <c r="E67" i="2116"/>
  <c r="B68" i="2116"/>
  <c r="E68" i="2116"/>
  <c r="B69" i="2116"/>
  <c r="E69" i="2116"/>
  <c r="B70" i="2116"/>
  <c r="E70" i="2116"/>
  <c r="B71" i="2116"/>
  <c r="E71" i="2116"/>
  <c r="B72" i="2116"/>
  <c r="E72" i="2116"/>
  <c r="B73" i="2116"/>
  <c r="E73" i="2116"/>
  <c r="B74" i="2116"/>
  <c r="E74" i="2116"/>
  <c r="B75" i="2116"/>
  <c r="E75" i="2116"/>
  <c r="B76" i="2116"/>
  <c r="E76" i="2116"/>
  <c r="B77" i="2116"/>
  <c r="E77" i="2116"/>
  <c r="B78" i="2116"/>
  <c r="E78" i="2116"/>
  <c r="B79" i="2116"/>
  <c r="E79" i="2116"/>
  <c r="B80" i="2116"/>
  <c r="E80" i="2116"/>
  <c r="B81" i="2116"/>
  <c r="E81" i="2116"/>
  <c r="B82" i="2116"/>
  <c r="E82" i="2116"/>
  <c r="B83" i="2116"/>
  <c r="E83" i="2116"/>
  <c r="B84" i="2116"/>
  <c r="E84" i="2116"/>
  <c r="B85" i="2116"/>
  <c r="E85" i="2116"/>
  <c r="B86" i="2116"/>
  <c r="E86" i="2116"/>
  <c r="B87" i="2116"/>
  <c r="E87" i="2116"/>
  <c r="B88" i="2116"/>
  <c r="E88" i="2116"/>
  <c r="B89" i="2116"/>
  <c r="E89" i="2116"/>
  <c r="B90" i="2116"/>
  <c r="E90" i="2116"/>
  <c r="B91" i="2116"/>
  <c r="E91" i="2116"/>
  <c r="B92" i="2116"/>
  <c r="E92" i="2116"/>
  <c r="B93" i="2116"/>
  <c r="E93" i="2116"/>
  <c r="B94" i="2116"/>
  <c r="E94" i="2116"/>
  <c r="B95" i="2116"/>
  <c r="E95" i="2116"/>
  <c r="B96" i="2116"/>
  <c r="E96" i="2116"/>
  <c r="B97" i="2116"/>
  <c r="E97" i="2116"/>
  <c r="B98" i="2116"/>
  <c r="E98" i="2116"/>
  <c r="B99" i="2116"/>
  <c r="E99" i="2116"/>
  <c r="B100" i="2116"/>
  <c r="E100" i="2116"/>
  <c r="B101" i="2116"/>
  <c r="E101" i="2116"/>
  <c r="B102" i="2116"/>
  <c r="E102" i="2116"/>
  <c r="B103" i="2116"/>
  <c r="E103" i="2116"/>
  <c r="B104" i="2116"/>
  <c r="E104" i="2116"/>
  <c r="B105" i="2116"/>
  <c r="E105" i="2116"/>
  <c r="B106" i="2116"/>
  <c r="E106" i="2116"/>
  <c r="B107" i="2116"/>
  <c r="E107" i="2116"/>
  <c r="B108" i="2116"/>
  <c r="E108" i="2116"/>
  <c r="B109" i="2116"/>
  <c r="E109" i="2116"/>
  <c r="B110" i="2116"/>
  <c r="E110" i="2116"/>
  <c r="B11" i="2117"/>
  <c r="C11" i="2117" s="1"/>
  <c r="E11" i="2117"/>
  <c r="B12" i="2117"/>
  <c r="E12" i="2117"/>
  <c r="B13" i="2117"/>
  <c r="E13" i="2117"/>
  <c r="B14" i="2117"/>
  <c r="E14" i="2117"/>
  <c r="B15" i="2117"/>
  <c r="E15" i="2117"/>
  <c r="B16" i="2117"/>
  <c r="E16" i="2117"/>
  <c r="B17" i="2117"/>
  <c r="E17" i="2117"/>
  <c r="B18" i="2117"/>
  <c r="E18" i="2117"/>
  <c r="B19" i="2117"/>
  <c r="E19" i="2117"/>
  <c r="B20" i="2117"/>
  <c r="E20" i="2117"/>
  <c r="B21" i="2117"/>
  <c r="E21" i="2117"/>
  <c r="B22" i="2117"/>
  <c r="E22" i="2117"/>
  <c r="B23" i="2117"/>
  <c r="E23" i="2117"/>
  <c r="B24" i="2117"/>
  <c r="E24" i="2117"/>
  <c r="B25" i="2117"/>
  <c r="E25" i="2117"/>
  <c r="B26" i="2117"/>
  <c r="E26" i="2117"/>
  <c r="B27" i="2117"/>
  <c r="E27" i="2117"/>
  <c r="B28" i="2117"/>
  <c r="E28" i="2117"/>
  <c r="B29" i="2117"/>
  <c r="E29" i="2117"/>
  <c r="B30" i="2117"/>
  <c r="E30" i="2117"/>
  <c r="B31" i="2117"/>
  <c r="E31" i="2117"/>
  <c r="B32" i="2117"/>
  <c r="E32" i="2117"/>
  <c r="B33" i="2117"/>
  <c r="E33" i="2117"/>
  <c r="B34" i="2117"/>
  <c r="E34" i="2117"/>
  <c r="B35" i="2117"/>
  <c r="E35" i="2117"/>
  <c r="B36" i="2117"/>
  <c r="E36" i="2117"/>
  <c r="B37" i="2117"/>
  <c r="E37" i="2117"/>
  <c r="B38" i="2117"/>
  <c r="E38" i="2117"/>
  <c r="B39" i="2117"/>
  <c r="E39" i="2117"/>
  <c r="B40" i="2117"/>
  <c r="E40" i="2117"/>
  <c r="B41" i="2117"/>
  <c r="E41" i="2117"/>
  <c r="B42" i="2117"/>
  <c r="E42" i="2117"/>
  <c r="B43" i="2117"/>
  <c r="E43" i="2117"/>
  <c r="B44" i="2117"/>
  <c r="E44" i="2117"/>
  <c r="B45" i="2117"/>
  <c r="E45" i="2117"/>
  <c r="B46" i="2117"/>
  <c r="E46" i="2117"/>
  <c r="B47" i="2117"/>
  <c r="E47" i="2117"/>
  <c r="B48" i="2117"/>
  <c r="E48" i="2117"/>
  <c r="B49" i="2117"/>
  <c r="E49" i="2117"/>
  <c r="B50" i="2117"/>
  <c r="E50" i="2117"/>
  <c r="B51" i="2117"/>
  <c r="E51" i="2117"/>
  <c r="B52" i="2117"/>
  <c r="E52" i="2117"/>
  <c r="B53" i="2117"/>
  <c r="E53" i="2117"/>
  <c r="B54" i="2117"/>
  <c r="E54" i="2117"/>
  <c r="B55" i="2117"/>
  <c r="E55" i="2117"/>
  <c r="B56" i="2117"/>
  <c r="E56" i="2117"/>
  <c r="B57" i="2117"/>
  <c r="E57" i="2117"/>
  <c r="B58" i="2117"/>
  <c r="E58" i="2117"/>
  <c r="B59" i="2117"/>
  <c r="E59" i="2117"/>
  <c r="B60" i="2117"/>
  <c r="E60" i="2117"/>
  <c r="B61" i="2117"/>
  <c r="E61" i="2117"/>
  <c r="B62" i="2117"/>
  <c r="E62" i="2117"/>
  <c r="B63" i="2117"/>
  <c r="E63" i="2117"/>
  <c r="B64" i="2117"/>
  <c r="E64" i="2117"/>
  <c r="B65" i="2117"/>
  <c r="E65" i="2117"/>
  <c r="B66" i="2117"/>
  <c r="E66" i="2117"/>
  <c r="B67" i="2117"/>
  <c r="E67" i="2117"/>
  <c r="B68" i="2117"/>
  <c r="E68" i="2117"/>
  <c r="B69" i="2117"/>
  <c r="E69" i="2117"/>
  <c r="B70" i="2117"/>
  <c r="E70" i="2117"/>
  <c r="B71" i="2117"/>
  <c r="E71" i="2117"/>
  <c r="B72" i="2117"/>
  <c r="E72" i="2117"/>
  <c r="B73" i="2117"/>
  <c r="E73" i="2117"/>
  <c r="B74" i="2117"/>
  <c r="E74" i="2117"/>
  <c r="B75" i="2117"/>
  <c r="E75" i="2117"/>
  <c r="B76" i="2117"/>
  <c r="E76" i="2117"/>
  <c r="B77" i="2117"/>
  <c r="E77" i="2117"/>
  <c r="B78" i="2117"/>
  <c r="E78" i="2117"/>
  <c r="B79" i="2117"/>
  <c r="E79" i="2117"/>
  <c r="B80" i="2117"/>
  <c r="E80" i="2117"/>
  <c r="B81" i="2117"/>
  <c r="E81" i="2117"/>
  <c r="B82" i="2117"/>
  <c r="E82" i="2117"/>
  <c r="B83" i="2117"/>
  <c r="E83" i="2117"/>
  <c r="B84" i="2117"/>
  <c r="E84" i="2117"/>
  <c r="B85" i="2117"/>
  <c r="E85" i="2117"/>
  <c r="B86" i="2117"/>
  <c r="E86" i="2117"/>
  <c r="B87" i="2117"/>
  <c r="E87" i="2117"/>
  <c r="B88" i="2117"/>
  <c r="E88" i="2117"/>
  <c r="B89" i="2117"/>
  <c r="E89" i="2117"/>
  <c r="B90" i="2117"/>
  <c r="E90" i="2117"/>
  <c r="B91" i="2117"/>
  <c r="E91" i="2117"/>
  <c r="B92" i="2117"/>
  <c r="E92" i="2117"/>
  <c r="B93" i="2117"/>
  <c r="E93" i="2117"/>
  <c r="B94" i="2117"/>
  <c r="E94" i="2117"/>
  <c r="B95" i="2117"/>
  <c r="E95" i="2117"/>
  <c r="B96" i="2117"/>
  <c r="E96" i="2117"/>
  <c r="B97" i="2117"/>
  <c r="E97" i="2117"/>
  <c r="B98" i="2117"/>
  <c r="E98" i="2117"/>
  <c r="B99" i="2117"/>
  <c r="E99" i="2117"/>
  <c r="B100" i="2117"/>
  <c r="E100" i="2117"/>
  <c r="B101" i="2117"/>
  <c r="E101" i="2117"/>
  <c r="B102" i="2117"/>
  <c r="E102" i="2117"/>
  <c r="B103" i="2117"/>
  <c r="E103" i="2117"/>
  <c r="B104" i="2117"/>
  <c r="E104" i="2117"/>
  <c r="B105" i="2117"/>
  <c r="E105" i="2117"/>
  <c r="B106" i="2117"/>
  <c r="E106" i="2117"/>
  <c r="B107" i="2117"/>
  <c r="E107" i="2117"/>
  <c r="B108" i="2117"/>
  <c r="E108" i="2117"/>
  <c r="B109" i="2117"/>
  <c r="E109" i="2117"/>
  <c r="B110" i="2117"/>
  <c r="E110" i="2117"/>
  <c r="D37" i="2106" l="1"/>
  <c r="E37" i="2106" s="1"/>
  <c r="C20" i="2101"/>
  <c r="F15" i="2101" s="1"/>
  <c r="I18" i="2101" s="1"/>
  <c r="D110" i="2119"/>
  <c r="H109" i="2119"/>
  <c r="F109" i="2118"/>
  <c r="G109" i="2118"/>
  <c r="D319" i="2106"/>
  <c r="E319" i="2106" s="1"/>
  <c r="C319" i="2106"/>
  <c r="D311" i="2106"/>
  <c r="E311" i="2106" s="1"/>
  <c r="C311" i="2106"/>
  <c r="D303" i="2106"/>
  <c r="E303" i="2106" s="1"/>
  <c r="C303" i="2106"/>
  <c r="D295" i="2106"/>
  <c r="E295" i="2106" s="1"/>
  <c r="C295" i="2106"/>
  <c r="D287" i="2106"/>
  <c r="E287" i="2106" s="1"/>
  <c r="C287" i="2106"/>
  <c r="D279" i="2106"/>
  <c r="E279" i="2106" s="1"/>
  <c r="C279" i="2106"/>
  <c r="D271" i="2106"/>
  <c r="E271" i="2106" s="1"/>
  <c r="C271" i="2106"/>
  <c r="D255" i="2106"/>
  <c r="E255" i="2106" s="1"/>
  <c r="C255" i="2106"/>
  <c r="D247" i="2106"/>
  <c r="E247" i="2106" s="1"/>
  <c r="C247" i="2106"/>
  <c r="D231" i="2106"/>
  <c r="E231" i="2106" s="1"/>
  <c r="C231" i="2106"/>
  <c r="D223" i="2106"/>
  <c r="E223" i="2106" s="1"/>
  <c r="C223" i="2106"/>
  <c r="D207" i="2106"/>
  <c r="E207" i="2106" s="1"/>
  <c r="C207" i="2106"/>
  <c r="D199" i="2106"/>
  <c r="E199" i="2106" s="1"/>
  <c r="C199" i="2106"/>
  <c r="D191" i="2106"/>
  <c r="E191" i="2106" s="1"/>
  <c r="C191" i="2106"/>
  <c r="D183" i="2106"/>
  <c r="E183" i="2106" s="1"/>
  <c r="C183" i="2106"/>
  <c r="D151" i="2106"/>
  <c r="E151" i="2106" s="1"/>
  <c r="C151" i="2106"/>
  <c r="D143" i="2106"/>
  <c r="E143" i="2106" s="1"/>
  <c r="C143" i="2106"/>
  <c r="D103" i="2106"/>
  <c r="E103" i="2106" s="1"/>
  <c r="C103" i="2106"/>
  <c r="D87" i="2106"/>
  <c r="E87" i="2106" s="1"/>
  <c r="C87" i="2106"/>
  <c r="D63" i="2106"/>
  <c r="E63" i="2106" s="1"/>
  <c r="C63" i="2106"/>
  <c r="D150" i="2106"/>
  <c r="E150" i="2106" s="1"/>
  <c r="C150" i="2106"/>
  <c r="D142" i="2106"/>
  <c r="E142" i="2106" s="1"/>
  <c r="C142" i="2106"/>
  <c r="D118" i="2106"/>
  <c r="E118" i="2106" s="1"/>
  <c r="C118" i="2106"/>
  <c r="D70" i="2106"/>
  <c r="E70" i="2106" s="1"/>
  <c r="C70" i="2106"/>
  <c r="D285" i="2106"/>
  <c r="E285" i="2106" s="1"/>
  <c r="C285" i="2106"/>
  <c r="D253" i="2106"/>
  <c r="E253" i="2106" s="1"/>
  <c r="C253" i="2106"/>
  <c r="D237" i="2106"/>
  <c r="E237" i="2106" s="1"/>
  <c r="C237" i="2106"/>
  <c r="D229" i="2106"/>
  <c r="E229" i="2106" s="1"/>
  <c r="C229" i="2106"/>
  <c r="D221" i="2106"/>
  <c r="E221" i="2106" s="1"/>
  <c r="C221" i="2106"/>
  <c r="D213" i="2106"/>
  <c r="E213" i="2106" s="1"/>
  <c r="C213" i="2106"/>
  <c r="D205" i="2106"/>
  <c r="E205" i="2106" s="1"/>
  <c r="C205" i="2106"/>
  <c r="D173" i="2106"/>
  <c r="E173" i="2106" s="1"/>
  <c r="C173" i="2106"/>
  <c r="D165" i="2106"/>
  <c r="E165" i="2106" s="1"/>
  <c r="C165" i="2106"/>
  <c r="D157" i="2106"/>
  <c r="E157" i="2106" s="1"/>
  <c r="C157" i="2106"/>
  <c r="D109" i="2106"/>
  <c r="E109" i="2106" s="1"/>
  <c r="C109" i="2106"/>
  <c r="D93" i="2106"/>
  <c r="E93" i="2106" s="1"/>
  <c r="C93" i="2106"/>
  <c r="D77" i="2106"/>
  <c r="E77" i="2106" s="1"/>
  <c r="C77" i="2106"/>
  <c r="D180" i="2106"/>
  <c r="E180" i="2106" s="1"/>
  <c r="C180" i="2106"/>
  <c r="D164" i="2106"/>
  <c r="E164" i="2106" s="1"/>
  <c r="C164" i="2106"/>
  <c r="D156" i="2106"/>
  <c r="E156" i="2106" s="1"/>
  <c r="C156" i="2106"/>
  <c r="D148" i="2106"/>
  <c r="E148" i="2106" s="1"/>
  <c r="C148" i="2106"/>
  <c r="D84" i="2106"/>
  <c r="E84" i="2106" s="1"/>
  <c r="C84" i="2106"/>
  <c r="D315" i="2106"/>
  <c r="E315" i="2106" s="1"/>
  <c r="C315" i="2106"/>
  <c r="D307" i="2106"/>
  <c r="E307" i="2106" s="1"/>
  <c r="C307" i="2106"/>
  <c r="D283" i="2106"/>
  <c r="E283" i="2106" s="1"/>
  <c r="C283" i="2106"/>
  <c r="D259" i="2106"/>
  <c r="E259" i="2106" s="1"/>
  <c r="C259" i="2106"/>
  <c r="D243" i="2106"/>
  <c r="E243" i="2106" s="1"/>
  <c r="C243" i="2106"/>
  <c r="D227" i="2106"/>
  <c r="E227" i="2106" s="1"/>
  <c r="C227" i="2106"/>
  <c r="D211" i="2106"/>
  <c r="E211" i="2106" s="1"/>
  <c r="C211" i="2106"/>
  <c r="D203" i="2106"/>
  <c r="E203" i="2106" s="1"/>
  <c r="C203" i="2106"/>
  <c r="D171" i="2106"/>
  <c r="E171" i="2106" s="1"/>
  <c r="C171" i="2106"/>
  <c r="D163" i="2106"/>
  <c r="E163" i="2106" s="1"/>
  <c r="C163" i="2106"/>
  <c r="D155" i="2106"/>
  <c r="E155" i="2106" s="1"/>
  <c r="C155" i="2106"/>
  <c r="D107" i="2106"/>
  <c r="E107" i="2106" s="1"/>
  <c r="C107" i="2106"/>
  <c r="D91" i="2106"/>
  <c r="E91" i="2106" s="1"/>
  <c r="C91" i="2106"/>
  <c r="D75" i="2106"/>
  <c r="E75" i="2106" s="1"/>
  <c r="C75" i="2106"/>
  <c r="D178" i="2106"/>
  <c r="E178" i="2106" s="1"/>
  <c r="C178" i="2106"/>
  <c r="D170" i="2106"/>
  <c r="E170" i="2106" s="1"/>
  <c r="C170" i="2106"/>
  <c r="D162" i="2106"/>
  <c r="E162" i="2106" s="1"/>
  <c r="C162" i="2106"/>
  <c r="D82" i="2106"/>
  <c r="E82" i="2106" s="1"/>
  <c r="C82" i="2106"/>
  <c r="D74" i="2106"/>
  <c r="E74" i="2106" s="1"/>
  <c r="C74" i="2106"/>
  <c r="D58" i="2106"/>
  <c r="E58" i="2106" s="1"/>
  <c r="C58" i="2106"/>
  <c r="D50" i="2106"/>
  <c r="E50" i="2106" s="1"/>
  <c r="C50" i="2106"/>
  <c r="D321" i="2106"/>
  <c r="E321" i="2106" s="1"/>
  <c r="C321" i="2106"/>
  <c r="D305" i="2106"/>
  <c r="E305" i="2106" s="1"/>
  <c r="C305" i="2106"/>
  <c r="D265" i="2106"/>
  <c r="E265" i="2106" s="1"/>
  <c r="C265" i="2106"/>
  <c r="D233" i="2106"/>
  <c r="E233" i="2106" s="1"/>
  <c r="C233" i="2106"/>
  <c r="D225" i="2106"/>
  <c r="E225" i="2106" s="1"/>
  <c r="C225" i="2106"/>
  <c r="D209" i="2106"/>
  <c r="E209" i="2106" s="1"/>
  <c r="C209" i="2106"/>
  <c r="D201" i="2106"/>
  <c r="E201" i="2106" s="1"/>
  <c r="C201" i="2106"/>
  <c r="D177" i="2106"/>
  <c r="E177" i="2106" s="1"/>
  <c r="C177" i="2106"/>
  <c r="D161" i="2106"/>
  <c r="E161" i="2106" s="1"/>
  <c r="C161" i="2106"/>
  <c r="D153" i="2106"/>
  <c r="E153" i="2106" s="1"/>
  <c r="C153" i="2106"/>
  <c r="D129" i="2106"/>
  <c r="E129" i="2106" s="1"/>
  <c r="C129" i="2106"/>
  <c r="D121" i="2106"/>
  <c r="E121" i="2106" s="1"/>
  <c r="C121" i="2106"/>
  <c r="D89" i="2106"/>
  <c r="E89" i="2106" s="1"/>
  <c r="C89" i="2106"/>
  <c r="D65" i="2106"/>
  <c r="E65" i="2106" s="1"/>
  <c r="C65" i="2106"/>
  <c r="D168" i="2106"/>
  <c r="E168" i="2106" s="1"/>
  <c r="C168" i="2106"/>
  <c r="D144" i="2106"/>
  <c r="E144" i="2106" s="1"/>
  <c r="C144" i="2106"/>
  <c r="D120" i="2106"/>
  <c r="E120" i="2106" s="1"/>
  <c r="C120" i="2106"/>
  <c r="D112" i="2106"/>
  <c r="E112" i="2106" s="1"/>
  <c r="C112" i="2106"/>
  <c r="D104" i="2106"/>
  <c r="E104" i="2106" s="1"/>
  <c r="C104" i="2106"/>
  <c r="D80" i="2106"/>
  <c r="E80" i="2106" s="1"/>
  <c r="C80" i="2106"/>
  <c r="D64" i="2106"/>
  <c r="E64" i="2106" s="1"/>
  <c r="C64" i="2106"/>
  <c r="D48" i="2106"/>
  <c r="E48" i="2106" s="1"/>
  <c r="C48" i="2106"/>
  <c r="D38" i="2106"/>
  <c r="E38" i="2106" s="1"/>
  <c r="D100" i="2106"/>
  <c r="E100" i="2106" s="1"/>
  <c r="D323" i="2106"/>
  <c r="E323" i="2106" s="1"/>
  <c r="D263" i="2106"/>
  <c r="E263" i="2106" s="1"/>
  <c r="D248" i="2106"/>
  <c r="E248" i="2106" s="1"/>
  <c r="D159" i="2106"/>
  <c r="E159" i="2106" s="1"/>
  <c r="D105" i="2106"/>
  <c r="E105" i="2106" s="1"/>
  <c r="D182" i="2106"/>
  <c r="E182" i="2106" s="1"/>
  <c r="D166" i="2106"/>
  <c r="E166" i="2106" s="1"/>
  <c r="D218" i="2106"/>
  <c r="E218" i="2106" s="1"/>
  <c r="D193" i="2106"/>
  <c r="E193" i="2106" s="1"/>
  <c r="D92" i="2106"/>
  <c r="E92" i="2106" s="1"/>
  <c r="D230" i="2106"/>
  <c r="E230" i="2106" s="1"/>
  <c r="D232" i="2106"/>
  <c r="E232" i="2106" s="1"/>
  <c r="D67" i="2106"/>
  <c r="E67" i="2106" s="1"/>
  <c r="D60" i="2106"/>
  <c r="E60" i="2106" s="1"/>
  <c r="D194" i="2106"/>
  <c r="E194" i="2106" s="1"/>
  <c r="D44" i="2106"/>
  <c r="E44" i="2106" s="1"/>
  <c r="D141" i="2106"/>
  <c r="E141" i="2106" s="1"/>
  <c r="D186" i="2106"/>
  <c r="E186" i="2106" s="1"/>
  <c r="D181" i="2106"/>
  <c r="E181" i="2106" s="1"/>
  <c r="D179" i="2106"/>
  <c r="E179" i="2106" s="1"/>
  <c r="D174" i="2106"/>
  <c r="E174" i="2106" s="1"/>
  <c r="D49" i="2106"/>
  <c r="E49" i="2106" s="1"/>
  <c r="D189" i="2106"/>
  <c r="E189" i="2106" s="1"/>
  <c r="D114" i="2106"/>
  <c r="E114" i="2106" s="1"/>
  <c r="D54" i="2106"/>
  <c r="E54" i="2106" s="1"/>
  <c r="D241" i="2106"/>
  <c r="E241" i="2106" s="1"/>
  <c r="D154" i="2106"/>
  <c r="E154" i="2106" s="1"/>
  <c r="D245" i="2106"/>
  <c r="E245" i="2106" s="1"/>
  <c r="D197" i="2106"/>
  <c r="E197" i="2106" s="1"/>
  <c r="D184" i="2106"/>
  <c r="E184" i="2106" s="1"/>
  <c r="D172" i="2106"/>
  <c r="E172" i="2106" s="1"/>
  <c r="D167" i="2106"/>
  <c r="E167" i="2106" s="1"/>
  <c r="D140" i="2106"/>
  <c r="E140" i="2106" s="1"/>
  <c r="D108" i="2106"/>
  <c r="E108" i="2106" s="1"/>
  <c r="D333" i="2106"/>
  <c r="E333" i="2106" s="1"/>
  <c r="D175" i="2106"/>
  <c r="E175" i="2106" s="1"/>
  <c r="D242" i="2106"/>
  <c r="E242" i="2106" s="1"/>
  <c r="D226" i="2106"/>
  <c r="E226" i="2106" s="1"/>
  <c r="D299" i="2106"/>
  <c r="E299" i="2106" s="1"/>
  <c r="D251" i="2106"/>
  <c r="E251" i="2106" s="1"/>
  <c r="D239" i="2106"/>
  <c r="E239" i="2106" s="1"/>
  <c r="D219" i="2106"/>
  <c r="E219" i="2106" s="1"/>
  <c r="D215" i="2106"/>
  <c r="E215" i="2106" s="1"/>
  <c r="D195" i="2106"/>
  <c r="E195" i="2106" s="1"/>
  <c r="D97" i="2106"/>
  <c r="E97" i="2106" s="1"/>
  <c r="D81" i="2106"/>
  <c r="E81" i="2106" s="1"/>
  <c r="D40" i="2106"/>
  <c r="E40" i="2106" s="1"/>
  <c r="D275" i="2106"/>
  <c r="E275" i="2106" s="1"/>
  <c r="D202" i="2106"/>
  <c r="E202" i="2106" s="1"/>
  <c r="D198" i="2106"/>
  <c r="E198" i="2106" s="1"/>
  <c r="D51" i="2106"/>
  <c r="E51" i="2106" s="1"/>
  <c r="D331" i="2106"/>
  <c r="E331" i="2106" s="1"/>
  <c r="D281" i="2106"/>
  <c r="E281" i="2106" s="1"/>
  <c r="D249" i="2106"/>
  <c r="E249" i="2106" s="1"/>
  <c r="D185" i="2106"/>
  <c r="E185" i="2106" s="1"/>
  <c r="D158" i="2106"/>
  <c r="E158" i="2106" s="1"/>
  <c r="D146" i="2106"/>
  <c r="E146" i="2106" s="1"/>
  <c r="D90" i="2106"/>
  <c r="E90" i="2106" s="1"/>
  <c r="D86" i="2106"/>
  <c r="E86" i="2106" s="1"/>
  <c r="D72" i="2106"/>
  <c r="E72" i="2106" s="1"/>
  <c r="D42" i="2106"/>
  <c r="E42" i="2106" s="1"/>
  <c r="D291" i="2106"/>
  <c r="E291" i="2106" s="1"/>
  <c r="D246" i="2106"/>
  <c r="E246" i="2106" s="1"/>
  <c r="D234" i="2106"/>
  <c r="E234" i="2106" s="1"/>
  <c r="D216" i="2106"/>
  <c r="E216" i="2106" s="1"/>
  <c r="D210" i="2106"/>
  <c r="E210" i="2106" s="1"/>
  <c r="D187" i="2106"/>
  <c r="E187" i="2106" s="1"/>
  <c r="D139" i="2106"/>
  <c r="E139" i="2106" s="1"/>
  <c r="D136" i="2106"/>
  <c r="E136" i="2106" s="1"/>
  <c r="D130" i="2106"/>
  <c r="E130" i="2106" s="1"/>
  <c r="D115" i="2106"/>
  <c r="E115" i="2106" s="1"/>
  <c r="D111" i="2106"/>
  <c r="E111" i="2106" s="1"/>
  <c r="D102" i="2106"/>
  <c r="E102" i="2106" s="1"/>
  <c r="D313" i="2106"/>
  <c r="E313" i="2106" s="1"/>
  <c r="D293" i="2106"/>
  <c r="E293" i="2106" s="1"/>
  <c r="D267" i="2106"/>
  <c r="E267" i="2106" s="1"/>
  <c r="D257" i="2106"/>
  <c r="E257" i="2106" s="1"/>
  <c r="D235" i="2106"/>
  <c r="E235" i="2106" s="1"/>
  <c r="D217" i="2106"/>
  <c r="E217" i="2106" s="1"/>
  <c r="D138" i="2106"/>
  <c r="E138" i="2106" s="1"/>
  <c r="D122" i="2106"/>
  <c r="E122" i="2106" s="1"/>
  <c r="C12" i="2116"/>
  <c r="C13" i="2116" s="1"/>
  <c r="C14" i="2116" s="1"/>
  <c r="C15" i="2116" s="1"/>
  <c r="C16" i="2116" s="1"/>
  <c r="C17" i="2116" s="1"/>
  <c r="C18" i="2116" s="1"/>
  <c r="C19" i="2116" s="1"/>
  <c r="C20" i="2116" s="1"/>
  <c r="C21" i="2116" s="1"/>
  <c r="C22" i="2116" s="1"/>
  <c r="C23" i="2116" s="1"/>
  <c r="C24" i="2116" s="1"/>
  <c r="C25" i="2116" s="1"/>
  <c r="C26" i="2116" s="1"/>
  <c r="C27" i="2116" s="1"/>
  <c r="C28" i="2116" s="1"/>
  <c r="C29" i="2116" s="1"/>
  <c r="C30" i="2116" s="1"/>
  <c r="C31" i="2116" s="1"/>
  <c r="C32" i="2116" s="1"/>
  <c r="C33" i="2116" s="1"/>
  <c r="C34" i="2116" s="1"/>
  <c r="C35" i="2116" s="1"/>
  <c r="C36" i="2116" s="1"/>
  <c r="C37" i="2116" s="1"/>
  <c r="C38" i="2116" s="1"/>
  <c r="C39" i="2116" s="1"/>
  <c r="C40" i="2116" s="1"/>
  <c r="C41" i="2116" s="1"/>
  <c r="C42" i="2116" s="1"/>
  <c r="C43" i="2116" s="1"/>
  <c r="C44" i="2116" s="1"/>
  <c r="C45" i="2116" s="1"/>
  <c r="C46" i="2116" s="1"/>
  <c r="C47" i="2116" s="1"/>
  <c r="C48" i="2116" s="1"/>
  <c r="C49" i="2116" s="1"/>
  <c r="C50" i="2116" s="1"/>
  <c r="C51" i="2116" s="1"/>
  <c r="C52" i="2116" s="1"/>
  <c r="C53" i="2116" s="1"/>
  <c r="C54" i="2116" s="1"/>
  <c r="C55" i="2116" s="1"/>
  <c r="C56" i="2116" s="1"/>
  <c r="C57" i="2116" s="1"/>
  <c r="C58" i="2116" s="1"/>
  <c r="C59" i="2116" s="1"/>
  <c r="C60" i="2116" s="1"/>
  <c r="C61" i="2116" s="1"/>
  <c r="C62" i="2116" s="1"/>
  <c r="C63" i="2116" s="1"/>
  <c r="C64" i="2116" s="1"/>
  <c r="C65" i="2116" s="1"/>
  <c r="C66" i="2116" s="1"/>
  <c r="C67" i="2116" s="1"/>
  <c r="C68" i="2116" s="1"/>
  <c r="C69" i="2116" s="1"/>
  <c r="C70" i="2116" s="1"/>
  <c r="C71" i="2116" s="1"/>
  <c r="C72" i="2116" s="1"/>
  <c r="C73" i="2116" s="1"/>
  <c r="C74" i="2116" s="1"/>
  <c r="C75" i="2116" s="1"/>
  <c r="C76" i="2116" s="1"/>
  <c r="C77" i="2116" s="1"/>
  <c r="C78" i="2116" s="1"/>
  <c r="C79" i="2116" s="1"/>
  <c r="C80" i="2116" s="1"/>
  <c r="C81" i="2116" s="1"/>
  <c r="C82" i="2116" s="1"/>
  <c r="C83" i="2116" s="1"/>
  <c r="C84" i="2116" s="1"/>
  <c r="C85" i="2116" s="1"/>
  <c r="C86" i="2116" s="1"/>
  <c r="C87" i="2116" s="1"/>
  <c r="C88" i="2116" s="1"/>
  <c r="C89" i="2116" s="1"/>
  <c r="C90" i="2116" s="1"/>
  <c r="C91" i="2116" s="1"/>
  <c r="C92" i="2116" s="1"/>
  <c r="C93" i="2116" s="1"/>
  <c r="C94" i="2116" s="1"/>
  <c r="C95" i="2116" s="1"/>
  <c r="C96" i="2116" s="1"/>
  <c r="C97" i="2116" s="1"/>
  <c r="C98" i="2116" s="1"/>
  <c r="C99" i="2116" s="1"/>
  <c r="C100" i="2116" s="1"/>
  <c r="C101" i="2116" s="1"/>
  <c r="C102" i="2116" s="1"/>
  <c r="C103" i="2116" s="1"/>
  <c r="C104" i="2116" s="1"/>
  <c r="C105" i="2116" s="1"/>
  <c r="C106" i="2116" s="1"/>
  <c r="C107" i="2116" s="1"/>
  <c r="C108" i="2116" s="1"/>
  <c r="C109" i="2116" s="1"/>
  <c r="C110" i="2116" s="1"/>
  <c r="D327" i="2106"/>
  <c r="E327" i="2106" s="1"/>
  <c r="D250" i="2106"/>
  <c r="E250" i="2106" s="1"/>
  <c r="D238" i="2106"/>
  <c r="E238" i="2106" s="1"/>
  <c r="D214" i="2106"/>
  <c r="E214" i="2106" s="1"/>
  <c r="D200" i="2106"/>
  <c r="E200" i="2106" s="1"/>
  <c r="D95" i="2106"/>
  <c r="E95" i="2106" s="1"/>
  <c r="D68" i="2106"/>
  <c r="E68" i="2106" s="1"/>
  <c r="D43" i="2106"/>
  <c r="E43" i="2106" s="1"/>
  <c r="D335" i="2106"/>
  <c r="E335" i="2106" s="1"/>
  <c r="D125" i="2106"/>
  <c r="E125" i="2106" s="1"/>
  <c r="D98" i="2106"/>
  <c r="E98" i="2106" s="1"/>
  <c r="D244" i="2106"/>
  <c r="E244" i="2106" s="1"/>
  <c r="D228" i="2106"/>
  <c r="E228" i="2106" s="1"/>
  <c r="D212" i="2106"/>
  <c r="E212" i="2106" s="1"/>
  <c r="D196" i="2106"/>
  <c r="E196" i="2106" s="1"/>
  <c r="D176" i="2106"/>
  <c r="E176" i="2106" s="1"/>
  <c r="D152" i="2106"/>
  <c r="E152" i="2106" s="1"/>
  <c r="D124" i="2106"/>
  <c r="E124" i="2106" s="1"/>
  <c r="D106" i="2106"/>
  <c r="E106" i="2106" s="1"/>
  <c r="D119" i="2106"/>
  <c r="E119" i="2106" s="1"/>
  <c r="D160" i="2106"/>
  <c r="E160" i="2106" s="1"/>
  <c r="D57" i="2106"/>
  <c r="E57" i="2106" s="1"/>
  <c r="D47" i="2106"/>
  <c r="E47" i="2106" s="1"/>
  <c r="D269" i="2106"/>
  <c r="E269" i="2106" s="1"/>
  <c r="D252" i="2106"/>
  <c r="E252" i="2106" s="1"/>
  <c r="D236" i="2106"/>
  <c r="E236" i="2106" s="1"/>
  <c r="D220" i="2106"/>
  <c r="E220" i="2106" s="1"/>
  <c r="D204" i="2106"/>
  <c r="E204" i="2106" s="1"/>
  <c r="D188" i="2106"/>
  <c r="E188" i="2106" s="1"/>
  <c r="D128" i="2106"/>
  <c r="E128" i="2106" s="1"/>
  <c r="D76" i="2106"/>
  <c r="E76" i="2106" s="1"/>
  <c r="D169" i="2106"/>
  <c r="E169" i="2106" s="1"/>
  <c r="D113" i="2106"/>
  <c r="E113" i="2106" s="1"/>
  <c r="D329" i="2106"/>
  <c r="E329" i="2106" s="1"/>
  <c r="D325" i="2106"/>
  <c r="E325" i="2106" s="1"/>
  <c r="D301" i="2106"/>
  <c r="E301" i="2106" s="1"/>
  <c r="D297" i="2106"/>
  <c r="E297" i="2106" s="1"/>
  <c r="D273" i="2106"/>
  <c r="E273" i="2106" s="1"/>
  <c r="D261" i="2106"/>
  <c r="E261" i="2106" s="1"/>
  <c r="D254" i="2106"/>
  <c r="E254" i="2106" s="1"/>
  <c r="D222" i="2106"/>
  <c r="E222" i="2106" s="1"/>
  <c r="D206" i="2106"/>
  <c r="E206" i="2106" s="1"/>
  <c r="D190" i="2106"/>
  <c r="E190" i="2106" s="1"/>
  <c r="D131" i="2106"/>
  <c r="E131" i="2106" s="1"/>
  <c r="D116" i="2106"/>
  <c r="E116" i="2106" s="1"/>
  <c r="D99" i="2106"/>
  <c r="E99" i="2106" s="1"/>
  <c r="D88" i="2106"/>
  <c r="E88" i="2106" s="1"/>
  <c r="D66" i="2106"/>
  <c r="E66" i="2106" s="1"/>
  <c r="D317" i="2106"/>
  <c r="E317" i="2106" s="1"/>
  <c r="D309" i="2106"/>
  <c r="E309" i="2106" s="1"/>
  <c r="D289" i="2106"/>
  <c r="E289" i="2106" s="1"/>
  <c r="D277" i="2106"/>
  <c r="E277" i="2106" s="1"/>
  <c r="D240" i="2106"/>
  <c r="E240" i="2106" s="1"/>
  <c r="D224" i="2106"/>
  <c r="E224" i="2106" s="1"/>
  <c r="D208" i="2106"/>
  <c r="E208" i="2106" s="1"/>
  <c r="D192" i="2106"/>
  <c r="E192" i="2106" s="1"/>
  <c r="D149" i="2106"/>
  <c r="E149" i="2106" s="1"/>
  <c r="D145" i="2106"/>
  <c r="E145" i="2106" s="1"/>
  <c r="D83" i="2106"/>
  <c r="E83" i="2106" s="1"/>
  <c r="D41" i="2106"/>
  <c r="E41" i="2106" s="1"/>
  <c r="D55" i="2106"/>
  <c r="E55" i="2106" s="1"/>
  <c r="D71" i="2106"/>
  <c r="E71" i="2106" s="1"/>
  <c r="C13" i="2108"/>
  <c r="C14" i="2108" s="1"/>
  <c r="C15" i="2108" s="1"/>
  <c r="C16" i="2108" s="1"/>
  <c r="C17" i="2108" s="1"/>
  <c r="C18" i="2108" s="1"/>
  <c r="C19" i="2108" s="1"/>
  <c r="C20" i="2108" s="1"/>
  <c r="C21" i="2108" s="1"/>
  <c r="C22" i="2108" s="1"/>
  <c r="C23" i="2108" s="1"/>
  <c r="C24" i="2108" s="1"/>
  <c r="C25" i="2108" s="1"/>
  <c r="C26" i="2108" s="1"/>
  <c r="C27" i="2108" s="1"/>
  <c r="C28" i="2108" s="1"/>
  <c r="C29" i="2108" s="1"/>
  <c r="C30" i="2108" s="1"/>
  <c r="C31" i="2108" s="1"/>
  <c r="C32" i="2108" s="1"/>
  <c r="C33" i="2108" s="1"/>
  <c r="C34" i="2108" s="1"/>
  <c r="C35" i="2108" s="1"/>
  <c r="C36" i="2108" s="1"/>
  <c r="C37" i="2108" s="1"/>
  <c r="C38" i="2108" s="1"/>
  <c r="C39" i="2108" s="1"/>
  <c r="C40" i="2108" s="1"/>
  <c r="C41" i="2108" s="1"/>
  <c r="C42" i="2108" s="1"/>
  <c r="C43" i="2108" s="1"/>
  <c r="C44" i="2108" s="1"/>
  <c r="C45" i="2108" s="1"/>
  <c r="C46" i="2108" s="1"/>
  <c r="C47" i="2108" s="1"/>
  <c r="C48" i="2108" s="1"/>
  <c r="C49" i="2108" s="1"/>
  <c r="C50" i="2108" s="1"/>
  <c r="C51" i="2108" s="1"/>
  <c r="C52" i="2108" s="1"/>
  <c r="C53" i="2108" s="1"/>
  <c r="C54" i="2108" s="1"/>
  <c r="C55" i="2108" s="1"/>
  <c r="C56" i="2108" s="1"/>
  <c r="C57" i="2108" s="1"/>
  <c r="C58" i="2108" s="1"/>
  <c r="C59" i="2108" s="1"/>
  <c r="C60" i="2108" s="1"/>
  <c r="C61" i="2108" s="1"/>
  <c r="C62" i="2108" s="1"/>
  <c r="C63" i="2108" s="1"/>
  <c r="C64" i="2108" s="1"/>
  <c r="C65" i="2108" s="1"/>
  <c r="C66" i="2108" s="1"/>
  <c r="C67" i="2108" s="1"/>
  <c r="C68" i="2108" s="1"/>
  <c r="C69" i="2108" s="1"/>
  <c r="C70" i="2108" s="1"/>
  <c r="C71" i="2108" s="1"/>
  <c r="C72" i="2108" s="1"/>
  <c r="C73" i="2108" s="1"/>
  <c r="C74" i="2108" s="1"/>
  <c r="C75" i="2108" s="1"/>
  <c r="C76" i="2108" s="1"/>
  <c r="C77" i="2108" s="1"/>
  <c r="C78" i="2108" s="1"/>
  <c r="C79" i="2108" s="1"/>
  <c r="C80" i="2108" s="1"/>
  <c r="C81" i="2108" s="1"/>
  <c r="C82" i="2108" s="1"/>
  <c r="C83" i="2108" s="1"/>
  <c r="C84" i="2108" s="1"/>
  <c r="C85" i="2108" s="1"/>
  <c r="C86" i="2108" s="1"/>
  <c r="C87" i="2108" s="1"/>
  <c r="C88" i="2108" s="1"/>
  <c r="C89" i="2108" s="1"/>
  <c r="C90" i="2108" s="1"/>
  <c r="C91" i="2108" s="1"/>
  <c r="C92" i="2108" s="1"/>
  <c r="C93" i="2108" s="1"/>
  <c r="C94" i="2108" s="1"/>
  <c r="C95" i="2108" s="1"/>
  <c r="C96" i="2108" s="1"/>
  <c r="C97" i="2108" s="1"/>
  <c r="C98" i="2108" s="1"/>
  <c r="C99" i="2108" s="1"/>
  <c r="C100" i="2108" s="1"/>
  <c r="C101" i="2108" s="1"/>
  <c r="C102" i="2108" s="1"/>
  <c r="C103" i="2108" s="1"/>
  <c r="C104" i="2108" s="1"/>
  <c r="C105" i="2108" s="1"/>
  <c r="C106" i="2108" s="1"/>
  <c r="C107" i="2108" s="1"/>
  <c r="C108" i="2108" s="1"/>
  <c r="C109" i="2108" s="1"/>
  <c r="C110" i="2108" s="1"/>
  <c r="C111" i="2108" s="1"/>
  <c r="C12" i="2117"/>
  <c r="C13" i="2117" s="1"/>
  <c r="C14" i="2117" s="1"/>
  <c r="C15" i="2117" s="1"/>
  <c r="C16" i="2117" s="1"/>
  <c r="C17" i="2117" s="1"/>
  <c r="C18" i="2117" s="1"/>
  <c r="C19" i="2117" s="1"/>
  <c r="C20" i="2117" s="1"/>
  <c r="C21" i="2117" s="1"/>
  <c r="C22" i="2117" s="1"/>
  <c r="C23" i="2117" s="1"/>
  <c r="C24" i="2117" s="1"/>
  <c r="C25" i="2117" s="1"/>
  <c r="C26" i="2117" s="1"/>
  <c r="C27" i="2117" s="1"/>
  <c r="C28" i="2117" s="1"/>
  <c r="C29" i="2117" s="1"/>
  <c r="C30" i="2117" s="1"/>
  <c r="C31" i="2117" s="1"/>
  <c r="C32" i="2117" s="1"/>
  <c r="C33" i="2117" s="1"/>
  <c r="C34" i="2117" s="1"/>
  <c r="C35" i="2117" s="1"/>
  <c r="C36" i="2117" s="1"/>
  <c r="C37" i="2117" s="1"/>
  <c r="C38" i="2117" s="1"/>
  <c r="C39" i="2117" s="1"/>
  <c r="C40" i="2117" s="1"/>
  <c r="C41" i="2117" s="1"/>
  <c r="C42" i="2117" s="1"/>
  <c r="C43" i="2117" s="1"/>
  <c r="C44" i="2117" s="1"/>
  <c r="C45" i="2117" s="1"/>
  <c r="C46" i="2117" s="1"/>
  <c r="C47" i="2117" s="1"/>
  <c r="C48" i="2117" s="1"/>
  <c r="C49" i="2117" s="1"/>
  <c r="C50" i="2117" s="1"/>
  <c r="C51" i="2117" s="1"/>
  <c r="C52" i="2117" s="1"/>
  <c r="C53" i="2117" s="1"/>
  <c r="C54" i="2117" s="1"/>
  <c r="C55" i="2117" s="1"/>
  <c r="C56" i="2117" s="1"/>
  <c r="C57" i="2117" s="1"/>
  <c r="C58" i="2117" s="1"/>
  <c r="C59" i="2117" s="1"/>
  <c r="C60" i="2117" s="1"/>
  <c r="C61" i="2117" s="1"/>
  <c r="C62" i="2117" s="1"/>
  <c r="C63" i="2117" s="1"/>
  <c r="C64" i="2117" s="1"/>
  <c r="C65" i="2117" s="1"/>
  <c r="C66" i="2117" s="1"/>
  <c r="C67" i="2117" s="1"/>
  <c r="C68" i="2117" s="1"/>
  <c r="C69" i="2117" s="1"/>
  <c r="C70" i="2117" s="1"/>
  <c r="C71" i="2117" s="1"/>
  <c r="C72" i="2117" s="1"/>
  <c r="C73" i="2117" s="1"/>
  <c r="C74" i="2117" s="1"/>
  <c r="C75" i="2117" s="1"/>
  <c r="C76" i="2117" s="1"/>
  <c r="C77" i="2117" s="1"/>
  <c r="C78" i="2117" s="1"/>
  <c r="C79" i="2117" s="1"/>
  <c r="C80" i="2117" s="1"/>
  <c r="C81" i="2117" s="1"/>
  <c r="C82" i="2117" s="1"/>
  <c r="C83" i="2117" s="1"/>
  <c r="C84" i="2117" s="1"/>
  <c r="C85" i="2117" s="1"/>
  <c r="C86" i="2117" s="1"/>
  <c r="C87" i="2117" s="1"/>
  <c r="C88" i="2117" s="1"/>
  <c r="C89" i="2117" s="1"/>
  <c r="C90" i="2117" s="1"/>
  <c r="C91" i="2117" s="1"/>
  <c r="C92" i="2117" s="1"/>
  <c r="C93" i="2117" s="1"/>
  <c r="C94" i="2117" s="1"/>
  <c r="C95" i="2117" s="1"/>
  <c r="C96" i="2117" s="1"/>
  <c r="C97" i="2117" s="1"/>
  <c r="C98" i="2117" s="1"/>
  <c r="C99" i="2117" s="1"/>
  <c r="C100" i="2117" s="1"/>
  <c r="C101" i="2117" s="1"/>
  <c r="C102" i="2117" s="1"/>
  <c r="C103" i="2117" s="1"/>
  <c r="C104" i="2117" s="1"/>
  <c r="C105" i="2117" s="1"/>
  <c r="C106" i="2117" s="1"/>
  <c r="C107" i="2117" s="1"/>
  <c r="C108" i="2117" s="1"/>
  <c r="C109" i="2117" s="1"/>
  <c r="C110" i="2117" s="1"/>
  <c r="D11" i="2117"/>
  <c r="D79" i="2106"/>
  <c r="E79" i="2106" s="1"/>
  <c r="D39" i="2106"/>
  <c r="E39" i="2106" s="1"/>
  <c r="D300" i="2106"/>
  <c r="E300" i="2106" s="1"/>
  <c r="D123" i="2106"/>
  <c r="E123" i="2106" s="1"/>
  <c r="D101" i="2106"/>
  <c r="E101" i="2106" s="1"/>
  <c r="D78" i="2106"/>
  <c r="E78" i="2106" s="1"/>
  <c r="D45" i="2106"/>
  <c r="E45" i="2106" s="1"/>
  <c r="D310" i="2106"/>
  <c r="E310" i="2106" s="1"/>
  <c r="D56" i="2106"/>
  <c r="E56" i="2106" s="1"/>
  <c r="D314" i="2106"/>
  <c r="E314" i="2106" s="1"/>
  <c r="D304" i="2106"/>
  <c r="E304" i="2106" s="1"/>
  <c r="D73" i="2106"/>
  <c r="E73" i="2106" s="1"/>
  <c r="D69" i="2106"/>
  <c r="E69" i="2106" s="1"/>
  <c r="D288" i="2106"/>
  <c r="E288" i="2106" s="1"/>
  <c r="D298" i="2106"/>
  <c r="E298" i="2106" s="1"/>
  <c r="D284" i="2106"/>
  <c r="E284" i="2106" s="1"/>
  <c r="D294" i="2106"/>
  <c r="E294" i="2106" s="1"/>
  <c r="D332" i="2106"/>
  <c r="E332" i="2106" s="1"/>
  <c r="D278" i="2106"/>
  <c r="E278" i="2106" s="1"/>
  <c r="D268" i="2106"/>
  <c r="E268" i="2106" s="1"/>
  <c r="D137" i="2106"/>
  <c r="E137" i="2106" s="1"/>
  <c r="D330" i="2106"/>
  <c r="E330" i="2106" s="1"/>
  <c r="D320" i="2106"/>
  <c r="E320" i="2106" s="1"/>
  <c r="D266" i="2106"/>
  <c r="E266" i="2106" s="1"/>
  <c r="D256" i="2106"/>
  <c r="E256" i="2106" s="1"/>
  <c r="D326" i="2106"/>
  <c r="E326" i="2106" s="1"/>
  <c r="D316" i="2106"/>
  <c r="E316" i="2106" s="1"/>
  <c r="D262" i="2106"/>
  <c r="E262" i="2106" s="1"/>
  <c r="D61" i="2106"/>
  <c r="E61" i="2106" s="1"/>
  <c r="D336" i="2106"/>
  <c r="E336" i="2106" s="1"/>
  <c r="D282" i="2106"/>
  <c r="E282" i="2106" s="1"/>
  <c r="D272" i="2106"/>
  <c r="E272" i="2106" s="1"/>
  <c r="D132" i="2106"/>
  <c r="E132" i="2106" s="1"/>
  <c r="D52" i="2106"/>
  <c r="E52" i="2106" s="1"/>
  <c r="D46" i="2106"/>
  <c r="E46" i="2106" s="1"/>
  <c r="D324" i="2106"/>
  <c r="E324" i="2106" s="1"/>
  <c r="D308" i="2106"/>
  <c r="E308" i="2106" s="1"/>
  <c r="D292" i="2106"/>
  <c r="E292" i="2106" s="1"/>
  <c r="D276" i="2106"/>
  <c r="E276" i="2106" s="1"/>
  <c r="D260" i="2106"/>
  <c r="E260" i="2106" s="1"/>
  <c r="D96" i="2106"/>
  <c r="E96" i="2106" s="1"/>
  <c r="D322" i="2106"/>
  <c r="E322" i="2106" s="1"/>
  <c r="D306" i="2106"/>
  <c r="E306" i="2106" s="1"/>
  <c r="D290" i="2106"/>
  <c r="E290" i="2106" s="1"/>
  <c r="D274" i="2106"/>
  <c r="E274" i="2106" s="1"/>
  <c r="D258" i="2106"/>
  <c r="E258" i="2106" s="1"/>
  <c r="D135" i="2106"/>
  <c r="E135" i="2106" s="1"/>
  <c r="G12" i="2108"/>
  <c r="F12" i="2108"/>
  <c r="H12" i="2108" s="1"/>
  <c r="D328" i="2106"/>
  <c r="E328" i="2106" s="1"/>
  <c r="D312" i="2106"/>
  <c r="E312" i="2106" s="1"/>
  <c r="D296" i="2106"/>
  <c r="E296" i="2106" s="1"/>
  <c r="D280" i="2106"/>
  <c r="E280" i="2106" s="1"/>
  <c r="D264" i="2106"/>
  <c r="E264" i="2106" s="1"/>
  <c r="D134" i="2106"/>
  <c r="E134" i="2106" s="1"/>
  <c r="D127" i="2106"/>
  <c r="E127" i="2106" s="1"/>
  <c r="D59" i="2106"/>
  <c r="E59" i="2106" s="1"/>
  <c r="D334" i="2106"/>
  <c r="E334" i="2106" s="1"/>
  <c r="D318" i="2106"/>
  <c r="E318" i="2106" s="1"/>
  <c r="D302" i="2106"/>
  <c r="E302" i="2106" s="1"/>
  <c r="D286" i="2106"/>
  <c r="E286" i="2106" s="1"/>
  <c r="D270" i="2106"/>
  <c r="E270" i="2106" s="1"/>
  <c r="D147" i="2106"/>
  <c r="E147" i="2106" s="1"/>
  <c r="D126" i="2106"/>
  <c r="E126" i="2106" s="1"/>
  <c r="D117" i="2106"/>
  <c r="E117" i="2106" s="1"/>
  <c r="D133" i="2106"/>
  <c r="E133" i="2106" s="1"/>
  <c r="D94" i="2106"/>
  <c r="E94" i="2106" s="1"/>
  <c r="D53" i="2106"/>
  <c r="E53" i="2106" s="1"/>
  <c r="D110" i="2106"/>
  <c r="E110" i="2106" s="1"/>
  <c r="D85" i="2106"/>
  <c r="E85" i="2106" s="1"/>
  <c r="D62" i="2106"/>
  <c r="E62" i="2106" s="1"/>
  <c r="E14" i="2105"/>
  <c r="C35" i="2106" l="1"/>
  <c r="I17" i="2101"/>
  <c r="I16" i="2101"/>
  <c r="I15" i="2101"/>
  <c r="G110" i="2119"/>
  <c r="F110" i="2119"/>
  <c r="D110" i="2118"/>
  <c r="H109" i="2118"/>
  <c r="E35" i="2106"/>
  <c r="D13" i="2108"/>
  <c r="L15" i="2101"/>
  <c r="G11" i="2117"/>
  <c r="F11" i="2117"/>
  <c r="D111" i="2119" l="1"/>
  <c r="H110" i="2119"/>
  <c r="G110" i="2118"/>
  <c r="F110" i="2118"/>
  <c r="H11" i="2116"/>
  <c r="D12" i="2116"/>
  <c r="H11" i="2117"/>
  <c r="D12" i="2117"/>
  <c r="G35" i="2106"/>
  <c r="F13" i="2108"/>
  <c r="G13" i="2108"/>
  <c r="G111" i="2119" l="1"/>
  <c r="D6" i="2119" s="1"/>
  <c r="F111" i="2119"/>
  <c r="H111" i="2119" s="1"/>
  <c r="D7" i="2119" s="1"/>
  <c r="D111" i="2118"/>
  <c r="H110" i="2118"/>
  <c r="F12" i="2117"/>
  <c r="G12" i="2117"/>
  <c r="D14" i="2108"/>
  <c r="H13" i="2108"/>
  <c r="G12" i="2116"/>
  <c r="F12" i="2116"/>
  <c r="G111" i="2118" l="1"/>
  <c r="D6" i="2118" s="1"/>
  <c r="F111" i="2118"/>
  <c r="H111" i="2118" s="1"/>
  <c r="D7" i="2118" s="1"/>
  <c r="D13" i="2116"/>
  <c r="H12" i="2116"/>
  <c r="D13" i="2117"/>
  <c r="H12" i="2117"/>
  <c r="G14" i="2108"/>
  <c r="F14" i="2108"/>
  <c r="D15" i="2108" l="1"/>
  <c r="H14" i="2108"/>
  <c r="G13" i="2116"/>
  <c r="F13" i="2116"/>
  <c r="G13" i="2117"/>
  <c r="F13" i="2117"/>
  <c r="G15" i="2108" l="1"/>
  <c r="F15" i="2108"/>
  <c r="H13" i="2117"/>
  <c r="D14" i="2117"/>
  <c r="D14" i="2116"/>
  <c r="H13" i="2116"/>
  <c r="F14" i="2117" l="1"/>
  <c r="G14" i="2117"/>
  <c r="G14" i="2116"/>
  <c r="F14" i="2116"/>
  <c r="D16" i="2108"/>
  <c r="H15" i="2108"/>
  <c r="G16" i="2108" l="1"/>
  <c r="F16" i="2108"/>
  <c r="D15" i="2116"/>
  <c r="H14" i="2116"/>
  <c r="D15" i="2117"/>
  <c r="H14" i="2117"/>
  <c r="F15" i="2116" l="1"/>
  <c r="G15" i="2116"/>
  <c r="F15" i="2117"/>
  <c r="G15" i="2117"/>
  <c r="H16" i="2108"/>
  <c r="D17" i="2108"/>
  <c r="F17" i="2108" l="1"/>
  <c r="G17" i="2108"/>
  <c r="D16" i="2117"/>
  <c r="H15" i="2117"/>
  <c r="D16" i="2116"/>
  <c r="H15" i="2116"/>
  <c r="D18" i="2108" l="1"/>
  <c r="H17" i="2108"/>
  <c r="G16" i="2116"/>
  <c r="F16" i="2116"/>
  <c r="F16" i="2117"/>
  <c r="G16" i="2117"/>
  <c r="D17" i="2116" l="1"/>
  <c r="H16" i="2116"/>
  <c r="D17" i="2117"/>
  <c r="H16" i="2117"/>
  <c r="G18" i="2108"/>
  <c r="F18" i="2108"/>
  <c r="G17" i="2117" l="1"/>
  <c r="F17" i="2117"/>
  <c r="D19" i="2108"/>
  <c r="H18" i="2108"/>
  <c r="G17" i="2116"/>
  <c r="F17" i="2116"/>
  <c r="H17" i="2117" l="1"/>
  <c r="D18" i="2117"/>
  <c r="H17" i="2116"/>
  <c r="D18" i="2116"/>
  <c r="G19" i="2108"/>
  <c r="F19" i="2108"/>
  <c r="D20" i="2108" l="1"/>
  <c r="H19" i="2108"/>
  <c r="G18" i="2116"/>
  <c r="F18" i="2116"/>
  <c r="F18" i="2117"/>
  <c r="G18" i="2117"/>
  <c r="H18" i="2117" l="1"/>
  <c r="D19" i="2117"/>
  <c r="D19" i="2116"/>
  <c r="H18" i="2116"/>
  <c r="G20" i="2108"/>
  <c r="F20" i="2108"/>
  <c r="F19" i="2117" l="1"/>
  <c r="G19" i="2117"/>
  <c r="F19" i="2116"/>
  <c r="G19" i="2116"/>
  <c r="H20" i="2108"/>
  <c r="D21" i="2108"/>
  <c r="F21" i="2108" l="1"/>
  <c r="G21" i="2108"/>
  <c r="H19" i="2116"/>
  <c r="D20" i="2116"/>
  <c r="H19" i="2117"/>
  <c r="D20" i="2117"/>
  <c r="F20" i="2117" l="1"/>
  <c r="G20" i="2117"/>
  <c r="G20" i="2116"/>
  <c r="F20" i="2116"/>
  <c r="D22" i="2108"/>
  <c r="H21" i="2108"/>
  <c r="G22" i="2108" l="1"/>
  <c r="F22" i="2108"/>
  <c r="D21" i="2116"/>
  <c r="H20" i="2116"/>
  <c r="H20" i="2117"/>
  <c r="D21" i="2117"/>
  <c r="G21" i="2117" l="1"/>
  <c r="F21" i="2117"/>
  <c r="G21" i="2116"/>
  <c r="F21" i="2116"/>
  <c r="D23" i="2108"/>
  <c r="H22" i="2108"/>
  <c r="D22" i="2116" l="1"/>
  <c r="H21" i="2116"/>
  <c r="G23" i="2108"/>
  <c r="F23" i="2108"/>
  <c r="D22" i="2117"/>
  <c r="H21" i="2117"/>
  <c r="D24" i="2108" l="1"/>
  <c r="H23" i="2108"/>
  <c r="F22" i="2117"/>
  <c r="G22" i="2117"/>
  <c r="G22" i="2116"/>
  <c r="F22" i="2116"/>
  <c r="H22" i="2117" l="1"/>
  <c r="D23" i="2117"/>
  <c r="D23" i="2116"/>
  <c r="H22" i="2116"/>
  <c r="G24" i="2108"/>
  <c r="F24" i="2108"/>
  <c r="F23" i="2117" l="1"/>
  <c r="G23" i="2117"/>
  <c r="F23" i="2116"/>
  <c r="G23" i="2116"/>
  <c r="H24" i="2108"/>
  <c r="D25" i="2108"/>
  <c r="F25" i="2108" l="1"/>
  <c r="G25" i="2108"/>
  <c r="H23" i="2116"/>
  <c r="D24" i="2116"/>
  <c r="D24" i="2117"/>
  <c r="H23" i="2117"/>
  <c r="G24" i="2116" l="1"/>
  <c r="F24" i="2116"/>
  <c r="G24" i="2117"/>
  <c r="F24" i="2117"/>
  <c r="D26" i="2108"/>
  <c r="H25" i="2108"/>
  <c r="D25" i="2117" l="1"/>
  <c r="H24" i="2117"/>
  <c r="G26" i="2108"/>
  <c r="F26" i="2108"/>
  <c r="D25" i="2116"/>
  <c r="H24" i="2116"/>
  <c r="D27" i="2108" l="1"/>
  <c r="H26" i="2108"/>
  <c r="G25" i="2117"/>
  <c r="F25" i="2117"/>
  <c r="G25" i="2116"/>
  <c r="F25" i="2116"/>
  <c r="D26" i="2117" l="1"/>
  <c r="H25" i="2117"/>
  <c r="H25" i="2116"/>
  <c r="D26" i="2116"/>
  <c r="G27" i="2108"/>
  <c r="F27" i="2108"/>
  <c r="D28" i="2108" l="1"/>
  <c r="H27" i="2108"/>
  <c r="F26" i="2117"/>
  <c r="G26" i="2117"/>
  <c r="G26" i="2116"/>
  <c r="F26" i="2116"/>
  <c r="D27" i="2117" l="1"/>
  <c r="H26" i="2117"/>
  <c r="G28" i="2108"/>
  <c r="F28" i="2108"/>
  <c r="D27" i="2116"/>
  <c r="H26" i="2116"/>
  <c r="H28" i="2108" l="1"/>
  <c r="D29" i="2108"/>
  <c r="F27" i="2117"/>
  <c r="G27" i="2117"/>
  <c r="F27" i="2116"/>
  <c r="G27" i="2116"/>
  <c r="H27" i="2117" l="1"/>
  <c r="D28" i="2117"/>
  <c r="F29" i="2108"/>
  <c r="G29" i="2108"/>
  <c r="H27" i="2116"/>
  <c r="D28" i="2116"/>
  <c r="D30" i="2108" l="1"/>
  <c r="H29" i="2108"/>
  <c r="G28" i="2116"/>
  <c r="F28" i="2116"/>
  <c r="G28" i="2117"/>
  <c r="F28" i="2117"/>
  <c r="G30" i="2108" l="1"/>
  <c r="F30" i="2108"/>
  <c r="H28" i="2117"/>
  <c r="D29" i="2117"/>
  <c r="D29" i="2116"/>
  <c r="H28" i="2116"/>
  <c r="D31" i="2108" l="1"/>
  <c r="H30" i="2108"/>
  <c r="G29" i="2117"/>
  <c r="F29" i="2117"/>
  <c r="G29" i="2116"/>
  <c r="F29" i="2116"/>
  <c r="H29" i="2117" l="1"/>
  <c r="D30" i="2117"/>
  <c r="D30" i="2116"/>
  <c r="H29" i="2116"/>
  <c r="G31" i="2108"/>
  <c r="F31" i="2108"/>
  <c r="G30" i="2116" l="1"/>
  <c r="F30" i="2116"/>
  <c r="F30" i="2117"/>
  <c r="G30" i="2117"/>
  <c r="D32" i="2108"/>
  <c r="H31" i="2108"/>
  <c r="G32" i="2108" l="1"/>
  <c r="F32" i="2108"/>
  <c r="D31" i="2117"/>
  <c r="H30" i="2117"/>
  <c r="H30" i="2116"/>
  <c r="D31" i="2116"/>
  <c r="F31" i="2116" l="1"/>
  <c r="G31" i="2116"/>
  <c r="G31" i="2117"/>
  <c r="F31" i="2117"/>
  <c r="H32" i="2108"/>
  <c r="D33" i="2108"/>
  <c r="H31" i="2117" l="1"/>
  <c r="D32" i="2117"/>
  <c r="F33" i="2108"/>
  <c r="G33" i="2108"/>
  <c r="H31" i="2116"/>
  <c r="D32" i="2116"/>
  <c r="G32" i="2116" l="1"/>
  <c r="F32" i="2116"/>
  <c r="D34" i="2108"/>
  <c r="H33" i="2108"/>
  <c r="F32" i="2117"/>
  <c r="G32" i="2117"/>
  <c r="G34" i="2108" l="1"/>
  <c r="F34" i="2108"/>
  <c r="D33" i="2116"/>
  <c r="H32" i="2116"/>
  <c r="D33" i="2117"/>
  <c r="H32" i="2117"/>
  <c r="H34" i="2108" l="1"/>
  <c r="D35" i="2108"/>
  <c r="G33" i="2117"/>
  <c r="F33" i="2117"/>
  <c r="G33" i="2116"/>
  <c r="F33" i="2116"/>
  <c r="D34" i="2117" l="1"/>
  <c r="H33" i="2117"/>
  <c r="G35" i="2108"/>
  <c r="F35" i="2108"/>
  <c r="H33" i="2116"/>
  <c r="D34" i="2116"/>
  <c r="D36" i="2108" l="1"/>
  <c r="H35" i="2108"/>
  <c r="G34" i="2116"/>
  <c r="F34" i="2116"/>
  <c r="F34" i="2117"/>
  <c r="G34" i="2117"/>
  <c r="G36" i="2108" l="1"/>
  <c r="F36" i="2108"/>
  <c r="H34" i="2117"/>
  <c r="D35" i="2117"/>
  <c r="D35" i="2116"/>
  <c r="H34" i="2116"/>
  <c r="F35" i="2117" l="1"/>
  <c r="G35" i="2117"/>
  <c r="H36" i="2108"/>
  <c r="D37" i="2108"/>
  <c r="F35" i="2116"/>
  <c r="G35" i="2116"/>
  <c r="F37" i="2108" l="1"/>
  <c r="G37" i="2108"/>
  <c r="H35" i="2117"/>
  <c r="D36" i="2117"/>
  <c r="H35" i="2116"/>
  <c r="D36" i="2116"/>
  <c r="G36" i="2117" l="1"/>
  <c r="F36" i="2117"/>
  <c r="G36" i="2116"/>
  <c r="F36" i="2116"/>
  <c r="H37" i="2108"/>
  <c r="D38" i="2108"/>
  <c r="D37" i="2116" l="1"/>
  <c r="H36" i="2116"/>
  <c r="F38" i="2108"/>
  <c r="G38" i="2108"/>
  <c r="D37" i="2117"/>
  <c r="H36" i="2117"/>
  <c r="H38" i="2108" l="1"/>
  <c r="D39" i="2108"/>
  <c r="G37" i="2116"/>
  <c r="F37" i="2116"/>
  <c r="G37" i="2117"/>
  <c r="F37" i="2117"/>
  <c r="D38" i="2116" l="1"/>
  <c r="H37" i="2116"/>
  <c r="H37" i="2117"/>
  <c r="D38" i="2117"/>
  <c r="G39" i="2108"/>
  <c r="F39" i="2108"/>
  <c r="D40" i="2108" l="1"/>
  <c r="H39" i="2108"/>
  <c r="F38" i="2117"/>
  <c r="G38" i="2117"/>
  <c r="G38" i="2116"/>
  <c r="F38" i="2116"/>
  <c r="H38" i="2117" l="1"/>
  <c r="D39" i="2117"/>
  <c r="D39" i="2116"/>
  <c r="H38" i="2116"/>
  <c r="G40" i="2108"/>
  <c r="F40" i="2108"/>
  <c r="F39" i="2116" l="1"/>
  <c r="G39" i="2116"/>
  <c r="H40" i="2108"/>
  <c r="D41" i="2108"/>
  <c r="G39" i="2117"/>
  <c r="F39" i="2117"/>
  <c r="F41" i="2108" l="1"/>
  <c r="G41" i="2108"/>
  <c r="D40" i="2117"/>
  <c r="H39" i="2117"/>
  <c r="D40" i="2116"/>
  <c r="H39" i="2116"/>
  <c r="G40" i="2117" l="1"/>
  <c r="F40" i="2117"/>
  <c r="D42" i="2108"/>
  <c r="H41" i="2108"/>
  <c r="G40" i="2116"/>
  <c r="F40" i="2116"/>
  <c r="D41" i="2116" l="1"/>
  <c r="H40" i="2116"/>
  <c r="F42" i="2108"/>
  <c r="G42" i="2108"/>
  <c r="H40" i="2117"/>
  <c r="D41" i="2117"/>
  <c r="G41" i="2117" l="1"/>
  <c r="F41" i="2117"/>
  <c r="H42" i="2108"/>
  <c r="D43" i="2108"/>
  <c r="G41" i="2116"/>
  <c r="F41" i="2116"/>
  <c r="G43" i="2108" l="1"/>
  <c r="F43" i="2108"/>
  <c r="D42" i="2117"/>
  <c r="H41" i="2117"/>
  <c r="H41" i="2116"/>
  <c r="D42" i="2116"/>
  <c r="G42" i="2116" l="1"/>
  <c r="F42" i="2116"/>
  <c r="F42" i="2117"/>
  <c r="G42" i="2117"/>
  <c r="D44" i="2108"/>
  <c r="H43" i="2108"/>
  <c r="G44" i="2108" l="1"/>
  <c r="F44" i="2108"/>
  <c r="D43" i="2117"/>
  <c r="H42" i="2117"/>
  <c r="H42" i="2116"/>
  <c r="D43" i="2116"/>
  <c r="F43" i="2116" l="1"/>
  <c r="G43" i="2116"/>
  <c r="G43" i="2117"/>
  <c r="F43" i="2117"/>
  <c r="D45" i="2108"/>
  <c r="H44" i="2108"/>
  <c r="F45" i="2108" l="1"/>
  <c r="G45" i="2108"/>
  <c r="H43" i="2117"/>
  <c r="D44" i="2117"/>
  <c r="H43" i="2116"/>
  <c r="D44" i="2116"/>
  <c r="F44" i="2117" l="1"/>
  <c r="G44" i="2117"/>
  <c r="G44" i="2116"/>
  <c r="F44" i="2116"/>
  <c r="H45" i="2108"/>
  <c r="D46" i="2108"/>
  <c r="D45" i="2116" l="1"/>
  <c r="H44" i="2116"/>
  <c r="F46" i="2108"/>
  <c r="G46" i="2108"/>
  <c r="D45" i="2117"/>
  <c r="H44" i="2117"/>
  <c r="H46" i="2108" l="1"/>
  <c r="D47" i="2108"/>
  <c r="G45" i="2117"/>
  <c r="F45" i="2117"/>
  <c r="G45" i="2116"/>
  <c r="F45" i="2116"/>
  <c r="D46" i="2117" l="1"/>
  <c r="H45" i="2117"/>
  <c r="D46" i="2116"/>
  <c r="H45" i="2116"/>
  <c r="G47" i="2108"/>
  <c r="F47" i="2108"/>
  <c r="G46" i="2116" l="1"/>
  <c r="F46" i="2116"/>
  <c r="D48" i="2108"/>
  <c r="H47" i="2108"/>
  <c r="F46" i="2117"/>
  <c r="G46" i="2117"/>
  <c r="G48" i="2108" l="1"/>
  <c r="F48" i="2108"/>
  <c r="D47" i="2116"/>
  <c r="H46" i="2116"/>
  <c r="H46" i="2117"/>
  <c r="D47" i="2117"/>
  <c r="F47" i="2116" l="1"/>
  <c r="G47" i="2116"/>
  <c r="F47" i="2117"/>
  <c r="G47" i="2117"/>
  <c r="H48" i="2108"/>
  <c r="D49" i="2108"/>
  <c r="D48" i="2117" l="1"/>
  <c r="H47" i="2117"/>
  <c r="F49" i="2108"/>
  <c r="G49" i="2108"/>
  <c r="D48" i="2116"/>
  <c r="H47" i="2116"/>
  <c r="D50" i="2108" l="1"/>
  <c r="H49" i="2108"/>
  <c r="G48" i="2116"/>
  <c r="F48" i="2116"/>
  <c r="G48" i="2117"/>
  <c r="F48" i="2117"/>
  <c r="D49" i="2117" l="1"/>
  <c r="H48" i="2117"/>
  <c r="D49" i="2116"/>
  <c r="H48" i="2116"/>
  <c r="G50" i="2108"/>
  <c r="F50" i="2108"/>
  <c r="G49" i="2116" l="1"/>
  <c r="F49" i="2116"/>
  <c r="H50" i="2108"/>
  <c r="D51" i="2108"/>
  <c r="G49" i="2117"/>
  <c r="F49" i="2117"/>
  <c r="G51" i="2108" l="1"/>
  <c r="F51" i="2108"/>
  <c r="H49" i="2116"/>
  <c r="D50" i="2116"/>
  <c r="H49" i="2117"/>
  <c r="D50" i="2117"/>
  <c r="F50" i="2117" l="1"/>
  <c r="G50" i="2117"/>
  <c r="G50" i="2116"/>
  <c r="F50" i="2116"/>
  <c r="H51" i="2108"/>
  <c r="D52" i="2108"/>
  <c r="D51" i="2116" l="1"/>
  <c r="H50" i="2116"/>
  <c r="G52" i="2108"/>
  <c r="F52" i="2108"/>
  <c r="D51" i="2117"/>
  <c r="H50" i="2117"/>
  <c r="H52" i="2108" l="1"/>
  <c r="D53" i="2108"/>
  <c r="G51" i="2117"/>
  <c r="F51" i="2117"/>
  <c r="F51" i="2116"/>
  <c r="G51" i="2116"/>
  <c r="H51" i="2117" l="1"/>
  <c r="D52" i="2117"/>
  <c r="F53" i="2108"/>
  <c r="G53" i="2108"/>
  <c r="H51" i="2116"/>
  <c r="D52" i="2116"/>
  <c r="D54" i="2108" l="1"/>
  <c r="H53" i="2108"/>
  <c r="F52" i="2117"/>
  <c r="G52" i="2117"/>
  <c r="G52" i="2116"/>
  <c r="F52" i="2116"/>
  <c r="D53" i="2116" l="1"/>
  <c r="H52" i="2116"/>
  <c r="D53" i="2117"/>
  <c r="H52" i="2117"/>
  <c r="G54" i="2108"/>
  <c r="F54" i="2108"/>
  <c r="G53" i="2117" l="1"/>
  <c r="F53" i="2117"/>
  <c r="D55" i="2108"/>
  <c r="H54" i="2108"/>
  <c r="G53" i="2116"/>
  <c r="F53" i="2116"/>
  <c r="G55" i="2108" l="1"/>
  <c r="F55" i="2108"/>
  <c r="D54" i="2117"/>
  <c r="H53" i="2117"/>
  <c r="D54" i="2116"/>
  <c r="H53" i="2116"/>
  <c r="G54" i="2116" l="1"/>
  <c r="F54" i="2116"/>
  <c r="F54" i="2117"/>
  <c r="G54" i="2117"/>
  <c r="D56" i="2108"/>
  <c r="H55" i="2108"/>
  <c r="G56" i="2108" l="1"/>
  <c r="F56" i="2108"/>
  <c r="H54" i="2117"/>
  <c r="D55" i="2117"/>
  <c r="D55" i="2116"/>
  <c r="H54" i="2116"/>
  <c r="F55" i="2116" l="1"/>
  <c r="G55" i="2116"/>
  <c r="F55" i="2117"/>
  <c r="G55" i="2117"/>
  <c r="H56" i="2108"/>
  <c r="D57" i="2108"/>
  <c r="F57" i="2108" l="1"/>
  <c r="G57" i="2108"/>
  <c r="H55" i="2117"/>
  <c r="D56" i="2117"/>
  <c r="H55" i="2116"/>
  <c r="D56" i="2116"/>
  <c r="G56" i="2117" l="1"/>
  <c r="F56" i="2117"/>
  <c r="G56" i="2116"/>
  <c r="F56" i="2116"/>
  <c r="H57" i="2108"/>
  <c r="D58" i="2108"/>
  <c r="D57" i="2116" l="1"/>
  <c r="H56" i="2116"/>
  <c r="H56" i="2117"/>
  <c r="D57" i="2117"/>
  <c r="F58" i="2108"/>
  <c r="G58" i="2108"/>
  <c r="H58" i="2108" l="1"/>
  <c r="D59" i="2108"/>
  <c r="G57" i="2117"/>
  <c r="F57" i="2117"/>
  <c r="G57" i="2116"/>
  <c r="F57" i="2116"/>
  <c r="D58" i="2117" l="1"/>
  <c r="H57" i="2117"/>
  <c r="H57" i="2116"/>
  <c r="D58" i="2116"/>
  <c r="G59" i="2108"/>
  <c r="F59" i="2108"/>
  <c r="G58" i="2116" l="1"/>
  <c r="F58" i="2116"/>
  <c r="F58" i="2117"/>
  <c r="G58" i="2117"/>
  <c r="H59" i="2108"/>
  <c r="D60" i="2108"/>
  <c r="G60" i="2108" l="1"/>
  <c r="F60" i="2108"/>
  <c r="D59" i="2117"/>
  <c r="H58" i="2117"/>
  <c r="D59" i="2116"/>
  <c r="H58" i="2116"/>
  <c r="F59" i="2116" l="1"/>
  <c r="G59" i="2116"/>
  <c r="G59" i="2117"/>
  <c r="F59" i="2117"/>
  <c r="H60" i="2108"/>
  <c r="D61" i="2108"/>
  <c r="H59" i="2117" l="1"/>
  <c r="D60" i="2117"/>
  <c r="F61" i="2108"/>
  <c r="G61" i="2108"/>
  <c r="H59" i="2116"/>
  <c r="D60" i="2116"/>
  <c r="H61" i="2108" l="1"/>
  <c r="D62" i="2108"/>
  <c r="G60" i="2116"/>
  <c r="F60" i="2116"/>
  <c r="G60" i="2117"/>
  <c r="F60" i="2117"/>
  <c r="D61" i="2116" l="1"/>
  <c r="H60" i="2116"/>
  <c r="F62" i="2108"/>
  <c r="G62" i="2108"/>
  <c r="D61" i="2117"/>
  <c r="H60" i="2117"/>
  <c r="G61" i="2117" l="1"/>
  <c r="F61" i="2117"/>
  <c r="D63" i="2108"/>
  <c r="H62" i="2108"/>
  <c r="G61" i="2116"/>
  <c r="F61" i="2116"/>
  <c r="G63" i="2108" l="1"/>
  <c r="F63" i="2108"/>
  <c r="D62" i="2117"/>
  <c r="H61" i="2117"/>
  <c r="D62" i="2116"/>
  <c r="H61" i="2116"/>
  <c r="G62" i="2116" l="1"/>
  <c r="F62" i="2116"/>
  <c r="F62" i="2117"/>
  <c r="G62" i="2117"/>
  <c r="D64" i="2108"/>
  <c r="H63" i="2108"/>
  <c r="G64" i="2108" l="1"/>
  <c r="F64" i="2108"/>
  <c r="D63" i="2117"/>
  <c r="H62" i="2117"/>
  <c r="H62" i="2116"/>
  <c r="D63" i="2116"/>
  <c r="F63" i="2116" l="1"/>
  <c r="G63" i="2116"/>
  <c r="H64" i="2108"/>
  <c r="D65" i="2108"/>
  <c r="G63" i="2117"/>
  <c r="F63" i="2117"/>
  <c r="H63" i="2117" l="1"/>
  <c r="D64" i="2117"/>
  <c r="F65" i="2108"/>
  <c r="G65" i="2108"/>
  <c r="D64" i="2116"/>
  <c r="H63" i="2116"/>
  <c r="D66" i="2108" l="1"/>
  <c r="H65" i="2108"/>
  <c r="F64" i="2117"/>
  <c r="G64" i="2117"/>
  <c r="G64" i="2116"/>
  <c r="F64" i="2116"/>
  <c r="G66" i="2108" l="1"/>
  <c r="F66" i="2108"/>
  <c r="H64" i="2117"/>
  <c r="D65" i="2117"/>
  <c r="H64" i="2116"/>
  <c r="D65" i="2116"/>
  <c r="G65" i="2116" l="1"/>
  <c r="F65" i="2116"/>
  <c r="G65" i="2117"/>
  <c r="F65" i="2117"/>
  <c r="H66" i="2108"/>
  <c r="D67" i="2108"/>
  <c r="G67" i="2108" l="1"/>
  <c r="F67" i="2108"/>
  <c r="D66" i="2117"/>
  <c r="H65" i="2117"/>
  <c r="H65" i="2116"/>
  <c r="D66" i="2116"/>
  <c r="F66" i="2117" l="1"/>
  <c r="G66" i="2117"/>
  <c r="D68" i="2108"/>
  <c r="H67" i="2108"/>
  <c r="G66" i="2116"/>
  <c r="F66" i="2116"/>
  <c r="H66" i="2116" l="1"/>
  <c r="D67" i="2116"/>
  <c r="G68" i="2108"/>
  <c r="F68" i="2108"/>
  <c r="H66" i="2117"/>
  <c r="D67" i="2117"/>
  <c r="F67" i="2117" l="1"/>
  <c r="G67" i="2117"/>
  <c r="H68" i="2108"/>
  <c r="D69" i="2108"/>
  <c r="F67" i="2116"/>
  <c r="G67" i="2116"/>
  <c r="D68" i="2116" l="1"/>
  <c r="H67" i="2116"/>
  <c r="F69" i="2108"/>
  <c r="G69" i="2108"/>
  <c r="H67" i="2117"/>
  <c r="D68" i="2117"/>
  <c r="H69" i="2108" l="1"/>
  <c r="D70" i="2108"/>
  <c r="G68" i="2117"/>
  <c r="F68" i="2117"/>
  <c r="G68" i="2116"/>
  <c r="F68" i="2116"/>
  <c r="D69" i="2117" l="1"/>
  <c r="H68" i="2117"/>
  <c r="G70" i="2108"/>
  <c r="F70" i="2108"/>
  <c r="D69" i="2116"/>
  <c r="H68" i="2116"/>
  <c r="G69" i="2116" l="1"/>
  <c r="F69" i="2116"/>
  <c r="H70" i="2108"/>
  <c r="D71" i="2108"/>
  <c r="G69" i="2117"/>
  <c r="F69" i="2117"/>
  <c r="G71" i="2108" l="1"/>
  <c r="F71" i="2108"/>
  <c r="H69" i="2117"/>
  <c r="D70" i="2117"/>
  <c r="H69" i="2116"/>
  <c r="D70" i="2116"/>
  <c r="F70" i="2117" l="1"/>
  <c r="G70" i="2117"/>
  <c r="D72" i="2108"/>
  <c r="H71" i="2108"/>
  <c r="G70" i="2116"/>
  <c r="F70" i="2116"/>
  <c r="D71" i="2116" l="1"/>
  <c r="H70" i="2116"/>
  <c r="G72" i="2108"/>
  <c r="F72" i="2108"/>
  <c r="D71" i="2117"/>
  <c r="H70" i="2117"/>
  <c r="H72" i="2108" l="1"/>
  <c r="D73" i="2108"/>
  <c r="G71" i="2117"/>
  <c r="F71" i="2117"/>
  <c r="F71" i="2116"/>
  <c r="G71" i="2116"/>
  <c r="D72" i="2117" l="1"/>
  <c r="H71" i="2117"/>
  <c r="F73" i="2108"/>
  <c r="G73" i="2108"/>
  <c r="H71" i="2116"/>
  <c r="D72" i="2116"/>
  <c r="H73" i="2108" l="1"/>
  <c r="D74" i="2108"/>
  <c r="F72" i="2116"/>
  <c r="G72" i="2116"/>
  <c r="G72" i="2117"/>
  <c r="F72" i="2117"/>
  <c r="D73" i="2116" l="1"/>
  <c r="H72" i="2116"/>
  <c r="F74" i="2108"/>
  <c r="G74" i="2108"/>
  <c r="H72" i="2117"/>
  <c r="D73" i="2117"/>
  <c r="G73" i="2117" l="1"/>
  <c r="F73" i="2117"/>
  <c r="H74" i="2108"/>
  <c r="D75" i="2108"/>
  <c r="G73" i="2116"/>
  <c r="F73" i="2116"/>
  <c r="G75" i="2108" l="1"/>
  <c r="F75" i="2108"/>
  <c r="H73" i="2117"/>
  <c r="D74" i="2117"/>
  <c r="H73" i="2116"/>
  <c r="D74" i="2116"/>
  <c r="G74" i="2116" l="1"/>
  <c r="F74" i="2116"/>
  <c r="F74" i="2117"/>
  <c r="G74" i="2117"/>
  <c r="D76" i="2108"/>
  <c r="H75" i="2108"/>
  <c r="G76" i="2108" l="1"/>
  <c r="F76" i="2108"/>
  <c r="H74" i="2117"/>
  <c r="D75" i="2117"/>
  <c r="D75" i="2116"/>
  <c r="H74" i="2116"/>
  <c r="F75" i="2116" l="1"/>
  <c r="G75" i="2116"/>
  <c r="G75" i="2117"/>
  <c r="F75" i="2117"/>
  <c r="D77" i="2108"/>
  <c r="H76" i="2108"/>
  <c r="F77" i="2108" l="1"/>
  <c r="G77" i="2108"/>
  <c r="H75" i="2117"/>
  <c r="D76" i="2117"/>
  <c r="H75" i="2116"/>
  <c r="D76" i="2116"/>
  <c r="F76" i="2117" l="1"/>
  <c r="G76" i="2117"/>
  <c r="D78" i="2108"/>
  <c r="H77" i="2108"/>
  <c r="F76" i="2116"/>
  <c r="G76" i="2116"/>
  <c r="D77" i="2116" l="1"/>
  <c r="H76" i="2116"/>
  <c r="F78" i="2108"/>
  <c r="G78" i="2108"/>
  <c r="D77" i="2117"/>
  <c r="H76" i="2117"/>
  <c r="G77" i="2117" l="1"/>
  <c r="F77" i="2117"/>
  <c r="H78" i="2108"/>
  <c r="D79" i="2108"/>
  <c r="G77" i="2116"/>
  <c r="F77" i="2116"/>
  <c r="G79" i="2108" l="1"/>
  <c r="F79" i="2108"/>
  <c r="H77" i="2117"/>
  <c r="D78" i="2117"/>
  <c r="D78" i="2116"/>
  <c r="H77" i="2116"/>
  <c r="F78" i="2117" l="1"/>
  <c r="G78" i="2117"/>
  <c r="G78" i="2116"/>
  <c r="F78" i="2116"/>
  <c r="D80" i="2108"/>
  <c r="H79" i="2108"/>
  <c r="G80" i="2108" l="1"/>
  <c r="F80" i="2108"/>
  <c r="D79" i="2116"/>
  <c r="H78" i="2116"/>
  <c r="D79" i="2117"/>
  <c r="H78" i="2117"/>
  <c r="F79" i="2116" l="1"/>
  <c r="G79" i="2116"/>
  <c r="H80" i="2108"/>
  <c r="D81" i="2108"/>
  <c r="F79" i="2117"/>
  <c r="G79" i="2117"/>
  <c r="F81" i="2108" l="1"/>
  <c r="G81" i="2108"/>
  <c r="D80" i="2116"/>
  <c r="H79" i="2116"/>
  <c r="D80" i="2117"/>
  <c r="H79" i="2117"/>
  <c r="G80" i="2116" l="1"/>
  <c r="F80" i="2116"/>
  <c r="G80" i="2117"/>
  <c r="F80" i="2117"/>
  <c r="D82" i="2108"/>
  <c r="H81" i="2108"/>
  <c r="D81" i="2117" l="1"/>
  <c r="H80" i="2117"/>
  <c r="H80" i="2116"/>
  <c r="D81" i="2116"/>
  <c r="G82" i="2108"/>
  <c r="F82" i="2108"/>
  <c r="H82" i="2108" l="1"/>
  <c r="D83" i="2108"/>
  <c r="G81" i="2116"/>
  <c r="F81" i="2116"/>
  <c r="G81" i="2117"/>
  <c r="F81" i="2117"/>
  <c r="H81" i="2116" l="1"/>
  <c r="D82" i="2116"/>
  <c r="H81" i="2117"/>
  <c r="D82" i="2117"/>
  <c r="G83" i="2108"/>
  <c r="F83" i="2108"/>
  <c r="F82" i="2117" l="1"/>
  <c r="G82" i="2117"/>
  <c r="G82" i="2116"/>
  <c r="F82" i="2116"/>
  <c r="D84" i="2108"/>
  <c r="H83" i="2108"/>
  <c r="G84" i="2108" l="1"/>
  <c r="F84" i="2108"/>
  <c r="H82" i="2116"/>
  <c r="D83" i="2116"/>
  <c r="H82" i="2117"/>
  <c r="D83" i="2117"/>
  <c r="F83" i="2116" l="1"/>
  <c r="G83" i="2116"/>
  <c r="F83" i="2117"/>
  <c r="G83" i="2117"/>
  <c r="H84" i="2108"/>
  <c r="D85" i="2108"/>
  <c r="H83" i="2117" l="1"/>
  <c r="D84" i="2117"/>
  <c r="D84" i="2116"/>
  <c r="H83" i="2116"/>
  <c r="F85" i="2108"/>
  <c r="G85" i="2108"/>
  <c r="H85" i="2108" l="1"/>
  <c r="D86" i="2108"/>
  <c r="G84" i="2116"/>
  <c r="F84" i="2116"/>
  <c r="F84" i="2117"/>
  <c r="G84" i="2117"/>
  <c r="H84" i="2116" l="1"/>
  <c r="D85" i="2116"/>
  <c r="G86" i="2108"/>
  <c r="F86" i="2108"/>
  <c r="H84" i="2117"/>
  <c r="D85" i="2117"/>
  <c r="D87" i="2108" l="1"/>
  <c r="H86" i="2108"/>
  <c r="G85" i="2116"/>
  <c r="F85" i="2116"/>
  <c r="G85" i="2117"/>
  <c r="F85" i="2117"/>
  <c r="D86" i="2117" l="1"/>
  <c r="H85" i="2117"/>
  <c r="H85" i="2116"/>
  <c r="D86" i="2116"/>
  <c r="G87" i="2108"/>
  <c r="F87" i="2108"/>
  <c r="G86" i="2116" l="1"/>
  <c r="F86" i="2116"/>
  <c r="D88" i="2108"/>
  <c r="H87" i="2108"/>
  <c r="F86" i="2117"/>
  <c r="G86" i="2117"/>
  <c r="G88" i="2108" l="1"/>
  <c r="F88" i="2108"/>
  <c r="D87" i="2116"/>
  <c r="H86" i="2116"/>
  <c r="H86" i="2117"/>
  <c r="D87" i="2117"/>
  <c r="F87" i="2117" l="1"/>
  <c r="G87" i="2117"/>
  <c r="F87" i="2116"/>
  <c r="G87" i="2116"/>
  <c r="H88" i="2108"/>
  <c r="D89" i="2108"/>
  <c r="F89" i="2108" l="1"/>
  <c r="G89" i="2108"/>
  <c r="D88" i="2116"/>
  <c r="H87" i="2116"/>
  <c r="D88" i="2117"/>
  <c r="H87" i="2117"/>
  <c r="F88" i="2116" l="1"/>
  <c r="G88" i="2116"/>
  <c r="G88" i="2117"/>
  <c r="F88" i="2117"/>
  <c r="H89" i="2108"/>
  <c r="D90" i="2108"/>
  <c r="D89" i="2117" l="1"/>
  <c r="H88" i="2117"/>
  <c r="D89" i="2116"/>
  <c r="H88" i="2116"/>
  <c r="F90" i="2108"/>
  <c r="G90" i="2108"/>
  <c r="H90" i="2108" l="1"/>
  <c r="D91" i="2108"/>
  <c r="G89" i="2116"/>
  <c r="F89" i="2116"/>
  <c r="G89" i="2117"/>
  <c r="F89" i="2117"/>
  <c r="D90" i="2117" l="1"/>
  <c r="H89" i="2117"/>
  <c r="H89" i="2116"/>
  <c r="D90" i="2116"/>
  <c r="G91" i="2108"/>
  <c r="F91" i="2108"/>
  <c r="G90" i="2116" l="1"/>
  <c r="F90" i="2116"/>
  <c r="H91" i="2108"/>
  <c r="D92" i="2108"/>
  <c r="F90" i="2117"/>
  <c r="G90" i="2117"/>
  <c r="G92" i="2108" l="1"/>
  <c r="F92" i="2108"/>
  <c r="H90" i="2116"/>
  <c r="D91" i="2116"/>
  <c r="D91" i="2117"/>
  <c r="H90" i="2117"/>
  <c r="H92" i="2108" l="1"/>
  <c r="D93" i="2108"/>
  <c r="F91" i="2116"/>
  <c r="G91" i="2116"/>
  <c r="G91" i="2117"/>
  <c r="F91" i="2117"/>
  <c r="H91" i="2117" l="1"/>
  <c r="D92" i="2117"/>
  <c r="H91" i="2116"/>
  <c r="D92" i="2116"/>
  <c r="F93" i="2108"/>
  <c r="G93" i="2108"/>
  <c r="H93" i="2108" l="1"/>
  <c r="D94" i="2108"/>
  <c r="F92" i="2116"/>
  <c r="G92" i="2116"/>
  <c r="G92" i="2117"/>
  <c r="F92" i="2117"/>
  <c r="D93" i="2116" l="1"/>
  <c r="H92" i="2116"/>
  <c r="H92" i="2117"/>
  <c r="D93" i="2117"/>
  <c r="F94" i="2108"/>
  <c r="G94" i="2108"/>
  <c r="G93" i="2117" l="1"/>
  <c r="F93" i="2117"/>
  <c r="G93" i="2116"/>
  <c r="F93" i="2116"/>
  <c r="H94" i="2108"/>
  <c r="D95" i="2108"/>
  <c r="D94" i="2116" l="1"/>
  <c r="H93" i="2116"/>
  <c r="G95" i="2108"/>
  <c r="F95" i="2108"/>
  <c r="H93" i="2117"/>
  <c r="D94" i="2117"/>
  <c r="D96" i="2108" l="1"/>
  <c r="H95" i="2108"/>
  <c r="G94" i="2116"/>
  <c r="F94" i="2116"/>
  <c r="F94" i="2117"/>
  <c r="G94" i="2117"/>
  <c r="D95" i="2116" l="1"/>
  <c r="H94" i="2116"/>
  <c r="D95" i="2117"/>
  <c r="H94" i="2117"/>
  <c r="G96" i="2108"/>
  <c r="F96" i="2108"/>
  <c r="G95" i="2117" l="1"/>
  <c r="F95" i="2117"/>
  <c r="H96" i="2108"/>
  <c r="D97" i="2108"/>
  <c r="F95" i="2116"/>
  <c r="G95" i="2116"/>
  <c r="F97" i="2108" l="1"/>
  <c r="G97" i="2108"/>
  <c r="H95" i="2117"/>
  <c r="D96" i="2117"/>
  <c r="D96" i="2116"/>
  <c r="H95" i="2116"/>
  <c r="F96" i="2117" l="1"/>
  <c r="G96" i="2117"/>
  <c r="G96" i="2116"/>
  <c r="F96" i="2116"/>
  <c r="D98" i="2108"/>
  <c r="H97" i="2108"/>
  <c r="H96" i="2116" l="1"/>
  <c r="D97" i="2116"/>
  <c r="D97" i="2117"/>
  <c r="H96" i="2117"/>
  <c r="G98" i="2108"/>
  <c r="F98" i="2108"/>
  <c r="G97" i="2117" l="1"/>
  <c r="F97" i="2117"/>
  <c r="H98" i="2108"/>
  <c r="D99" i="2108"/>
  <c r="G97" i="2116"/>
  <c r="F97" i="2116"/>
  <c r="G99" i="2108" l="1"/>
  <c r="F99" i="2108"/>
  <c r="D98" i="2117"/>
  <c r="H97" i="2117"/>
  <c r="H97" i="2116"/>
  <c r="D98" i="2116"/>
  <c r="G98" i="2116" l="1"/>
  <c r="F98" i="2116"/>
  <c r="F98" i="2117"/>
  <c r="G98" i="2117"/>
  <c r="H99" i="2108"/>
  <c r="D100" i="2108"/>
  <c r="G100" i="2108" l="1"/>
  <c r="F100" i="2108"/>
  <c r="H98" i="2117"/>
  <c r="D99" i="2117"/>
  <c r="H98" i="2116"/>
  <c r="D99" i="2116"/>
  <c r="H100" i="2108" l="1"/>
  <c r="D101" i="2108"/>
  <c r="F99" i="2117"/>
  <c r="G99" i="2117"/>
  <c r="F99" i="2116"/>
  <c r="G99" i="2116"/>
  <c r="H99" i="2116" l="1"/>
  <c r="D100" i="2116"/>
  <c r="F101" i="2108"/>
  <c r="G101" i="2108"/>
  <c r="H99" i="2117"/>
  <c r="D100" i="2117"/>
  <c r="G100" i="2117" l="1"/>
  <c r="F100" i="2117"/>
  <c r="H101" i="2108"/>
  <c r="D102" i="2108"/>
  <c r="G100" i="2116"/>
  <c r="F100" i="2116"/>
  <c r="F102" i="2108" l="1"/>
  <c r="G102" i="2108"/>
  <c r="D101" i="2117"/>
  <c r="H100" i="2117"/>
  <c r="H100" i="2116"/>
  <c r="D101" i="2116"/>
  <c r="G101" i="2116" l="1"/>
  <c r="F101" i="2116"/>
  <c r="G101" i="2117"/>
  <c r="F101" i="2117"/>
  <c r="H102" i="2108"/>
  <c r="D103" i="2108"/>
  <c r="G103" i="2108" l="1"/>
  <c r="F103" i="2108"/>
  <c r="H101" i="2117"/>
  <c r="D102" i="2117"/>
  <c r="D102" i="2116"/>
  <c r="H101" i="2116"/>
  <c r="F102" i="2117" l="1"/>
  <c r="G102" i="2117"/>
  <c r="H103" i="2108"/>
  <c r="D104" i="2108"/>
  <c r="G102" i="2116"/>
  <c r="F102" i="2116"/>
  <c r="D103" i="2116" l="1"/>
  <c r="H102" i="2116"/>
  <c r="G104" i="2108"/>
  <c r="F104" i="2108"/>
  <c r="H102" i="2117"/>
  <c r="D103" i="2117"/>
  <c r="G103" i="2117" l="1"/>
  <c r="F103" i="2117"/>
  <c r="H104" i="2108"/>
  <c r="D105" i="2108"/>
  <c r="F103" i="2116"/>
  <c r="G103" i="2116"/>
  <c r="F105" i="2108" l="1"/>
  <c r="G105" i="2108"/>
  <c r="D104" i="2117"/>
  <c r="H103" i="2117"/>
  <c r="D104" i="2116"/>
  <c r="H103" i="2116"/>
  <c r="G104" i="2117" l="1"/>
  <c r="F104" i="2117"/>
  <c r="H105" i="2108"/>
  <c r="D106" i="2108"/>
  <c r="F104" i="2116"/>
  <c r="G104" i="2116"/>
  <c r="F106" i="2108" l="1"/>
  <c r="G106" i="2108"/>
  <c r="H104" i="2117"/>
  <c r="D105" i="2117"/>
  <c r="D105" i="2116"/>
  <c r="H104" i="2116"/>
  <c r="H106" i="2108" l="1"/>
  <c r="D107" i="2108"/>
  <c r="G105" i="2117"/>
  <c r="F105" i="2117"/>
  <c r="G105" i="2116"/>
  <c r="F105" i="2116"/>
  <c r="D106" i="2117" l="1"/>
  <c r="H105" i="2117"/>
  <c r="H105" i="2116"/>
  <c r="D106" i="2116"/>
  <c r="G107" i="2108"/>
  <c r="F107" i="2108"/>
  <c r="G106" i="2116" l="1"/>
  <c r="F106" i="2116"/>
  <c r="F106" i="2117"/>
  <c r="G106" i="2117"/>
  <c r="H107" i="2108"/>
  <c r="D108" i="2108"/>
  <c r="D107" i="2117" l="1"/>
  <c r="H106" i="2117"/>
  <c r="G108" i="2108"/>
  <c r="F108" i="2108"/>
  <c r="H106" i="2116"/>
  <c r="D107" i="2116"/>
  <c r="F107" i="2116" l="1"/>
  <c r="G107" i="2116"/>
  <c r="H108" i="2108"/>
  <c r="D109" i="2108"/>
  <c r="G107" i="2117"/>
  <c r="F107" i="2117"/>
  <c r="F109" i="2108" l="1"/>
  <c r="G109" i="2108"/>
  <c r="H107" i="2116"/>
  <c r="D108" i="2116"/>
  <c r="H107" i="2117"/>
  <c r="D108" i="2117"/>
  <c r="F108" i="2117" l="1"/>
  <c r="G108" i="2117"/>
  <c r="F108" i="2116"/>
  <c r="G108" i="2116"/>
  <c r="D110" i="2108"/>
  <c r="H109" i="2108"/>
  <c r="H108" i="2116" l="1"/>
  <c r="D109" i="2116"/>
  <c r="F110" i="2108"/>
  <c r="G110" i="2108"/>
  <c r="H108" i="2117"/>
  <c r="D109" i="2117"/>
  <c r="H110" i="2108" l="1"/>
  <c r="D111" i="2108"/>
  <c r="G109" i="2116"/>
  <c r="F109" i="2116"/>
  <c r="G109" i="2117"/>
  <c r="F109" i="2117"/>
  <c r="D110" i="2117" l="1"/>
  <c r="H109" i="2117"/>
  <c r="D110" i="2116"/>
  <c r="H109" i="2116"/>
  <c r="F111" i="2108"/>
  <c r="H111" i="2108" s="1"/>
  <c r="D7" i="2108" s="1"/>
  <c r="G111" i="2108"/>
  <c r="D6" i="2108" s="1"/>
  <c r="G110" i="2116" l="1"/>
  <c r="D5" i="2116" s="1"/>
  <c r="F110" i="2116"/>
  <c r="H110" i="2116" s="1"/>
  <c r="D6" i="2116" s="1"/>
  <c r="G110" i="2117"/>
  <c r="D5" i="2117" s="1"/>
  <c r="F110" i="2117"/>
  <c r="H110" i="2117" s="1"/>
  <c r="D6" i="2117" s="1"/>
</calcChain>
</file>

<file path=xl/sharedStrings.xml><?xml version="1.0" encoding="utf-8"?>
<sst xmlns="http://schemas.openxmlformats.org/spreadsheetml/2006/main" count="462" uniqueCount="121">
  <si>
    <t>Uniform</t>
  </si>
  <si>
    <t>Template for Queueing Simulation</t>
  </si>
  <si>
    <t>Number of Servers =</t>
  </si>
  <si>
    <t>Service Times</t>
  </si>
  <si>
    <t>Distribution =</t>
  </si>
  <si>
    <t>Interarrival Times</t>
  </si>
  <si>
    <t>Exponential</t>
  </si>
  <si>
    <t>Point</t>
  </si>
  <si>
    <t>Estimate</t>
  </si>
  <si>
    <t>Low</t>
  </si>
  <si>
    <t>High</t>
  </si>
  <si>
    <t>95% Confidence Interval</t>
  </si>
  <si>
    <t>L =</t>
  </si>
  <si>
    <t>W =</t>
  </si>
  <si>
    <t>Results</t>
  </si>
  <si>
    <t>Data</t>
  </si>
  <si>
    <t>Number of Arrivals =</t>
  </si>
  <si>
    <t>Length of Simulation Run</t>
  </si>
  <si>
    <t>Erlang</t>
  </si>
  <si>
    <t>Constant</t>
  </si>
  <si>
    <t>Result</t>
  </si>
  <si>
    <t>Number</t>
  </si>
  <si>
    <t>Random</t>
  </si>
  <si>
    <t>Flip</t>
  </si>
  <si>
    <t>Replication</t>
  </si>
  <si>
    <t>Day</t>
  </si>
  <si>
    <t>Average =</t>
  </si>
  <si>
    <t>Service</t>
  </si>
  <si>
    <t>Time</t>
  </si>
  <si>
    <t>Mean Interarrival Time =</t>
  </si>
  <si>
    <t>hours</t>
  </si>
  <si>
    <t>Size of Crew =</t>
  </si>
  <si>
    <t>Mean Service Time =</t>
  </si>
  <si>
    <t>Average Time in Line (Wq) =</t>
  </si>
  <si>
    <t>Average Time in System (W) =</t>
  </si>
  <si>
    <t>Customer</t>
  </si>
  <si>
    <t>Interarrival</t>
  </si>
  <si>
    <t>of</t>
  </si>
  <si>
    <t>in</t>
  </si>
  <si>
    <t>Arrival</t>
  </si>
  <si>
    <t>Begins</t>
  </si>
  <si>
    <t>Ends</t>
  </si>
  <si>
    <t>Line</t>
  </si>
  <si>
    <t>System</t>
  </si>
  <si>
    <t>Minimum Interarrival Time =</t>
  </si>
  <si>
    <t>minutes</t>
  </si>
  <si>
    <t>Maximum Interarrival Time =</t>
  </si>
  <si>
    <t>Interarrival Time (constant) =</t>
  </si>
  <si>
    <t>Part c</t>
  </si>
  <si>
    <t>Part d</t>
  </si>
  <si>
    <t>Part e</t>
  </si>
  <si>
    <t>Skip parts a, b</t>
  </si>
  <si>
    <t>Service time: uniform with min=3 and max=8 (mean 5.5)</t>
  </si>
  <si>
    <t>c)</t>
  </si>
  <si>
    <t>Minor Repair: uniform (a=0 b=1) (mean 0.5)</t>
  </si>
  <si>
    <t>Major Repair: uniform (a=1 b=2) (mean 1.5)</t>
  </si>
  <si>
    <t>This is very close to the true mean of 1.1 minutes.</t>
  </si>
  <si>
    <t>Service time: Uniform a = 0, b = 2*mean</t>
  </si>
  <si>
    <t>Crew Size</t>
  </si>
  <si>
    <t>Mean Service Time</t>
  </si>
  <si>
    <t>Inter-arrrival: Exponential, Mean = 5</t>
  </si>
  <si>
    <t>Service Time Exponential Mean = 10</t>
  </si>
  <si>
    <t>Interarrival Uniform 10, 20</t>
  </si>
  <si>
    <t>Service Exp Mean = 10</t>
  </si>
  <si>
    <t>Monitors</t>
  </si>
  <si>
    <t>Printers</t>
  </si>
  <si>
    <t>Interarrival Constant 15</t>
  </si>
  <si>
    <t>Service Erlang Mean = 10, k =4</t>
  </si>
  <si>
    <r>
      <t>L</t>
    </r>
    <r>
      <rPr>
        <vertAlign val="subscript"/>
        <sz val="8"/>
        <rFont val="Consolas"/>
        <family val="2"/>
      </rPr>
      <t>q</t>
    </r>
    <r>
      <rPr>
        <sz val="8"/>
        <rFont val="Consolas"/>
        <family val="2"/>
      </rPr>
      <t xml:space="preserve"> =</t>
    </r>
  </si>
  <si>
    <r>
      <t>W</t>
    </r>
    <r>
      <rPr>
        <vertAlign val="subscript"/>
        <sz val="8"/>
        <color rgb="FFFF0000"/>
        <rFont val="Consolas"/>
        <family val="2"/>
      </rPr>
      <t>q</t>
    </r>
    <r>
      <rPr>
        <sz val="8"/>
        <color rgb="FFFF0000"/>
        <rFont val="Consolas"/>
        <family val="2"/>
      </rPr>
      <t xml:space="preserve"> =</t>
    </r>
  </si>
  <si>
    <r>
      <t>P</t>
    </r>
    <r>
      <rPr>
        <vertAlign val="subscript"/>
        <sz val="8"/>
        <rFont val="Consolas"/>
        <family val="2"/>
      </rPr>
      <t>0</t>
    </r>
    <r>
      <rPr>
        <sz val="8"/>
        <rFont val="Consolas"/>
        <family val="2"/>
      </rPr>
      <t xml:space="preserve"> =</t>
    </r>
  </si>
  <si>
    <r>
      <t>P</t>
    </r>
    <r>
      <rPr>
        <vertAlign val="subscript"/>
        <sz val="8"/>
        <rFont val="Consolas"/>
        <family val="2"/>
      </rPr>
      <t>1</t>
    </r>
    <r>
      <rPr>
        <sz val="8"/>
        <rFont val="Consolas"/>
        <family val="2"/>
      </rPr>
      <t xml:space="preserve"> =</t>
    </r>
  </si>
  <si>
    <r>
      <t>P</t>
    </r>
    <r>
      <rPr>
        <vertAlign val="subscript"/>
        <sz val="8"/>
        <rFont val="Consolas"/>
        <family val="2"/>
      </rPr>
      <t>2</t>
    </r>
    <r>
      <rPr>
        <sz val="8"/>
        <rFont val="Consolas"/>
        <family val="2"/>
      </rPr>
      <t xml:space="preserve"> =</t>
    </r>
  </si>
  <si>
    <r>
      <t>P</t>
    </r>
    <r>
      <rPr>
        <vertAlign val="subscript"/>
        <sz val="8"/>
        <rFont val="Consolas"/>
        <family val="2"/>
      </rPr>
      <t>3</t>
    </r>
    <r>
      <rPr>
        <sz val="8"/>
        <rFont val="Consolas"/>
        <family val="2"/>
      </rPr>
      <t xml:space="preserve"> =</t>
    </r>
  </si>
  <si>
    <r>
      <t>P</t>
    </r>
    <r>
      <rPr>
        <vertAlign val="subscript"/>
        <sz val="8"/>
        <rFont val="Consolas"/>
        <family val="2"/>
      </rPr>
      <t>4</t>
    </r>
    <r>
      <rPr>
        <sz val="8"/>
        <rFont val="Consolas"/>
        <family val="2"/>
      </rPr>
      <t xml:space="preserve"> =</t>
    </r>
  </si>
  <si>
    <r>
      <t>P</t>
    </r>
    <r>
      <rPr>
        <vertAlign val="subscript"/>
        <sz val="8"/>
        <rFont val="Consolas"/>
        <family val="2"/>
      </rPr>
      <t>5</t>
    </r>
    <r>
      <rPr>
        <sz val="8"/>
        <rFont val="Consolas"/>
        <family val="2"/>
      </rPr>
      <t xml:space="preserve"> =</t>
    </r>
  </si>
  <si>
    <r>
      <t>P</t>
    </r>
    <r>
      <rPr>
        <vertAlign val="subscript"/>
        <sz val="8"/>
        <rFont val="Consolas"/>
        <family val="2"/>
      </rPr>
      <t>6</t>
    </r>
    <r>
      <rPr>
        <sz val="8"/>
        <rFont val="Consolas"/>
        <family val="2"/>
      </rPr>
      <t xml:space="preserve"> =</t>
    </r>
  </si>
  <si>
    <r>
      <t>P</t>
    </r>
    <r>
      <rPr>
        <vertAlign val="subscript"/>
        <sz val="8"/>
        <rFont val="Consolas"/>
        <family val="2"/>
      </rPr>
      <t xml:space="preserve">7 </t>
    </r>
    <r>
      <rPr>
        <sz val="8"/>
        <rFont val="Consolas"/>
        <family val="2"/>
      </rPr>
      <t>=</t>
    </r>
  </si>
  <si>
    <r>
      <t>P</t>
    </r>
    <r>
      <rPr>
        <vertAlign val="subscript"/>
        <sz val="8"/>
        <rFont val="Consolas"/>
        <family val="2"/>
      </rPr>
      <t>8</t>
    </r>
    <r>
      <rPr>
        <sz val="8"/>
        <rFont val="Consolas"/>
        <family val="2"/>
      </rPr>
      <t xml:space="preserve"> =</t>
    </r>
  </si>
  <si>
    <r>
      <t>P</t>
    </r>
    <r>
      <rPr>
        <vertAlign val="subscript"/>
        <sz val="8"/>
        <rFont val="Consolas"/>
        <family val="2"/>
      </rPr>
      <t>9</t>
    </r>
    <r>
      <rPr>
        <sz val="8"/>
        <rFont val="Consolas"/>
        <family val="2"/>
      </rPr>
      <t xml:space="preserve"> =</t>
    </r>
  </si>
  <si>
    <r>
      <t>P</t>
    </r>
    <r>
      <rPr>
        <vertAlign val="subscript"/>
        <sz val="8"/>
        <rFont val="Consolas"/>
        <family val="2"/>
      </rPr>
      <t>10</t>
    </r>
    <r>
      <rPr>
        <sz val="8"/>
        <rFont val="Consolas"/>
        <family val="2"/>
      </rPr>
      <t xml:space="preserve"> =</t>
    </r>
  </si>
  <si>
    <t>P(0)=</t>
  </si>
  <si>
    <t>P(1)=</t>
  </si>
  <si>
    <t>P(2)=</t>
  </si>
  <si>
    <t>P(3)=</t>
  </si>
  <si>
    <t>Not close to expected</t>
  </si>
  <si>
    <t>Very close to expected</t>
  </si>
  <si>
    <t>No. Heads</t>
  </si>
  <si>
    <t xml:space="preserve">Total Number of Heads = </t>
  </si>
  <si>
    <t>Closer to mean = 5.5</t>
  </si>
  <si>
    <t>part e)</t>
  </si>
  <si>
    <t>Random No.</t>
  </si>
  <si>
    <t>Service Time</t>
  </si>
  <si>
    <t>Comp. Random No.</t>
  </si>
  <si>
    <t>Comp. Service Time</t>
  </si>
  <si>
    <t>Average</t>
  </si>
  <si>
    <t>Overall Average</t>
  </si>
  <si>
    <t>= -(mean)*LN(RAND())</t>
  </si>
  <si>
    <t>= a+(a-b)*RAND()</t>
  </si>
  <si>
    <r>
      <t>L</t>
    </r>
    <r>
      <rPr>
        <vertAlign val="subscript"/>
        <sz val="9"/>
        <rFont val="Consolas"/>
        <family val="2"/>
      </rPr>
      <t>q</t>
    </r>
    <r>
      <rPr>
        <sz val="9"/>
        <rFont val="Consolas"/>
        <family val="2"/>
      </rPr>
      <t xml:space="preserve"> =</t>
    </r>
  </si>
  <si>
    <r>
      <t>W</t>
    </r>
    <r>
      <rPr>
        <vertAlign val="subscript"/>
        <sz val="9"/>
        <color rgb="FFFF0000"/>
        <rFont val="Consolas"/>
        <family val="2"/>
      </rPr>
      <t>q</t>
    </r>
    <r>
      <rPr>
        <sz val="9"/>
        <color rgb="FFFF0000"/>
        <rFont val="Consolas"/>
        <family val="2"/>
      </rPr>
      <t xml:space="preserve"> =</t>
    </r>
  </si>
  <si>
    <r>
      <t>P</t>
    </r>
    <r>
      <rPr>
        <vertAlign val="subscript"/>
        <sz val="9"/>
        <rFont val="Consolas"/>
        <family val="2"/>
      </rPr>
      <t>0</t>
    </r>
    <r>
      <rPr>
        <sz val="9"/>
        <rFont val="Consolas"/>
        <family val="2"/>
      </rPr>
      <t xml:space="preserve"> =</t>
    </r>
  </si>
  <si>
    <r>
      <t>P</t>
    </r>
    <r>
      <rPr>
        <vertAlign val="subscript"/>
        <sz val="9"/>
        <rFont val="Consolas"/>
        <family val="2"/>
      </rPr>
      <t>1</t>
    </r>
    <r>
      <rPr>
        <sz val="9"/>
        <rFont val="Consolas"/>
        <family val="2"/>
      </rPr>
      <t xml:space="preserve"> =</t>
    </r>
  </si>
  <si>
    <r>
      <t>P</t>
    </r>
    <r>
      <rPr>
        <vertAlign val="subscript"/>
        <sz val="9"/>
        <rFont val="Consolas"/>
        <family val="2"/>
      </rPr>
      <t>2</t>
    </r>
    <r>
      <rPr>
        <sz val="9"/>
        <rFont val="Consolas"/>
        <family val="2"/>
      </rPr>
      <t xml:space="preserve"> =</t>
    </r>
  </si>
  <si>
    <r>
      <t>P</t>
    </r>
    <r>
      <rPr>
        <vertAlign val="subscript"/>
        <sz val="9"/>
        <rFont val="Consolas"/>
        <family val="2"/>
      </rPr>
      <t>3</t>
    </r>
    <r>
      <rPr>
        <sz val="9"/>
        <rFont val="Consolas"/>
        <family val="2"/>
      </rPr>
      <t xml:space="preserve"> =</t>
    </r>
  </si>
  <si>
    <r>
      <t>P</t>
    </r>
    <r>
      <rPr>
        <vertAlign val="subscript"/>
        <sz val="9"/>
        <rFont val="Consolas"/>
        <family val="2"/>
      </rPr>
      <t>4</t>
    </r>
    <r>
      <rPr>
        <sz val="9"/>
        <rFont val="Consolas"/>
        <family val="2"/>
      </rPr>
      <t xml:space="preserve"> =</t>
    </r>
  </si>
  <si>
    <r>
      <t>P</t>
    </r>
    <r>
      <rPr>
        <vertAlign val="subscript"/>
        <sz val="9"/>
        <rFont val="Consolas"/>
        <family val="2"/>
      </rPr>
      <t>5</t>
    </r>
    <r>
      <rPr>
        <sz val="9"/>
        <rFont val="Consolas"/>
        <family val="2"/>
      </rPr>
      <t xml:space="preserve"> =</t>
    </r>
  </si>
  <si>
    <r>
      <t>P</t>
    </r>
    <r>
      <rPr>
        <vertAlign val="subscript"/>
        <sz val="9"/>
        <rFont val="Consolas"/>
        <family val="2"/>
      </rPr>
      <t>6</t>
    </r>
    <r>
      <rPr>
        <sz val="9"/>
        <rFont val="Consolas"/>
        <family val="2"/>
      </rPr>
      <t xml:space="preserve"> =</t>
    </r>
  </si>
  <si>
    <r>
      <t>P</t>
    </r>
    <r>
      <rPr>
        <vertAlign val="subscript"/>
        <sz val="9"/>
        <rFont val="Consolas"/>
        <family val="2"/>
      </rPr>
      <t xml:space="preserve">7 </t>
    </r>
    <r>
      <rPr>
        <sz val="9"/>
        <rFont val="Consolas"/>
        <family val="2"/>
      </rPr>
      <t>=</t>
    </r>
  </si>
  <si>
    <r>
      <t>P</t>
    </r>
    <r>
      <rPr>
        <vertAlign val="subscript"/>
        <sz val="9"/>
        <rFont val="Consolas"/>
        <family val="2"/>
      </rPr>
      <t>8</t>
    </r>
    <r>
      <rPr>
        <sz val="9"/>
        <rFont val="Consolas"/>
        <family val="2"/>
      </rPr>
      <t xml:space="preserve"> =</t>
    </r>
  </si>
  <si>
    <r>
      <t>P</t>
    </r>
    <r>
      <rPr>
        <vertAlign val="subscript"/>
        <sz val="9"/>
        <rFont val="Consolas"/>
        <family val="2"/>
      </rPr>
      <t>9</t>
    </r>
    <r>
      <rPr>
        <sz val="9"/>
        <rFont val="Consolas"/>
        <family val="2"/>
      </rPr>
      <t xml:space="preserve"> =</t>
    </r>
  </si>
  <si>
    <r>
      <t>P</t>
    </r>
    <r>
      <rPr>
        <vertAlign val="subscript"/>
        <sz val="9"/>
        <rFont val="Consolas"/>
        <family val="2"/>
      </rPr>
      <t>10</t>
    </r>
    <r>
      <rPr>
        <sz val="9"/>
        <rFont val="Consolas"/>
        <family val="2"/>
      </rPr>
      <t xml:space="preserve"> =</t>
    </r>
  </si>
  <si>
    <t xml:space="preserve">Interarrival Constant = 15 </t>
  </si>
  <si>
    <t>=a+(b-a)*RAND()</t>
  </si>
  <si>
    <t>Uniform: a + (b-a) * RAND()</t>
  </si>
  <si>
    <t>b) Crew of 2</t>
  </si>
  <si>
    <t>hours (Exponential)</t>
  </si>
  <si>
    <t>hours (Uniform)</t>
  </si>
  <si>
    <t>b) Crew of 3</t>
  </si>
  <si>
    <t>b) Crew of 4</t>
  </si>
  <si>
    <t>Service Exp. Mean =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</si>
</sst>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22" x14ac:knownFonts="1">
    <font>
      <sz val="9"/>
      <name val="Geneva"/>
    </font>
    <font>
      <sz val="8"/>
      <name val="Geneva"/>
      <family val="2"/>
    </font>
    <font>
      <sz val="9"/>
      <name val="Geneva"/>
      <family val="2"/>
    </font>
    <font>
      <sz val="9"/>
      <name val="Consolas"/>
      <family val="2"/>
    </font>
    <font>
      <sz val="10"/>
      <name val="Consolas"/>
      <family val="2"/>
    </font>
    <font>
      <sz val="9"/>
      <color rgb="FFFF0000"/>
      <name val="Consolas"/>
      <family val="2"/>
    </font>
    <font>
      <sz val="10"/>
      <color rgb="FFFF0000"/>
      <name val="Consolas"/>
      <family val="2"/>
    </font>
    <font>
      <sz val="8"/>
      <name val="Consolas"/>
      <family val="2"/>
    </font>
    <font>
      <b/>
      <sz val="8"/>
      <name val="Consolas"/>
      <family val="2"/>
    </font>
    <font>
      <sz val="7"/>
      <name val="Consolas"/>
      <family val="2"/>
    </font>
    <font>
      <b/>
      <sz val="7"/>
      <name val="Consolas"/>
      <family val="2"/>
    </font>
    <font>
      <b/>
      <sz val="8"/>
      <color rgb="FFFF0000"/>
      <name val="Consolas"/>
      <family val="2"/>
    </font>
    <font>
      <vertAlign val="subscript"/>
      <sz val="8"/>
      <name val="Consolas"/>
      <family val="2"/>
    </font>
    <font>
      <sz val="8"/>
      <color rgb="FFFF0000"/>
      <name val="Consolas"/>
      <family val="2"/>
    </font>
    <font>
      <vertAlign val="subscript"/>
      <sz val="8"/>
      <color rgb="FFFF0000"/>
      <name val="Consolas"/>
      <family val="2"/>
    </font>
    <font>
      <sz val="10"/>
      <name val="Geneva"/>
      <family val="2"/>
    </font>
    <font>
      <b/>
      <sz val="10"/>
      <color rgb="FFFF0000"/>
      <name val="Consolas"/>
      <family val="2"/>
    </font>
    <font>
      <sz val="10"/>
      <color indexed="55"/>
      <name val="Consolas"/>
      <family val="2"/>
    </font>
    <font>
      <b/>
      <sz val="9"/>
      <name val="Consolas"/>
      <family val="2"/>
    </font>
    <font>
      <sz val="11"/>
      <color rgb="FF000000"/>
      <name val="Consolas"/>
      <family val="2"/>
    </font>
    <font>
      <vertAlign val="subscript"/>
      <sz val="9"/>
      <name val="Consolas"/>
      <family val="2"/>
    </font>
    <font>
      <vertAlign val="subscript"/>
      <sz val="9"/>
      <color rgb="FFFF0000"/>
      <name val="Consolas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5">
    <xf numFmtId="0" fontId="0" fillId="0" borderId="0" xfId="0"/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0" xfId="0" applyFont="1"/>
    <xf numFmtId="0" fontId="4" fillId="0" borderId="10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6" borderId="0" xfId="0" applyFont="1" applyFill="1" applyAlignment="1">
      <alignment horizontal="center"/>
    </xf>
    <xf numFmtId="0" fontId="4" fillId="0" borderId="0" xfId="0" applyFont="1" applyAlignment="1">
      <alignment horizontal="right"/>
    </xf>
    <xf numFmtId="0" fontId="7" fillId="0" borderId="12" xfId="0" applyFont="1" applyBorder="1" applyAlignment="1">
      <alignment horizontal="center"/>
    </xf>
    <xf numFmtId="0" fontId="7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12" xfId="0" applyFont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165" fontId="9" fillId="0" borderId="0" xfId="0" applyNumberFormat="1" applyFont="1" applyAlignment="1">
      <alignment horizontal="center"/>
    </xf>
    <xf numFmtId="165" fontId="9" fillId="4" borderId="17" xfId="0" applyNumberFormat="1" applyFont="1" applyFill="1" applyBorder="1" applyAlignment="1">
      <alignment horizontal="center"/>
    </xf>
    <xf numFmtId="0" fontId="9" fillId="0" borderId="0" xfId="0" applyFont="1" applyAlignment="1">
      <alignment horizontal="right"/>
    </xf>
    <xf numFmtId="166" fontId="4" fillId="0" borderId="0" xfId="0" applyNumberFormat="1" applyFont="1" applyAlignment="1">
      <alignment horizontal="center"/>
    </xf>
    <xf numFmtId="0" fontId="4" fillId="5" borderId="0" xfId="0" applyFont="1" applyFill="1" applyAlignment="1">
      <alignment horizontal="center"/>
    </xf>
    <xf numFmtId="166" fontId="4" fillId="4" borderId="15" xfId="0" applyNumberFormat="1" applyFont="1" applyFill="1" applyBorder="1" applyAlignment="1">
      <alignment horizontal="center"/>
    </xf>
    <xf numFmtId="166" fontId="4" fillId="4" borderId="16" xfId="0" applyNumberFormat="1" applyFont="1" applyFill="1" applyBorder="1" applyAlignment="1">
      <alignment horizontal="center"/>
    </xf>
    <xf numFmtId="166" fontId="4" fillId="0" borderId="7" xfId="0" applyNumberFormat="1" applyFont="1" applyBorder="1" applyAlignment="1">
      <alignment horizontal="center"/>
    </xf>
    <xf numFmtId="166" fontId="4" fillId="0" borderId="10" xfId="0" applyNumberFormat="1" applyFont="1" applyBorder="1" applyAlignment="1">
      <alignment horizontal="center"/>
    </xf>
    <xf numFmtId="166" fontId="7" fillId="0" borderId="0" xfId="0" applyNumberFormat="1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2" fontId="7" fillId="4" borderId="15" xfId="0" applyNumberFormat="1" applyFont="1" applyFill="1" applyBorder="1" applyAlignment="1">
      <alignment horizontal="center"/>
    </xf>
    <xf numFmtId="2" fontId="7" fillId="3" borderId="16" xfId="0" applyNumberFormat="1" applyFont="1" applyFill="1" applyBorder="1" applyAlignment="1">
      <alignment horizontal="center"/>
    </xf>
    <xf numFmtId="2" fontId="7" fillId="0" borderId="7" xfId="0" applyNumberFormat="1" applyFont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10" xfId="0" applyNumberFormat="1" applyFont="1" applyBorder="1" applyAlignment="1">
      <alignment horizontal="center"/>
    </xf>
    <xf numFmtId="0" fontId="7" fillId="8" borderId="0" xfId="0" applyFont="1" applyFill="1"/>
    <xf numFmtId="2" fontId="7" fillId="4" borderId="16" xfId="0" applyNumberFormat="1" applyFont="1" applyFill="1" applyBorder="1" applyAlignment="1">
      <alignment horizontal="center"/>
    </xf>
    <xf numFmtId="0" fontId="11" fillId="8" borderId="0" xfId="0" applyFont="1" applyFill="1"/>
    <xf numFmtId="0" fontId="8" fillId="0" borderId="0" xfId="1" applyFont="1"/>
    <xf numFmtId="0" fontId="7" fillId="0" borderId="0" xfId="1" applyFont="1"/>
    <xf numFmtId="0" fontId="7" fillId="0" borderId="0" xfId="1" applyFont="1" applyAlignment="1">
      <alignment horizontal="center"/>
    </xf>
    <xf numFmtId="0" fontId="8" fillId="0" borderId="0" xfId="1" applyFont="1" applyAlignment="1">
      <alignment horizontal="center"/>
    </xf>
    <xf numFmtId="0" fontId="7" fillId="0" borderId="0" xfId="1" applyFont="1" applyAlignment="1">
      <alignment horizontal="right"/>
    </xf>
    <xf numFmtId="0" fontId="7" fillId="5" borderId="0" xfId="1" applyFont="1" applyFill="1" applyAlignment="1">
      <alignment horizontal="center"/>
    </xf>
    <xf numFmtId="0" fontId="7" fillId="0" borderId="1" xfId="1" applyFont="1" applyBorder="1"/>
    <xf numFmtId="0" fontId="7" fillId="0" borderId="2" xfId="1" applyFont="1" applyBorder="1" applyAlignment="1">
      <alignment horizontal="center"/>
    </xf>
    <xf numFmtId="0" fontId="7" fillId="0" borderId="3" xfId="1" applyFont="1" applyBorder="1"/>
    <xf numFmtId="0" fontId="7" fillId="0" borderId="4" xfId="1" applyFont="1" applyBorder="1" applyAlignment="1">
      <alignment horizontal="center"/>
    </xf>
    <xf numFmtId="0" fontId="7" fillId="0" borderId="5" xfId="1" applyFont="1" applyBorder="1" applyAlignment="1">
      <alignment horizontal="center"/>
    </xf>
    <xf numFmtId="0" fontId="7" fillId="0" borderId="6" xfId="1" applyFont="1" applyBorder="1" applyAlignment="1">
      <alignment horizontal="center"/>
    </xf>
    <xf numFmtId="0" fontId="7" fillId="0" borderId="7" xfId="1" applyFont="1" applyBorder="1" applyAlignment="1">
      <alignment horizontal="right"/>
    </xf>
    <xf numFmtId="0" fontId="7" fillId="4" borderId="9" xfId="1" applyFont="1" applyFill="1" applyBorder="1" applyAlignment="1">
      <alignment horizontal="center"/>
    </xf>
    <xf numFmtId="0" fontId="7" fillId="4" borderId="0" xfId="1" applyFont="1" applyFill="1"/>
    <xf numFmtId="0" fontId="7" fillId="4" borderId="10" xfId="1" applyFont="1" applyFill="1" applyBorder="1"/>
    <xf numFmtId="0" fontId="13" fillId="0" borderId="7" xfId="1" applyFont="1" applyBorder="1" applyAlignment="1">
      <alignment horizontal="right"/>
    </xf>
    <xf numFmtId="0" fontId="13" fillId="4" borderId="9" xfId="1" applyFont="1" applyFill="1" applyBorder="1" applyAlignment="1">
      <alignment horizontal="center"/>
    </xf>
    <xf numFmtId="0" fontId="7" fillId="0" borderId="8" xfId="1" applyFont="1" applyBorder="1" applyAlignment="1">
      <alignment horizontal="right"/>
    </xf>
    <xf numFmtId="0" fontId="7" fillId="4" borderId="11" xfId="1" applyFont="1" applyFill="1" applyBorder="1" applyAlignment="1">
      <alignment horizontal="center"/>
    </xf>
    <xf numFmtId="0" fontId="7" fillId="4" borderId="12" xfId="1" applyFont="1" applyFill="1" applyBorder="1"/>
    <xf numFmtId="0" fontId="7" fillId="4" borderId="13" xfId="1" applyFont="1" applyFill="1" applyBorder="1"/>
    <xf numFmtId="3" fontId="7" fillId="5" borderId="0" xfId="1" applyNumberFormat="1" applyFont="1" applyFill="1" applyAlignment="1">
      <alignment horizontal="center"/>
    </xf>
    <xf numFmtId="0" fontId="15" fillId="0" borderId="0" xfId="0" applyFont="1"/>
    <xf numFmtId="0" fontId="16" fillId="6" borderId="0" xfId="0" applyFont="1" applyFill="1"/>
    <xf numFmtId="0" fontId="1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4" fillId="0" borderId="14" xfId="0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4" fillId="0" borderId="27" xfId="0" applyFont="1" applyBorder="1" applyAlignment="1">
      <alignment horizontal="center"/>
    </xf>
    <xf numFmtId="164" fontId="4" fillId="0" borderId="12" xfId="0" applyNumberFormat="1" applyFont="1" applyBorder="1" applyAlignment="1">
      <alignment horizontal="center"/>
    </xf>
    <xf numFmtId="0" fontId="4" fillId="6" borderId="21" xfId="0" applyFont="1" applyFill="1" applyBorder="1"/>
    <xf numFmtId="0" fontId="4" fillId="6" borderId="22" xfId="0" applyFont="1" applyFill="1" applyBorder="1"/>
    <xf numFmtId="0" fontId="4" fillId="0" borderId="23" xfId="0" applyFont="1" applyBorder="1" applyAlignment="1">
      <alignment horizontal="right"/>
    </xf>
    <xf numFmtId="0" fontId="4" fillId="0" borderId="24" xfId="0" applyFont="1" applyBorder="1" applyAlignment="1">
      <alignment horizontal="left"/>
    </xf>
    <xf numFmtId="0" fontId="4" fillId="0" borderId="25" xfId="0" applyFont="1" applyBorder="1" applyAlignment="1">
      <alignment horizontal="right"/>
    </xf>
    <xf numFmtId="0" fontId="4" fillId="0" borderId="26" xfId="0" applyFont="1" applyBorder="1" applyAlignment="1">
      <alignment horizontal="left"/>
    </xf>
    <xf numFmtId="0" fontId="4" fillId="0" borderId="7" xfId="0" applyFont="1" applyBorder="1"/>
    <xf numFmtId="0" fontId="17" fillId="0" borderId="10" xfId="0" applyFont="1" applyBorder="1" applyAlignment="1">
      <alignment horizontal="center"/>
    </xf>
    <xf numFmtId="0" fontId="3" fillId="0" borderId="0" xfId="0" applyFont="1"/>
    <xf numFmtId="0" fontId="13" fillId="0" borderId="0" xfId="0" applyFont="1"/>
    <xf numFmtId="0" fontId="8" fillId="0" borderId="0" xfId="0" applyFont="1" applyAlignment="1">
      <alignment horizontal="left"/>
    </xf>
    <xf numFmtId="164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165" fontId="7" fillId="4" borderId="17" xfId="0" applyNumberFormat="1" applyFont="1" applyFill="1" applyBorder="1" applyAlignment="1">
      <alignment horizontal="center"/>
    </xf>
    <xf numFmtId="0" fontId="4" fillId="0" borderId="8" xfId="0" quotePrefix="1" applyFont="1" applyBorder="1" applyAlignment="1">
      <alignment horizontal="center"/>
    </xf>
    <xf numFmtId="0" fontId="4" fillId="0" borderId="12" xfId="0" quotePrefix="1" applyFont="1" applyBorder="1" applyAlignment="1">
      <alignment horizontal="center"/>
    </xf>
    <xf numFmtId="0" fontId="19" fillId="0" borderId="0" xfId="0" applyFont="1"/>
    <xf numFmtId="0" fontId="18" fillId="0" borderId="0" xfId="1" applyFont="1"/>
    <xf numFmtId="0" fontId="3" fillId="0" borderId="0" xfId="1" applyFont="1"/>
    <xf numFmtId="0" fontId="3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3" fillId="0" borderId="0" xfId="1" applyFont="1" applyAlignment="1">
      <alignment horizontal="right"/>
    </xf>
    <xf numFmtId="0" fontId="3" fillId="5" borderId="0" xfId="1" applyFont="1" applyFill="1" applyAlignment="1">
      <alignment horizontal="center"/>
    </xf>
    <xf numFmtId="0" fontId="3" fillId="0" borderId="1" xfId="1" applyFont="1" applyBorder="1"/>
    <xf numFmtId="0" fontId="3" fillId="0" borderId="2" xfId="1" applyFont="1" applyBorder="1" applyAlignment="1">
      <alignment horizontal="center"/>
    </xf>
    <xf numFmtId="0" fontId="3" fillId="0" borderId="3" xfId="1" applyFont="1" applyBorder="1"/>
    <xf numFmtId="0" fontId="3" fillId="0" borderId="4" xfId="1" applyFont="1" applyBorder="1" applyAlignment="1">
      <alignment horizontal="center"/>
    </xf>
    <xf numFmtId="0" fontId="3" fillId="0" borderId="5" xfId="1" applyFont="1" applyBorder="1" applyAlignment="1">
      <alignment horizontal="center"/>
    </xf>
    <xf numFmtId="0" fontId="3" fillId="0" borderId="6" xfId="1" applyFont="1" applyBorder="1" applyAlignment="1">
      <alignment horizontal="center"/>
    </xf>
    <xf numFmtId="0" fontId="3" fillId="0" borderId="7" xfId="1" applyFont="1" applyBorder="1" applyAlignment="1">
      <alignment horizontal="right"/>
    </xf>
    <xf numFmtId="0" fontId="3" fillId="4" borderId="9" xfId="1" applyFont="1" applyFill="1" applyBorder="1" applyAlignment="1">
      <alignment horizontal="center"/>
    </xf>
    <xf numFmtId="0" fontId="3" fillId="4" borderId="0" xfId="1" applyFont="1" applyFill="1"/>
    <xf numFmtId="0" fontId="3" fillId="4" borderId="10" xfId="1" applyFont="1" applyFill="1" applyBorder="1"/>
    <xf numFmtId="0" fontId="5" fillId="0" borderId="7" xfId="1" applyFont="1" applyBorder="1" applyAlignment="1">
      <alignment horizontal="right"/>
    </xf>
    <xf numFmtId="0" fontId="5" fillId="4" borderId="9" xfId="1" applyFont="1" applyFill="1" applyBorder="1" applyAlignment="1">
      <alignment horizontal="center"/>
    </xf>
    <xf numFmtId="0" fontId="18" fillId="7" borderId="19" xfId="1" applyFont="1" applyFill="1" applyBorder="1" applyAlignment="1">
      <alignment horizontal="center"/>
    </xf>
    <xf numFmtId="0" fontId="18" fillId="7" borderId="20" xfId="1" applyFont="1" applyFill="1" applyBorder="1" applyAlignment="1">
      <alignment horizontal="center"/>
    </xf>
    <xf numFmtId="0" fontId="3" fillId="0" borderId="7" xfId="1" applyFont="1" applyBorder="1" applyAlignment="1">
      <alignment horizontal="center"/>
    </xf>
    <xf numFmtId="0" fontId="3" fillId="0" borderId="10" xfId="1" applyFont="1" applyBorder="1" applyAlignment="1">
      <alignment horizontal="center"/>
    </xf>
    <xf numFmtId="0" fontId="3" fillId="0" borderId="8" xfId="1" applyFont="1" applyBorder="1" applyAlignment="1">
      <alignment horizontal="center"/>
    </xf>
    <xf numFmtId="0" fontId="3" fillId="0" borderId="13" xfId="1" applyFont="1" applyBorder="1" applyAlignment="1">
      <alignment horizontal="center"/>
    </xf>
    <xf numFmtId="3" fontId="3" fillId="5" borderId="0" xfId="1" applyNumberFormat="1" applyFont="1" applyFill="1" applyAlignment="1">
      <alignment horizontal="center"/>
    </xf>
    <xf numFmtId="0" fontId="3" fillId="0" borderId="8" xfId="1" applyFont="1" applyBorder="1" applyAlignment="1">
      <alignment horizontal="right"/>
    </xf>
    <xf numFmtId="0" fontId="3" fillId="4" borderId="11" xfId="1" applyFont="1" applyFill="1" applyBorder="1" applyAlignment="1">
      <alignment horizontal="center"/>
    </xf>
    <xf numFmtId="0" fontId="3" fillId="4" borderId="12" xfId="1" applyFont="1" applyFill="1" applyBorder="1"/>
    <xf numFmtId="0" fontId="3" fillId="4" borderId="13" xfId="1" applyFont="1" applyFill="1" applyBorder="1"/>
    <xf numFmtId="0" fontId="8" fillId="8" borderId="0" xfId="0" applyFont="1" applyFill="1"/>
    <xf numFmtId="0" fontId="6" fillId="9" borderId="0" xfId="0" applyFont="1" applyFill="1"/>
    <xf numFmtId="0" fontId="6" fillId="0" borderId="0" xfId="0" applyFont="1" applyAlignment="1">
      <alignment horizontal="center"/>
    </xf>
    <xf numFmtId="0" fontId="5" fillId="0" borderId="0" xfId="1" applyFont="1" applyAlignment="1">
      <alignment horizontal="right"/>
    </xf>
    <xf numFmtId="0" fontId="5" fillId="5" borderId="0" xfId="1" applyFont="1" applyFill="1" applyAlignment="1">
      <alignment horizontal="center"/>
    </xf>
    <xf numFmtId="0" fontId="5" fillId="9" borderId="0" xfId="0" applyFont="1" applyFill="1"/>
    <xf numFmtId="0" fontId="7" fillId="8" borderId="0" xfId="0" applyFont="1" applyFill="1" applyAlignment="1">
      <alignment horizontal="center"/>
    </xf>
    <xf numFmtId="0" fontId="3" fillId="0" borderId="18" xfId="1" applyFont="1" applyBorder="1" applyAlignment="1">
      <alignment horizontal="center"/>
    </xf>
    <xf numFmtId="0" fontId="3" fillId="0" borderId="14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14" xfId="1" applyFont="1" applyBorder="1" applyAlignment="1">
      <alignment horizontal="center"/>
    </xf>
  </cellXfs>
  <cellStyles count="2">
    <cellStyle name="Normal" xfId="0" builtinId="0"/>
    <cellStyle name="Normal 2" xfId="1" xr:uid="{1090BC32-815E-134F-B836-5CAFFA72C7DE}"/>
  </cellStyles>
  <dxfs count="16"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87852</xdr:colOff>
      <xdr:row>0</xdr:row>
      <xdr:rowOff>78289</xdr:rowOff>
    </xdr:from>
    <xdr:to>
      <xdr:col>14</xdr:col>
      <xdr:colOff>756781</xdr:colOff>
      <xdr:row>8</xdr:row>
      <xdr:rowOff>130480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980B6A5-F7B5-764F-BA78-C39C29228034}"/>
            </a:ext>
          </a:extLst>
        </xdr:cNvPr>
        <xdr:cNvSpPr txBox="1"/>
      </xdr:nvSpPr>
      <xdr:spPr>
        <a:xfrm>
          <a:off x="87852" y="78289"/>
          <a:ext cx="10011258" cy="14439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latin typeface="Consolas" panose="020B0609020204030204" pitchFamily="49" charset="0"/>
              <a:cs typeface="Consolas" panose="020B0609020204030204" pitchFamily="49" charset="0"/>
            </a:rPr>
            <a:t>Total Possible Outcomes: 2^3 = 8 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  <a:p>
          <a:r>
            <a:rPr lang="en-US" sz="1100">
              <a:latin typeface="Consolas" panose="020B0609020204030204" pitchFamily="49" charset="0"/>
              <a:cs typeface="Consolas" panose="020B0609020204030204" pitchFamily="49" charset="0"/>
            </a:rPr>
            <a:t>Here are all 8 possible outcomes: HHH, HHT, HTH, HTT, THH, THT, TTH, TTT</a:t>
          </a:r>
        </a:p>
        <a:p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  <a:p>
          <a:r>
            <a:rPr lang="en-US" sz="1100" b="1">
              <a:latin typeface="Consolas" panose="020B0609020204030204" pitchFamily="49" charset="0"/>
              <a:cs typeface="Consolas" panose="020B0609020204030204" pitchFamily="49" charset="0"/>
            </a:rPr>
            <a:t>Counting Specific Outcomes: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  <a:p>
          <a:r>
            <a:rPr lang="en-US" sz="1100">
              <a:latin typeface="Consolas" panose="020B0609020204030204" pitchFamily="49" charset="0"/>
              <a:cs typeface="Consolas" panose="020B0609020204030204" pitchFamily="49" charset="0"/>
            </a:rPr>
            <a:t>0 Heads: There is only 1 outcome with 0 heads: TTT,</a:t>
          </a:r>
          <a:r>
            <a:rPr lang="en-US" sz="1100" baseline="0">
              <a:latin typeface="Consolas" panose="020B0609020204030204" pitchFamily="49" charset="0"/>
              <a:cs typeface="Consolas" panose="020B0609020204030204" pitchFamily="49" charset="0"/>
            </a:rPr>
            <a:t> 			P= 1/8 = 0.125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  <a:p>
          <a:r>
            <a:rPr lang="en-US" sz="1100">
              <a:latin typeface="Consolas" panose="020B0609020204030204" pitchFamily="49" charset="0"/>
              <a:cs typeface="Consolas" panose="020B0609020204030204" pitchFamily="49" charset="0"/>
            </a:rPr>
            <a:t>1 Head: The outcomes with exactly 1 head are 3 outcomes: HTT, THT, TTH,</a:t>
          </a:r>
          <a:r>
            <a:rPr lang="en-US" sz="1100" baseline="0">
              <a:latin typeface="Consolas" panose="020B0609020204030204" pitchFamily="49" charset="0"/>
              <a:cs typeface="Consolas" panose="020B0609020204030204" pitchFamily="49" charset="0"/>
            </a:rPr>
            <a:t> 	P= 3/8 = 0.375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  <a:p>
          <a:r>
            <a:rPr lang="en-US" sz="1100">
              <a:latin typeface="Consolas" panose="020B0609020204030204" pitchFamily="49" charset="0"/>
              <a:cs typeface="Consolas" panose="020B0609020204030204" pitchFamily="49" charset="0"/>
            </a:rPr>
            <a:t>2 Heads: The outcomes with exactly 2 heads are 3  outcomes: HHT, HTH, THH,</a:t>
          </a:r>
          <a:r>
            <a:rPr lang="en-US" sz="1100" baseline="0">
              <a:latin typeface="Consolas" panose="020B0609020204030204" pitchFamily="49" charset="0"/>
              <a:cs typeface="Consolas" panose="020B0609020204030204" pitchFamily="49" charset="0"/>
            </a:rPr>
            <a:t> 	P= 3/8 = 0.375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  <a:p>
          <a:r>
            <a:rPr lang="en-US" sz="1100">
              <a:latin typeface="Consolas" panose="020B0609020204030204" pitchFamily="49" charset="0"/>
              <a:cs typeface="Consolas" panose="020B0609020204030204" pitchFamily="49" charset="0"/>
            </a:rPr>
            <a:t>3 Heads: There is only 1 outcome with 3 heads: HHH,</a:t>
          </a:r>
          <a:r>
            <a:rPr lang="en-US" sz="1100" baseline="0">
              <a:latin typeface="Consolas" panose="020B0609020204030204" pitchFamily="49" charset="0"/>
              <a:cs typeface="Consolas" panose="020B0609020204030204" pitchFamily="49" charset="0"/>
            </a:rPr>
            <a:t> 			P= 1/8 = 0.125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8698</xdr:colOff>
      <xdr:row>18</xdr:row>
      <xdr:rowOff>182671</xdr:rowOff>
    </xdr:from>
    <xdr:to>
      <xdr:col>16</xdr:col>
      <xdr:colOff>565411</xdr:colOff>
      <xdr:row>24</xdr:row>
      <xdr:rowOff>43492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8BD303E-444C-055D-2DF9-9D25276FFE14}"/>
            </a:ext>
          </a:extLst>
        </xdr:cNvPr>
        <xdr:cNvSpPr txBox="1"/>
      </xdr:nvSpPr>
      <xdr:spPr>
        <a:xfrm>
          <a:off x="8524657" y="3348972"/>
          <a:ext cx="2974932" cy="9568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latin typeface="Consolas" panose="020B0609020204030204" pitchFamily="49" charset="0"/>
              <a:cs typeface="Consolas" panose="020B0609020204030204" pitchFamily="49" charset="0"/>
            </a:rPr>
            <a:t>The </a:t>
          </a:r>
          <a:r>
            <a:rPr lang="en-US" b="1">
              <a:latin typeface="Consolas" panose="020B0609020204030204" pitchFamily="49" charset="0"/>
              <a:cs typeface="Consolas" panose="020B0609020204030204" pitchFamily="49" charset="0"/>
            </a:rPr>
            <a:t>Law of Large Numbers</a:t>
          </a:r>
          <a:r>
            <a:rPr lang="en-US">
              <a:latin typeface="Consolas" panose="020B0609020204030204" pitchFamily="49" charset="0"/>
              <a:cs typeface="Consolas" panose="020B0609020204030204" pitchFamily="49" charset="0"/>
            </a:rPr>
            <a:t> says that when you repeat an experiment many times</a:t>
          </a:r>
          <a:r>
            <a:rPr lang="en-US" baseline="0">
              <a:latin typeface="Consolas" panose="020B0609020204030204" pitchFamily="49" charset="0"/>
              <a:cs typeface="Consolas" panose="020B0609020204030204" pitchFamily="49" charset="0"/>
            </a:rPr>
            <a:t> </a:t>
          </a:r>
          <a:r>
            <a:rPr lang="en-US">
              <a:latin typeface="Consolas" panose="020B0609020204030204" pitchFamily="49" charset="0"/>
              <a:cs typeface="Consolas" panose="020B0609020204030204" pitchFamily="49" charset="0"/>
            </a:rPr>
            <a:t>the average of your results will get closer and closer to the expected (theoretical) value.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801470</xdr:colOff>
      <xdr:row>0</xdr:row>
      <xdr:rowOff>22515</xdr:rowOff>
    </xdr:from>
    <xdr:to>
      <xdr:col>5</xdr:col>
      <xdr:colOff>457200</xdr:colOff>
      <xdr:row>8</xdr:row>
      <xdr:rowOff>132101</xdr:rowOff>
    </xdr:to>
    <xdr:pic>
      <xdr:nvPicPr>
        <xdr:cNvPr id="2" name="Picture 1" descr="Continuous uniform distribution - Wikipedia">
          <a:extLst>
            <a:ext uri="{FF2B5EF4-FFF2-40B4-BE49-F238E27FC236}">
              <a16:creationId xmlns:a16="http://schemas.microsoft.com/office/drawing/2014/main" id="{C746FDD3-B6C9-0E46-8D78-A425173E3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8370" y="22515"/>
          <a:ext cx="1725830" cy="1227186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0</xdr:col>
      <xdr:colOff>79952</xdr:colOff>
      <xdr:row>0</xdr:row>
      <xdr:rowOff>52245</xdr:rowOff>
    </xdr:from>
    <xdr:to>
      <xdr:col>3</xdr:col>
      <xdr:colOff>642793</xdr:colOff>
      <xdr:row>9</xdr:row>
      <xdr:rowOff>12700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69E5AFF-D124-9ED5-FC51-E1780859BE70}"/>
            </a:ext>
          </a:extLst>
        </xdr:cNvPr>
        <xdr:cNvSpPr txBox="1"/>
      </xdr:nvSpPr>
      <xdr:spPr>
        <a:xfrm>
          <a:off x="79952" y="52245"/>
          <a:ext cx="3699741" cy="12177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a)</a:t>
          </a:r>
          <a:r>
            <a:rPr lang="en-US" sz="800" b="0" baseline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</a:t>
          </a:r>
          <a:r>
            <a:rPr lang="en-US" sz="8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Uniform</a:t>
          </a:r>
          <a:r>
            <a:rPr lang="en-US" sz="800" baseline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: a + (b-a) * RAND()</a:t>
          </a:r>
        </a:p>
        <a:p>
          <a:endParaRPr lang="en-US" sz="80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r>
            <a:rPr lang="en-US" sz="8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3 + 5(0.6505) = 6.25</a:t>
          </a:r>
          <a:br>
            <a:rPr lang="en-US" sz="8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</a:br>
          <a:r>
            <a:rPr lang="en-US" sz="8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3 + 5(0.0740) = 3.37</a:t>
          </a:r>
          <a:br>
            <a:rPr lang="en-US" sz="8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</a:br>
          <a:r>
            <a:rPr lang="en-US" sz="8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3 + 5(0.8443) = 7.22</a:t>
          </a:r>
          <a:br>
            <a:rPr lang="en-US" sz="8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</a:br>
          <a:r>
            <a:rPr lang="en-US" sz="8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3 + 5(0.4975) = 5.49</a:t>
          </a:r>
          <a:br>
            <a:rPr lang="en-US" sz="8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</a:br>
          <a:r>
            <a:rPr lang="en-US" sz="8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3 + 5(0.8178) = 7.09</a:t>
          </a:r>
        </a:p>
        <a:p>
          <a:r>
            <a:rPr lang="en-US" sz="8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	</a:t>
          </a:r>
        </a:p>
        <a:p>
          <a:r>
            <a:rPr lang="en-US" sz="800" b="1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b)</a:t>
          </a:r>
          <a:r>
            <a:rPr lang="en-US" sz="800" b="0" baseline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</a:t>
          </a:r>
          <a:r>
            <a:rPr lang="en-US" sz="8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Average = 5.88 which is higher that the mean of 5.5</a:t>
          </a:r>
        </a:p>
      </xdr:txBody>
    </xdr:sp>
    <xdr:clientData/>
  </xdr:twoCellAnchor>
  <xdr:twoCellAnchor>
    <xdr:from>
      <xdr:col>4</xdr:col>
      <xdr:colOff>0</xdr:colOff>
      <xdr:row>16</xdr:row>
      <xdr:rowOff>1</xdr:rowOff>
    </xdr:from>
    <xdr:to>
      <xdr:col>7</xdr:col>
      <xdr:colOff>79332</xdr:colOff>
      <xdr:row>20</xdr:row>
      <xdr:rowOff>57151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D164419-216F-2A48-BAA3-3E463A915291}"/>
            </a:ext>
          </a:extLst>
        </xdr:cNvPr>
        <xdr:cNvSpPr txBox="1"/>
      </xdr:nvSpPr>
      <xdr:spPr>
        <a:xfrm>
          <a:off x="3962400" y="2260601"/>
          <a:ext cx="2974932" cy="615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>
              <a:latin typeface="Consolas" panose="020B0609020204030204" pitchFamily="49" charset="0"/>
              <a:cs typeface="Consolas" panose="020B0609020204030204" pitchFamily="49" charset="0"/>
            </a:rPr>
            <a:t>The </a:t>
          </a:r>
          <a:r>
            <a:rPr lang="en-US" sz="800" b="1">
              <a:latin typeface="Consolas" panose="020B0609020204030204" pitchFamily="49" charset="0"/>
              <a:cs typeface="Consolas" panose="020B0609020204030204" pitchFamily="49" charset="0"/>
            </a:rPr>
            <a:t>Law of Large Numbers</a:t>
          </a:r>
          <a:r>
            <a:rPr lang="en-US" sz="800">
              <a:latin typeface="Consolas" panose="020B0609020204030204" pitchFamily="49" charset="0"/>
              <a:cs typeface="Consolas" panose="020B0609020204030204" pitchFamily="49" charset="0"/>
            </a:rPr>
            <a:t> says that when you repeat an experiment many times</a:t>
          </a:r>
          <a:r>
            <a:rPr lang="en-US" sz="800" baseline="0">
              <a:latin typeface="Consolas" panose="020B0609020204030204" pitchFamily="49" charset="0"/>
              <a:cs typeface="Consolas" panose="020B0609020204030204" pitchFamily="49" charset="0"/>
            </a:rPr>
            <a:t> </a:t>
          </a:r>
          <a:r>
            <a:rPr lang="en-US" sz="800">
              <a:latin typeface="Consolas" panose="020B0609020204030204" pitchFamily="49" charset="0"/>
              <a:cs typeface="Consolas" panose="020B0609020204030204" pitchFamily="49" charset="0"/>
            </a:rPr>
            <a:t>the average of your results will get closer and closer to the expected (theoretical) value.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84667</xdr:colOff>
      <xdr:row>0</xdr:row>
      <xdr:rowOff>91017</xdr:rowOff>
    </xdr:from>
    <xdr:to>
      <xdr:col>5</xdr:col>
      <xdr:colOff>6350</xdr:colOff>
      <xdr:row>12</xdr:row>
      <xdr:rowOff>113800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E3E5743-9A2C-D104-7998-75D5EBDA5DBA}"/>
            </a:ext>
          </a:extLst>
        </xdr:cNvPr>
        <xdr:cNvSpPr txBox="1"/>
      </xdr:nvSpPr>
      <xdr:spPr>
        <a:xfrm>
          <a:off x="84667" y="91017"/>
          <a:ext cx="4856020" cy="15522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 b="1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a)</a:t>
          </a:r>
          <a:r>
            <a:rPr lang="en-US" sz="700" b="1" baseline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</a:t>
          </a:r>
          <a:r>
            <a:rPr lang="en-US" sz="7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Let the numbers 0.0000 to 0.3999 correspond to a minor repair and 0.4000 to 0.9999 correspond to a major repair. </a:t>
          </a:r>
        </a:p>
        <a:p>
          <a:endParaRPr lang="en-US" sz="70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Bicycle 1: </a:t>
          </a:r>
          <a:r>
            <a:rPr lang="en-US" sz="700" b="0" i="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0.7256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&gt; 0.4 (Major repair)</a:t>
          </a:r>
        </a:p>
        <a:p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Bicycle 2: </a:t>
          </a:r>
          <a:r>
            <a:rPr lang="en-US" sz="700" b="0" i="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0.0817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&lt; 0.4 (Minor repair)</a:t>
          </a:r>
        </a:p>
        <a:p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Bicycle 3: </a:t>
          </a:r>
          <a:r>
            <a:rPr lang="en-US" sz="700" b="0" i="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0.4392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&gt; 0.4 (Major repair)</a:t>
          </a:r>
        </a:p>
        <a:p>
          <a:endParaRPr lang="en-US" sz="70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Simulate the repair times using the random numbers 0.2243, 0.9503, and 0.6104:</a:t>
          </a:r>
        </a:p>
        <a:p>
          <a:br>
            <a:rPr lang="en-US" sz="7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</a:b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Bicycle 1 (Major repair): 1 + (</a:t>
          </a:r>
          <a:r>
            <a:rPr lang="en-US" sz="700" b="0" i="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0.2243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* (2 - 1)) = 1.2243 hours</a:t>
          </a:r>
        </a:p>
        <a:p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Bicycle 2 (Minor repair): 0 + (</a:t>
          </a:r>
          <a:r>
            <a:rPr lang="en-US" sz="700" b="0" i="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0.9503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* (1 - 0)) = 0.9503 hours</a:t>
          </a:r>
        </a:p>
        <a:p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Bicycle 3 (Minor repair): 1 + (</a:t>
          </a:r>
          <a:r>
            <a:rPr lang="en-US" sz="700" b="0" i="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0.6104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* (2 - 1)) = 1.6104 hours</a:t>
          </a:r>
        </a:p>
        <a:p>
          <a:endParaRPr lang="en-US" sz="700" b="0" i="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r>
            <a:rPr lang="en-US" sz="700" b="1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Mean = (1.2243 + 0.9503 + 1.6104) / 3 = 3.785 / 3 = 1.2617 hours</a:t>
          </a:r>
        </a:p>
        <a:p>
          <a:br>
            <a:rPr lang="en-US" sz="700">
              <a:latin typeface="Consolas" panose="020B0609020204030204" pitchFamily="49" charset="0"/>
              <a:cs typeface="Consolas" panose="020B0609020204030204" pitchFamily="49" charset="0"/>
            </a:rPr>
          </a:br>
          <a:endParaRPr lang="en-US" sz="70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br>
            <a:rPr lang="en-US" sz="700" b="1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</a:br>
          <a:r>
            <a:rPr lang="en-US" sz="700" b="1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	</a:t>
          </a:r>
        </a:p>
      </xdr:txBody>
    </xdr:sp>
    <xdr:clientData/>
  </xdr:twoCellAnchor>
  <xdr:twoCellAnchor editAs="oneCell">
    <xdr:from>
      <xdr:col>6</xdr:col>
      <xdr:colOff>15362</xdr:colOff>
      <xdr:row>1</xdr:row>
      <xdr:rowOff>42511</xdr:rowOff>
    </xdr:from>
    <xdr:to>
      <xdr:col>8</xdr:col>
      <xdr:colOff>339573</xdr:colOff>
      <xdr:row>11</xdr:row>
      <xdr:rowOff>40968</xdr:rowOff>
    </xdr:to>
    <xdr:pic>
      <xdr:nvPicPr>
        <xdr:cNvPr id="3" name="Picture 2" descr="Continuous uniform distribution - Wikipedia">
          <a:extLst>
            <a:ext uri="{FF2B5EF4-FFF2-40B4-BE49-F238E27FC236}">
              <a16:creationId xmlns:a16="http://schemas.microsoft.com/office/drawing/2014/main" id="{77577E52-F482-4042-9055-B6F4593D15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0927" y="170042"/>
          <a:ext cx="1923667" cy="1273771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0</xdr:col>
      <xdr:colOff>95250</xdr:colOff>
      <xdr:row>13</xdr:row>
      <xdr:rowOff>27310</xdr:rowOff>
    </xdr:from>
    <xdr:to>
      <xdr:col>5</xdr:col>
      <xdr:colOff>12700</xdr:colOff>
      <xdr:row>24</xdr:row>
      <xdr:rowOff>13656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118DDDB-6899-5EE5-128E-7649D8DB1B05}"/>
            </a:ext>
          </a:extLst>
        </xdr:cNvPr>
        <xdr:cNvSpPr txBox="1"/>
      </xdr:nvSpPr>
      <xdr:spPr>
        <a:xfrm>
          <a:off x="95250" y="1684228"/>
          <a:ext cx="4851787" cy="13883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 b="1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b)</a:t>
          </a:r>
          <a:r>
            <a:rPr lang="en-US" sz="7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Using</a:t>
          </a:r>
          <a:r>
            <a:rPr lang="en-US" sz="700">
              <a:latin typeface="Consolas" panose="020B0609020204030204" pitchFamily="49" charset="0"/>
              <a:cs typeface="Consolas" panose="020B0609020204030204" pitchFamily="49" charset="0"/>
            </a:rPr>
            <a:t> complements of the random numbers, which are</a:t>
          </a:r>
          <a:r>
            <a:rPr lang="en-US" sz="700" baseline="0">
              <a:latin typeface="Consolas" panose="020B0609020204030204" pitchFamily="49" charset="0"/>
              <a:cs typeface="Consolas" panose="020B0609020204030204" pitchFamily="49" charset="0"/>
            </a:rPr>
            <a:t>    </a:t>
          </a:r>
          <a:r>
            <a:rPr lang="en-US" sz="700">
              <a:latin typeface="Consolas" panose="020B0609020204030204" pitchFamily="49" charset="0"/>
              <a:cs typeface="Consolas" panose="020B0609020204030204" pitchFamily="49" charset="0"/>
            </a:rPr>
            <a:t>0.2744, 0.9183, 0.5608, </a:t>
          </a:r>
        </a:p>
        <a:p>
          <a:r>
            <a:rPr lang="en-US" sz="700" baseline="0">
              <a:latin typeface="Consolas" panose="020B0609020204030204" pitchFamily="49" charset="0"/>
              <a:cs typeface="Consolas" panose="020B0609020204030204" pitchFamily="49" charset="0"/>
            </a:rPr>
            <a:t>                                             </a:t>
          </a:r>
          <a:r>
            <a:rPr lang="en-US" sz="700">
              <a:latin typeface="Consolas" panose="020B0609020204030204" pitchFamily="49" charset="0"/>
              <a:cs typeface="Consolas" panose="020B0609020204030204" pitchFamily="49" charset="0"/>
            </a:rPr>
            <a:t>and then </a:t>
          </a:r>
          <a:r>
            <a:rPr lang="en-US" sz="700" baseline="0">
              <a:latin typeface="Consolas" panose="020B0609020204030204" pitchFamily="49" charset="0"/>
              <a:cs typeface="Consolas" panose="020B0609020204030204" pitchFamily="49" charset="0"/>
            </a:rPr>
            <a:t>  	 </a:t>
          </a:r>
          <a:r>
            <a:rPr lang="en-US" sz="700">
              <a:latin typeface="Consolas" panose="020B0609020204030204" pitchFamily="49" charset="0"/>
              <a:cs typeface="Consolas" panose="020B0609020204030204" pitchFamily="49" charset="0"/>
            </a:rPr>
            <a:t>0.7757, 0.0497, and 0.3896</a:t>
          </a:r>
          <a:r>
            <a:rPr lang="en-US" sz="7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	</a:t>
          </a:r>
          <a:endParaRPr lang="en-US" sz="700" i="1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Bicycle 1: </a:t>
          </a:r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0.2744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&lt; 0.4 (Minor repair)</a:t>
          </a:r>
        </a:p>
        <a:p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Bicycle 2: </a:t>
          </a:r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0.9183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&gt; 0.4 (Major repair)</a:t>
          </a:r>
        </a:p>
        <a:p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Bicycle 3: </a:t>
          </a:r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0.5608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&gt; 0.4 (Major repair)</a:t>
          </a:r>
        </a:p>
        <a:p>
          <a:endParaRPr lang="en-US" sz="70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Bicycle 1 (Minor repair): 0 + (</a:t>
          </a:r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0.7757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* (1 - 0)) = </a:t>
          </a:r>
          <a:r>
            <a:rPr lang="en-US" sz="700">
              <a:latin typeface="Consolas" panose="020B0609020204030204" pitchFamily="49" charset="0"/>
              <a:cs typeface="Consolas" panose="020B0609020204030204" pitchFamily="49" charset="0"/>
            </a:rPr>
            <a:t>0.7757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hours</a:t>
          </a:r>
        </a:p>
        <a:p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Bicycle 2 (Major repair): 1 + (</a:t>
          </a:r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0.0497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* (2 - 1)) = </a:t>
          </a:r>
          <a:r>
            <a:rPr lang="en-US" sz="700">
              <a:latin typeface="Consolas" panose="020B0609020204030204" pitchFamily="49" charset="0"/>
              <a:cs typeface="Consolas" panose="020B0609020204030204" pitchFamily="49" charset="0"/>
            </a:rPr>
            <a:t>1.0497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hours</a:t>
          </a:r>
        </a:p>
        <a:p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Bicycle 3 (Major repair): 1 + (</a:t>
          </a:r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0.3896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* (2 - 1)) = </a:t>
          </a:r>
          <a:r>
            <a:rPr lang="en-US" sz="700">
              <a:latin typeface="Consolas" panose="020B0609020204030204" pitchFamily="49" charset="0"/>
              <a:cs typeface="Consolas" panose="020B0609020204030204" pitchFamily="49" charset="0"/>
            </a:rPr>
            <a:t>1.3896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hours</a:t>
          </a:r>
        </a:p>
        <a:p>
          <a:endParaRPr lang="en-US" sz="700" b="0" i="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r>
            <a:rPr lang="en-US" sz="700" b="1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Mean = (0.7757 + 1.0497 + 1.3896) / 3 = 3.215 / 3 = 1.0717 hours</a:t>
          </a:r>
          <a:endParaRPr lang="en-US" sz="1050"/>
        </a:p>
      </xdr:txBody>
    </xdr:sp>
    <xdr:clientData/>
  </xdr:twoCellAnchor>
  <xdr:twoCellAnchor>
    <xdr:from>
      <xdr:col>0</xdr:col>
      <xdr:colOff>90220</xdr:colOff>
      <xdr:row>24</xdr:row>
      <xdr:rowOff>44451</xdr:rowOff>
    </xdr:from>
    <xdr:to>
      <xdr:col>4</xdr:col>
      <xdr:colOff>1180281</xdr:colOff>
      <xdr:row>27</xdr:row>
      <xdr:rowOff>101601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BD72015-042E-8E40-37A7-892EA2C922CD}"/>
            </a:ext>
          </a:extLst>
        </xdr:cNvPr>
        <xdr:cNvSpPr txBox="1"/>
      </xdr:nvSpPr>
      <xdr:spPr>
        <a:xfrm>
          <a:off x="90220" y="3157999"/>
          <a:ext cx="4852265" cy="4463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700" b="1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c)</a:t>
          </a:r>
          <a:r>
            <a:rPr lang="en-US" sz="700" b="1" i="0" baseline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</a:t>
          </a:r>
          <a:r>
            <a:rPr lang="en-US" sz="700" b="0" i="0" baseline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Combining a and b or Using the method </a:t>
          </a:r>
          <a:r>
            <a:rPr lang="en-US" sz="700" b="0">
              <a:latin typeface="Consolas" panose="020B0609020204030204" pitchFamily="49" charset="0"/>
              <a:cs typeface="Consolas" panose="020B0609020204030204" pitchFamily="49" charset="0"/>
            </a:rPr>
            <a:t>the </a:t>
          </a:r>
          <a:r>
            <a:rPr lang="en-US" sz="700" b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method of complementary random numbers</a:t>
          </a:r>
          <a:endParaRPr lang="en-US" sz="700" b="0" i="0" baseline="0">
            <a:solidFill>
              <a:srgbClr val="FF0000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pPr marL="0" indent="0"/>
          <a:endParaRPr lang="en-US" sz="700" b="1" i="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pPr marL="0" indent="0"/>
          <a:r>
            <a:rPr lang="en-US" sz="700" b="1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Mean = (1.2243 + 0.9503 + 1.6104 + 0.7757 + 1.0497 + 1.3896) / 6 = 6.999/6 ≈ 1.1665 hrs</a:t>
          </a:r>
          <a:endParaRPr lang="en-US" sz="70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</xdr:txBody>
    </xdr:sp>
    <xdr:clientData/>
  </xdr:twoCellAnchor>
  <xdr:twoCellAnchor>
    <xdr:from>
      <xdr:col>0</xdr:col>
      <xdr:colOff>84233</xdr:colOff>
      <xdr:row>28</xdr:row>
      <xdr:rowOff>33068</xdr:rowOff>
    </xdr:from>
    <xdr:to>
      <xdr:col>4</xdr:col>
      <xdr:colOff>1181236</xdr:colOff>
      <xdr:row>31</xdr:row>
      <xdr:rowOff>90220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0432697-30B3-CCCB-2F8B-B4A564FFD1F0}"/>
            </a:ext>
          </a:extLst>
        </xdr:cNvPr>
        <xdr:cNvSpPr txBox="1"/>
      </xdr:nvSpPr>
      <xdr:spPr>
        <a:xfrm>
          <a:off x="84233" y="3665541"/>
          <a:ext cx="4859207" cy="4463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 b="1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d)</a:t>
          </a:r>
          <a:r>
            <a:rPr lang="en-US" sz="7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The method of complementary random numbers in part </a:t>
          </a:r>
          <a:r>
            <a:rPr lang="en-US" sz="700" i="1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c</a:t>
          </a:r>
          <a:r>
            <a:rPr lang="en-US" sz="7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gave the closest estimate. It performs well because using complements helps counteract the more extreme random numbers.</a:t>
          </a:r>
          <a:r>
            <a:rPr lang="en-US" sz="700" baseline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Also </a:t>
          </a:r>
          <a:r>
            <a:rPr lang="en-US" sz="700" b="0" i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because it takes into account a larger sample size. </a:t>
          </a:r>
          <a:endParaRPr lang="en-US" sz="700"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5</xdr:col>
      <xdr:colOff>264240</xdr:colOff>
      <xdr:row>15</xdr:row>
      <xdr:rowOff>55979</xdr:rowOff>
    </xdr:from>
    <xdr:to>
      <xdr:col>8</xdr:col>
      <xdr:colOff>579205</xdr:colOff>
      <xdr:row>22</xdr:row>
      <xdr:rowOff>80315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1C5A05B-B5F3-4641-B544-52A073ADC032}"/>
            </a:ext>
          </a:extLst>
        </xdr:cNvPr>
        <xdr:cNvSpPr txBox="1"/>
      </xdr:nvSpPr>
      <xdr:spPr>
        <a:xfrm>
          <a:off x="4832224" y="1938390"/>
          <a:ext cx="2177297" cy="902795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 b="0" i="0" u="none" strike="noStrike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Minor Repair 	= a + (b - a) * RAND()</a:t>
          </a:r>
        </a:p>
        <a:p>
          <a:r>
            <a:rPr lang="en-US" sz="700" b="0" i="0" u="none" strike="noStrike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	= 0 +</a:t>
          </a:r>
          <a:r>
            <a:rPr lang="en-US" sz="700" b="0" i="0" u="none" strike="noStrike" baseline="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(1 - 0) * RAND()</a:t>
          </a:r>
        </a:p>
        <a:p>
          <a:r>
            <a:rPr lang="en-US" sz="700" b="0" i="0" u="none" strike="noStrike" baseline="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	= RAND()</a:t>
          </a:r>
        </a:p>
        <a:p>
          <a:endParaRPr lang="en-US" sz="700" b="0" i="0" u="none" strike="noStrike">
            <a:solidFill>
              <a:srgbClr val="FF0000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r>
            <a:rPr lang="en-US" sz="700" b="0" i="0" u="none" strike="noStrike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Major Repair 	= a + (b - a) * RAND()</a:t>
          </a:r>
        </a:p>
        <a:p>
          <a:r>
            <a:rPr lang="en-US" sz="700" b="0" i="0" u="none" strike="noStrike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	= 1 +</a:t>
          </a:r>
          <a:r>
            <a:rPr lang="en-US" sz="700" b="0" i="0" u="none" strike="noStrike" baseline="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(2 - 1) * RAND()</a:t>
          </a:r>
        </a:p>
        <a:p>
          <a:r>
            <a:rPr lang="en-US" sz="700" b="0" i="0" u="none" strike="noStrike" baseline="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	= 1 + RAND()</a:t>
          </a:r>
          <a:endParaRPr lang="en-US" sz="700">
            <a:solidFill>
              <a:srgbClr val="FF0000"/>
            </a:solidFill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3</xdr:col>
      <xdr:colOff>6350</xdr:colOff>
      <xdr:row>19</xdr:row>
      <xdr:rowOff>5401</xdr:rowOff>
    </xdr:from>
    <xdr:to>
      <xdr:col>5</xdr:col>
      <xdr:colOff>264240</xdr:colOff>
      <xdr:row>35</xdr:row>
      <xdr:rowOff>69527</xdr:rowOff>
    </xdr:to>
    <xdr:cxnSp macro="">
      <xdr:nvCxnSpPr>
        <xdr:cNvPr id="8" name="Curved Connector 7">
          <a:extLst>
            <a:ext uri="{FF2B5EF4-FFF2-40B4-BE49-F238E27FC236}">
              <a16:creationId xmlns:a16="http://schemas.microsoft.com/office/drawing/2014/main" id="{6867E817-BAD1-1D4F-83AB-00C203127937}"/>
            </a:ext>
          </a:extLst>
        </xdr:cNvPr>
        <xdr:cNvCxnSpPr>
          <a:stCxn id="9" idx="3"/>
          <a:endCxn id="7" idx="1"/>
        </xdr:cNvCxnSpPr>
      </xdr:nvCxnSpPr>
      <xdr:spPr>
        <a:xfrm flipV="1">
          <a:off x="2747141" y="2389788"/>
          <a:ext cx="2085083" cy="2102150"/>
        </a:xfrm>
        <a:prstGeom prst="curvedConnector3">
          <a:avLst>
            <a:gd name="adj1" fmla="val 50000"/>
          </a:avLst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6351</xdr:colOff>
      <xdr:row>35</xdr:row>
      <xdr:rowOff>12764</xdr:rowOff>
    </xdr:from>
    <xdr:to>
      <xdr:col>3</xdr:col>
      <xdr:colOff>6350</xdr:colOff>
      <xdr:row>35</xdr:row>
      <xdr:rowOff>126290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717493BA-E86B-CD4D-8317-F01D50D2BB6E}"/>
            </a:ext>
          </a:extLst>
        </xdr:cNvPr>
        <xdr:cNvSpPr/>
      </xdr:nvSpPr>
      <xdr:spPr>
        <a:xfrm>
          <a:off x="1835151" y="4483164"/>
          <a:ext cx="914399" cy="11352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276365</xdr:colOff>
      <xdr:row>1</xdr:row>
      <xdr:rowOff>2477</xdr:rowOff>
    </xdr:from>
    <xdr:to>
      <xdr:col>10</xdr:col>
      <xdr:colOff>343459</xdr:colOff>
      <xdr:row>19</xdr:row>
      <xdr:rowOff>39937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88D03B0-5812-3933-DFCB-13D6CDF59071}"/>
            </a:ext>
          </a:extLst>
        </xdr:cNvPr>
        <xdr:cNvSpPr txBox="1"/>
      </xdr:nvSpPr>
      <xdr:spPr>
        <a:xfrm>
          <a:off x="276365" y="170213"/>
          <a:ext cx="8294138" cy="305670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>
            <a:lnSpc>
              <a:spcPct val="150000"/>
            </a:lnSpc>
          </a:pPr>
          <a:r>
            <a:rPr lang="en-US" sz="1050" b="1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Part a)</a:t>
          </a:r>
          <a:endParaRPr lang="en-US" sz="1050" b="0" i="0" u="none" strike="noStrike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pPr rtl="0">
            <a:lnSpc>
              <a:spcPct val="150000"/>
            </a:lnSpc>
          </a:pPr>
          <a:r>
            <a:rPr lang="en-US" sz="1050" b="1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Description of the components of the system. </a:t>
          </a:r>
        </a:p>
        <a:p>
          <a:pPr rtl="0">
            <a:lnSpc>
              <a:spcPct val="150000"/>
            </a:lnSpc>
          </a:pPr>
          <a: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The system is a </a:t>
          </a:r>
          <a:r>
            <a:rPr lang="en-US" sz="1050" b="0" i="0" u="none" strike="noStrike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single-server</a:t>
          </a:r>
          <a: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queueing system with </a:t>
          </a:r>
          <a:r>
            <a:rPr lang="en-US" sz="1050" b="0" i="0" u="none" strike="noStrike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the crew as the server </a:t>
          </a:r>
          <a: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and </a:t>
          </a:r>
          <a:r>
            <a:rPr lang="en-US" sz="1050" b="0" i="0" u="none" strike="noStrike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machines as the customers</a:t>
          </a:r>
          <a: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.</a:t>
          </a:r>
          <a:r>
            <a:rPr lang="en-US" sz="1050" b="0" i="0" u="none" strike="noStrike" baseline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</a:t>
          </a:r>
        </a:p>
        <a:p>
          <a:pPr marL="0" marR="0" lvl="0" indent="0" defTabSz="914400" rtl="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The service time has a uniform distribution over the interval from </a:t>
          </a:r>
          <a:r>
            <a:rPr lang="en-US" sz="1050" b="0" i="0" u="none" strike="noStrike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0 to twice the mean.</a:t>
          </a:r>
        </a:p>
        <a:p>
          <a:pPr marL="0" marR="0" lvl="0" indent="0" defTabSz="914400" rtl="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The interarrival time distribution has an exponential distribution with a mean of </a:t>
          </a:r>
          <a:r>
            <a:rPr lang="en-US" sz="1050" b="0" i="0" u="none" strike="noStrike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5 hours.</a:t>
          </a:r>
          <a:br>
            <a:rPr lang="en-US" sz="1050" b="0" i="0" u="none" strike="noStrike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</a:br>
          <a:b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</a:br>
          <a: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1. A simulation clock will record the amount of simulated time that will elapse</a:t>
          </a:r>
          <a:b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</a:br>
          <a: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2. The state of the system will be defined as N(t) = number of machines needing repair at time t.</a:t>
          </a:r>
          <a:b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</a:br>
          <a: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3. </a:t>
          </a:r>
          <a:r>
            <a:rPr lang="en-US" sz="1050">
              <a:latin typeface="Consolas" panose="020B0609020204030204" pitchFamily="49" charset="0"/>
              <a:cs typeface="Consolas" panose="020B0609020204030204" pitchFamily="49" charset="0"/>
            </a:rPr>
            <a:t>Breakdowns and repairs are based on random interarrival and service time distributions.</a:t>
          </a:r>
          <a:b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</a:br>
          <a: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4. Adjust the state of the system when a breakdown or repair occurs by:</a:t>
          </a:r>
          <a:b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</a:br>
          <a:r>
            <a:rPr lang="en-US" sz="1050" b="0" i="0" u="none" strike="noStrike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5. Advance the time on the simulation clock by using the next-event time advance procedure.</a:t>
          </a:r>
          <a:endParaRPr lang="en-US" sz="1050" b="0">
            <a:effectLst/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42335</xdr:colOff>
      <xdr:row>1</xdr:row>
      <xdr:rowOff>143932</xdr:rowOff>
    </xdr:from>
    <xdr:to>
      <xdr:col>11</xdr:col>
      <xdr:colOff>909878</xdr:colOff>
      <xdr:row>11</xdr:row>
      <xdr:rowOff>112013</xdr:rowOff>
    </xdr:to>
    <xdr:pic>
      <xdr:nvPicPr>
        <xdr:cNvPr id="5" name="Picture 4" descr="Continuous uniform distribution - Wikipedia">
          <a:extLst>
            <a:ext uri="{FF2B5EF4-FFF2-40B4-BE49-F238E27FC236}">
              <a16:creationId xmlns:a16="http://schemas.microsoft.com/office/drawing/2014/main" id="{AF1C03E9-B948-4F4E-A75D-241CD1FEC8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2068" y="321732"/>
          <a:ext cx="2527010" cy="1796881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4</xdr:col>
      <xdr:colOff>1109134</xdr:colOff>
      <xdr:row>2</xdr:row>
      <xdr:rowOff>84667</xdr:rowOff>
    </xdr:from>
    <xdr:to>
      <xdr:col>7</xdr:col>
      <xdr:colOff>499534</xdr:colOff>
      <xdr:row>5</xdr:row>
      <xdr:rowOff>110067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7DAC546-A20C-6FC8-D02C-B1269D1B02D3}"/>
            </a:ext>
          </a:extLst>
        </xdr:cNvPr>
        <xdr:cNvSpPr txBox="1"/>
      </xdr:nvSpPr>
      <xdr:spPr>
        <a:xfrm>
          <a:off x="5384801" y="440267"/>
          <a:ext cx="2286000" cy="575733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= a + (b - a) * RAND()</a:t>
          </a:r>
        </a:p>
        <a:p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=</a:t>
          </a:r>
          <a:r>
            <a:rPr lang="en-US" sz="1000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0 + (($C$4*2) - 0) * RAND()</a:t>
          </a:r>
        </a:p>
        <a:p>
          <a:r>
            <a:rPr lang="en-US" sz="1000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= $C$4 * 2 * RAND()</a:t>
          </a:r>
          <a:endParaRPr lang="en-US" sz="1000">
            <a:solidFill>
              <a:srgbClr val="FF0000"/>
            </a:solidFill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4</xdr:col>
      <xdr:colOff>571500</xdr:colOff>
      <xdr:row>4</xdr:row>
      <xdr:rowOff>16934</xdr:rowOff>
    </xdr:from>
    <xdr:to>
      <xdr:col>4</xdr:col>
      <xdr:colOff>1109134</xdr:colOff>
      <xdr:row>8</xdr:row>
      <xdr:rowOff>16933</xdr:rowOff>
    </xdr:to>
    <xdr:cxnSp macro="">
      <xdr:nvCxnSpPr>
        <xdr:cNvPr id="4" name="Curved Connector 3">
          <a:extLst>
            <a:ext uri="{FF2B5EF4-FFF2-40B4-BE49-F238E27FC236}">
              <a16:creationId xmlns:a16="http://schemas.microsoft.com/office/drawing/2014/main" id="{EE5C0848-F9A6-6FD6-727E-9EEB964ABB59}"/>
            </a:ext>
          </a:extLst>
        </xdr:cNvPr>
        <xdr:cNvCxnSpPr>
          <a:stCxn id="6" idx="0"/>
          <a:endCxn id="2" idx="1"/>
        </xdr:cNvCxnSpPr>
      </xdr:nvCxnSpPr>
      <xdr:spPr>
        <a:xfrm rot="5400000" flipH="1" flipV="1">
          <a:off x="4743451" y="831850"/>
          <a:ext cx="745066" cy="537634"/>
        </a:xfrm>
        <a:prstGeom prst="curved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8</xdr:row>
      <xdr:rowOff>16933</xdr:rowOff>
    </xdr:from>
    <xdr:to>
      <xdr:col>5</xdr:col>
      <xdr:colOff>8467</xdr:colOff>
      <xdr:row>11</xdr:row>
      <xdr:rowOff>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D0100A2C-85BA-CECC-F049-6E1E31B2899C}"/>
            </a:ext>
          </a:extLst>
        </xdr:cNvPr>
        <xdr:cNvSpPr/>
      </xdr:nvSpPr>
      <xdr:spPr>
        <a:xfrm>
          <a:off x="4275667" y="1473200"/>
          <a:ext cx="1143000" cy="5334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905932</xdr:colOff>
      <xdr:row>1</xdr:row>
      <xdr:rowOff>169334</xdr:rowOff>
    </xdr:from>
    <xdr:to>
      <xdr:col>7</xdr:col>
      <xdr:colOff>719666</xdr:colOff>
      <xdr:row>6</xdr:row>
      <xdr:rowOff>42333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D201AFB-3225-F57E-3B1A-9F9441213FB9}"/>
            </a:ext>
          </a:extLst>
        </xdr:cNvPr>
        <xdr:cNvSpPr txBox="1"/>
      </xdr:nvSpPr>
      <xdr:spPr>
        <a:xfrm>
          <a:off x="5587999" y="347134"/>
          <a:ext cx="2709334" cy="795866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i="0" u="none" strike="noStrike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This is (in most instances of the simulation) enough to get the average waiting time before repair below 3 hours.</a:t>
          </a:r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</a:t>
          </a:r>
        </a:p>
      </xdr:txBody>
    </xdr:sp>
    <xdr:clientData/>
  </xdr:twoCellAnchor>
  <xdr:twoCellAnchor>
    <xdr:from>
      <xdr:col>4</xdr:col>
      <xdr:colOff>143933</xdr:colOff>
      <xdr:row>4</xdr:row>
      <xdr:rowOff>16934</xdr:rowOff>
    </xdr:from>
    <xdr:to>
      <xdr:col>4</xdr:col>
      <xdr:colOff>905932</xdr:colOff>
      <xdr:row>4</xdr:row>
      <xdr:rowOff>186267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2A3F7287-BA1B-A61C-0065-96C440B3D0D6}"/>
            </a:ext>
          </a:extLst>
        </xdr:cNvPr>
        <xdr:cNvCxnSpPr>
          <a:stCxn id="5" idx="1"/>
        </xdr:cNvCxnSpPr>
      </xdr:nvCxnSpPr>
      <xdr:spPr>
        <a:xfrm flipH="1">
          <a:off x="4826000" y="745067"/>
          <a:ext cx="761999" cy="16933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2" name="AutoShape 2" descr="712ee6ff-9d2e-4cee-b5c5-e443afc55086">
          <a:extLst>
            <a:ext uri="{FF2B5EF4-FFF2-40B4-BE49-F238E27FC236}">
              <a16:creationId xmlns:a16="http://schemas.microsoft.com/office/drawing/2014/main" id="{95BCCAC2-4FF3-1849-9DC0-7DD0CDA7F202}"/>
            </a:ext>
          </a:extLst>
        </xdr:cNvPr>
        <xdr:cNvSpPr>
          <a:spLocks noChangeArrowheads="1"/>
        </xdr:cNvSpPr>
      </xdr:nvSpPr>
      <xdr:spPr bwMode="auto">
        <a:xfrm>
          <a:off x="1476375" y="3225800"/>
          <a:ext cx="568410" cy="228600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  <xdr:twoCellAnchor editAs="oneCell">
    <xdr:from>
      <xdr:col>9</xdr:col>
      <xdr:colOff>62653</xdr:colOff>
      <xdr:row>0</xdr:row>
      <xdr:rowOff>42333</xdr:rowOff>
    </xdr:from>
    <xdr:to>
      <xdr:col>10</xdr:col>
      <xdr:colOff>1168400</xdr:colOff>
      <xdr:row>9</xdr:row>
      <xdr:rowOff>120727</xdr:rowOff>
    </xdr:to>
    <xdr:pic>
      <xdr:nvPicPr>
        <xdr:cNvPr id="3" name="Picture 2" descr="Continuous uniform distribution - Wikipedia">
          <a:extLst>
            <a:ext uri="{FF2B5EF4-FFF2-40B4-BE49-F238E27FC236}">
              <a16:creationId xmlns:a16="http://schemas.microsoft.com/office/drawing/2014/main" id="{4918D81B-0884-1040-AA05-3C6D8A8120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00720" y="42333"/>
          <a:ext cx="2096347" cy="1517727"/>
        </a:xfrm>
        <a:prstGeom prst="rect">
          <a:avLst/>
        </a:prstGeom>
        <a:solidFill>
          <a:srgbClr val="FFFFFF"/>
        </a:solidFill>
      </xdr:spPr>
    </xdr:pic>
    <xdr:clientData/>
  </xdr:twoCellAnchor>
  <xdr:twoCellAnchor editAs="oneCell">
    <xdr:from>
      <xdr:col>9</xdr:col>
      <xdr:colOff>0</xdr:colOff>
      <xdr:row>16</xdr:row>
      <xdr:rowOff>121921</xdr:rowOff>
    </xdr:from>
    <xdr:to>
      <xdr:col>10</xdr:col>
      <xdr:colOff>1261181</xdr:colOff>
      <xdr:row>26</xdr:row>
      <xdr:rowOff>101402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28D8AB-E505-F442-B9B9-9816C3654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19722" y="2785393"/>
          <a:ext cx="2248959" cy="162871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2" name="AutoShape 2" descr="712ee6ff-9d2e-4cee-b5c5-e443afc55086">
          <a:extLst>
            <a:ext uri="{FF2B5EF4-FFF2-40B4-BE49-F238E27FC236}">
              <a16:creationId xmlns:a16="http://schemas.microsoft.com/office/drawing/2014/main" id="{77A89471-5F76-6C46-AFAE-77CF56A1D8CE}"/>
            </a:ext>
          </a:extLst>
        </xdr:cNvPr>
        <xdr:cNvSpPr>
          <a:spLocks noChangeArrowheads="1"/>
        </xdr:cNvSpPr>
      </xdr:nvSpPr>
      <xdr:spPr bwMode="auto">
        <a:xfrm>
          <a:off x="866775" y="3302000"/>
          <a:ext cx="1381210" cy="241300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  <xdr:twoCellAnchor editAs="oneCell">
    <xdr:from>
      <xdr:col>9</xdr:col>
      <xdr:colOff>62653</xdr:colOff>
      <xdr:row>0</xdr:row>
      <xdr:rowOff>42333</xdr:rowOff>
    </xdr:from>
    <xdr:to>
      <xdr:col>10</xdr:col>
      <xdr:colOff>1168400</xdr:colOff>
      <xdr:row>9</xdr:row>
      <xdr:rowOff>120727</xdr:rowOff>
    </xdr:to>
    <xdr:pic>
      <xdr:nvPicPr>
        <xdr:cNvPr id="3" name="Picture 2" descr="Continuous uniform distribution - Wikipedia">
          <a:extLst>
            <a:ext uri="{FF2B5EF4-FFF2-40B4-BE49-F238E27FC236}">
              <a16:creationId xmlns:a16="http://schemas.microsoft.com/office/drawing/2014/main" id="{0C9A1675-C142-B24A-B0E5-284AC31B8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6853" y="42333"/>
          <a:ext cx="2096347" cy="1513494"/>
        </a:xfrm>
        <a:prstGeom prst="rect">
          <a:avLst/>
        </a:prstGeom>
        <a:solidFill>
          <a:srgbClr val="FFFFFF"/>
        </a:solidFill>
      </xdr:spPr>
    </xdr:pic>
    <xdr:clientData/>
  </xdr:twoCellAnchor>
  <xdr:twoCellAnchor editAs="oneCell">
    <xdr:from>
      <xdr:col>9</xdr:col>
      <xdr:colOff>0</xdr:colOff>
      <xdr:row>16</xdr:row>
      <xdr:rowOff>121921</xdr:rowOff>
    </xdr:from>
    <xdr:to>
      <xdr:col>10</xdr:col>
      <xdr:colOff>1261181</xdr:colOff>
      <xdr:row>26</xdr:row>
      <xdr:rowOff>101402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FE01E0D-EB9A-B54E-A819-603484814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04200" y="2801621"/>
          <a:ext cx="2251781" cy="1643181"/>
        </a:xfrm>
        <a:prstGeom prst="rect">
          <a:avLst/>
        </a:prstGeom>
      </xdr:spPr>
    </xdr:pic>
    <xdr:clientData/>
  </xdr:twoCellAnchor>
  <xdr:twoCellAnchor>
    <xdr:from>
      <xdr:col>2</xdr:col>
      <xdr:colOff>409221</xdr:colOff>
      <xdr:row>22</xdr:row>
      <xdr:rowOff>8818</xdr:rowOff>
    </xdr:from>
    <xdr:to>
      <xdr:col>4</xdr:col>
      <xdr:colOff>220486</xdr:colOff>
      <xdr:row>25</xdr:row>
      <xdr:rowOff>114653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4761AC2-286E-4847-AFDE-9C74B3007CB5}"/>
            </a:ext>
          </a:extLst>
        </xdr:cNvPr>
        <xdr:cNvSpPr txBox="1"/>
      </xdr:nvSpPr>
      <xdr:spPr>
        <a:xfrm>
          <a:off x="2261304" y="3721804"/>
          <a:ext cx="2139599" cy="5556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i="0" u="none" strike="noStrike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This is enough to get the average waiting time before repair below 3 hours.</a:t>
          </a:r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</a:t>
          </a:r>
        </a:p>
      </xdr:txBody>
    </xdr:sp>
    <xdr:clientData/>
  </xdr:twoCellAnchor>
  <xdr:twoCellAnchor>
    <xdr:from>
      <xdr:col>2</xdr:col>
      <xdr:colOff>1479021</xdr:colOff>
      <xdr:row>8</xdr:row>
      <xdr:rowOff>97014</xdr:rowOff>
    </xdr:from>
    <xdr:to>
      <xdr:col>4</xdr:col>
      <xdr:colOff>88194</xdr:colOff>
      <xdr:row>22</xdr:row>
      <xdr:rowOff>8818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266A17FE-C88D-D543-8374-073B754D6C2C}"/>
            </a:ext>
          </a:extLst>
        </xdr:cNvPr>
        <xdr:cNvCxnSpPr>
          <a:stCxn id="5" idx="0"/>
        </xdr:cNvCxnSpPr>
      </xdr:nvCxnSpPr>
      <xdr:spPr>
        <a:xfrm flipV="1">
          <a:off x="3331104" y="1340556"/>
          <a:ext cx="937507" cy="238124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2" name="AutoShape 2" descr="712ee6ff-9d2e-4cee-b5c5-e443afc55086">
          <a:extLst>
            <a:ext uri="{FF2B5EF4-FFF2-40B4-BE49-F238E27FC236}">
              <a16:creationId xmlns:a16="http://schemas.microsoft.com/office/drawing/2014/main" id="{8E3B34C2-6BC6-9F4C-8392-1E94DB4165BE}"/>
            </a:ext>
          </a:extLst>
        </xdr:cNvPr>
        <xdr:cNvSpPr>
          <a:spLocks noChangeArrowheads="1"/>
        </xdr:cNvSpPr>
      </xdr:nvSpPr>
      <xdr:spPr bwMode="auto">
        <a:xfrm>
          <a:off x="866775" y="3302000"/>
          <a:ext cx="1381210" cy="241300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  <xdr:twoCellAnchor editAs="oneCell">
    <xdr:from>
      <xdr:col>9</xdr:col>
      <xdr:colOff>62653</xdr:colOff>
      <xdr:row>0</xdr:row>
      <xdr:rowOff>42333</xdr:rowOff>
    </xdr:from>
    <xdr:to>
      <xdr:col>10</xdr:col>
      <xdr:colOff>1168400</xdr:colOff>
      <xdr:row>9</xdr:row>
      <xdr:rowOff>120727</xdr:rowOff>
    </xdr:to>
    <xdr:pic>
      <xdr:nvPicPr>
        <xdr:cNvPr id="3" name="Picture 2" descr="Continuous uniform distribution - Wikipedia">
          <a:extLst>
            <a:ext uri="{FF2B5EF4-FFF2-40B4-BE49-F238E27FC236}">
              <a16:creationId xmlns:a16="http://schemas.microsoft.com/office/drawing/2014/main" id="{B5BD748D-DF4B-B746-A88D-4D3F8DB60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6853" y="42333"/>
          <a:ext cx="2096347" cy="1513494"/>
        </a:xfrm>
        <a:prstGeom prst="rect">
          <a:avLst/>
        </a:prstGeom>
        <a:solidFill>
          <a:srgbClr val="FFFFFF"/>
        </a:solidFill>
      </xdr:spPr>
    </xdr:pic>
    <xdr:clientData/>
  </xdr:twoCellAnchor>
  <xdr:twoCellAnchor editAs="oneCell">
    <xdr:from>
      <xdr:col>9</xdr:col>
      <xdr:colOff>0</xdr:colOff>
      <xdr:row>16</xdr:row>
      <xdr:rowOff>121921</xdr:rowOff>
    </xdr:from>
    <xdr:to>
      <xdr:col>10</xdr:col>
      <xdr:colOff>1261181</xdr:colOff>
      <xdr:row>26</xdr:row>
      <xdr:rowOff>101402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92EE-FD5B-1845-8F71-681E3E8DA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04200" y="2801621"/>
          <a:ext cx="2251781" cy="164318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2" name="AutoShape 2" descr="712ee6ff-9d2e-4cee-b5c5-e443afc55086">
          <a:extLst>
            <a:ext uri="{FF2B5EF4-FFF2-40B4-BE49-F238E27FC236}">
              <a16:creationId xmlns:a16="http://schemas.microsoft.com/office/drawing/2014/main" id="{5D0B9132-FD41-5149-96E5-9672DCD238EB}"/>
            </a:ext>
          </a:extLst>
        </xdr:cNvPr>
        <xdr:cNvSpPr>
          <a:spLocks noChangeArrowheads="1"/>
        </xdr:cNvSpPr>
      </xdr:nvSpPr>
      <xdr:spPr bwMode="auto">
        <a:xfrm>
          <a:off x="866775" y="3606800"/>
          <a:ext cx="1381210" cy="254000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  <xdr:twoCellAnchor editAs="oneCell">
    <xdr:from>
      <xdr:col>9</xdr:col>
      <xdr:colOff>94905</xdr:colOff>
      <xdr:row>3</xdr:row>
      <xdr:rowOff>12732</xdr:rowOff>
    </xdr:from>
    <xdr:to>
      <xdr:col>9</xdr:col>
      <xdr:colOff>1584310</xdr:colOff>
      <xdr:row>10</xdr:row>
      <xdr:rowOff>81351</xdr:rowOff>
    </xdr:to>
    <xdr:pic>
      <xdr:nvPicPr>
        <xdr:cNvPr id="3" name="Picture 2" descr="Continuous uniform distribution - Wikipedia">
          <a:extLst>
            <a:ext uri="{FF2B5EF4-FFF2-40B4-BE49-F238E27FC236}">
              <a16:creationId xmlns:a16="http://schemas.microsoft.com/office/drawing/2014/main" id="{668C18AB-4859-E14A-86C5-9BC4AB8D95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0372" y="588465"/>
          <a:ext cx="1489405" cy="10837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183647</xdr:colOff>
      <xdr:row>11</xdr:row>
      <xdr:rowOff>172273</xdr:rowOff>
    </xdr:from>
    <xdr:to>
      <xdr:col>9</xdr:col>
      <xdr:colOff>1593743</xdr:colOff>
      <xdr:row>19</xdr:row>
      <xdr:rowOff>28224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505AFE4-3211-2F47-877F-EB3EBBCE8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39114" y="2178873"/>
          <a:ext cx="1410096" cy="103291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2" name="AutoShape 2" descr="712ee6ff-9d2e-4cee-b5c5-e443afc55086">
          <a:extLst>
            <a:ext uri="{FF2B5EF4-FFF2-40B4-BE49-F238E27FC236}">
              <a16:creationId xmlns:a16="http://schemas.microsoft.com/office/drawing/2014/main" id="{0FD37B5E-4AC4-1248-A907-284D309CCDC0}"/>
            </a:ext>
          </a:extLst>
        </xdr:cNvPr>
        <xdr:cNvSpPr>
          <a:spLocks noChangeArrowheads="1"/>
        </xdr:cNvSpPr>
      </xdr:nvSpPr>
      <xdr:spPr bwMode="auto">
        <a:xfrm>
          <a:off x="866775" y="3581400"/>
          <a:ext cx="1381210" cy="254000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  <xdr:twoCellAnchor editAs="oneCell">
    <xdr:from>
      <xdr:col>9</xdr:col>
      <xdr:colOff>82049</xdr:colOff>
      <xdr:row>5</xdr:row>
      <xdr:rowOff>155340</xdr:rowOff>
    </xdr:from>
    <xdr:to>
      <xdr:col>9</xdr:col>
      <xdr:colOff>1492145</xdr:colOff>
      <xdr:row>13</xdr:row>
      <xdr:rowOff>24089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95AEF5E-4400-E446-A73B-39DDC35CD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7516" y="1069740"/>
          <a:ext cx="1410096" cy="103291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2" name="AutoShape 2" descr="712ee6ff-9d2e-4cee-b5c5-e443afc55086">
          <a:extLst>
            <a:ext uri="{FF2B5EF4-FFF2-40B4-BE49-F238E27FC236}">
              <a16:creationId xmlns:a16="http://schemas.microsoft.com/office/drawing/2014/main" id="{6C2C3D3C-9903-C24E-B5E2-2810F2D327FB}"/>
            </a:ext>
          </a:extLst>
        </xdr:cNvPr>
        <xdr:cNvSpPr>
          <a:spLocks noChangeArrowheads="1"/>
        </xdr:cNvSpPr>
      </xdr:nvSpPr>
      <xdr:spPr bwMode="auto">
        <a:xfrm>
          <a:off x="866775" y="3581400"/>
          <a:ext cx="1381210" cy="254000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  <xdr:twoCellAnchor>
    <xdr:from>
      <xdr:col>9</xdr:col>
      <xdr:colOff>19050</xdr:colOff>
      <xdr:row>17</xdr:row>
      <xdr:rowOff>44450</xdr:rowOff>
    </xdr:from>
    <xdr:to>
      <xdr:col>9</xdr:col>
      <xdr:colOff>2508250</xdr:colOff>
      <xdr:row>21</xdr:row>
      <xdr:rowOff>95250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0A0BBDE-1094-4FB0-9A6B-595E0D224778}"/>
            </a:ext>
          </a:extLst>
        </xdr:cNvPr>
        <xdr:cNvSpPr txBox="1"/>
      </xdr:nvSpPr>
      <xdr:spPr>
        <a:xfrm>
          <a:off x="6140450" y="2432050"/>
          <a:ext cx="2489200" cy="622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The </a:t>
          </a:r>
          <a:r>
            <a:rPr lang="en-US" sz="700" b="1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Erlang distribution</a:t>
          </a:r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models the total time for </a:t>
          </a:r>
          <a:r>
            <a:rPr lang="en-US" sz="700" b="1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k</a:t>
          </a:r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events to occur in sequence, where each event happens at a random rate. The parameter </a:t>
          </a:r>
          <a:r>
            <a:rPr lang="en-US" sz="700" b="1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k</a:t>
          </a:r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is a positive integer that represents the </a:t>
          </a:r>
          <a:r>
            <a:rPr lang="en-US" sz="700" b="1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number of stages or steps</a:t>
          </a:r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in the process.</a:t>
          </a:r>
        </a:p>
      </xdr:txBody>
    </xdr:sp>
    <xdr:clientData/>
  </xdr:twoCellAnchor>
  <xdr:twoCellAnchor editAs="oneCell">
    <xdr:from>
      <xdr:col>9</xdr:col>
      <xdr:colOff>19050</xdr:colOff>
      <xdr:row>4</xdr:row>
      <xdr:rowOff>108175</xdr:rowOff>
    </xdr:from>
    <xdr:to>
      <xdr:col>10</xdr:col>
      <xdr:colOff>6350</xdr:colOff>
      <xdr:row>16</xdr:row>
      <xdr:rowOff>112894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556B8D-23BE-A305-9A08-2A085F8A0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40450" y="679675"/>
          <a:ext cx="2501900" cy="168111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2" name="AutoShape 2" descr="712ee6ff-9d2e-4cee-b5c5-e443afc55086">
          <a:extLst>
            <a:ext uri="{FF2B5EF4-FFF2-40B4-BE49-F238E27FC236}">
              <a16:creationId xmlns:a16="http://schemas.microsoft.com/office/drawing/2014/main" id="{DBC8F18A-3670-5A49-8FC0-1B6C945C0998}"/>
            </a:ext>
          </a:extLst>
        </xdr:cNvPr>
        <xdr:cNvSpPr>
          <a:spLocks noChangeArrowheads="1"/>
        </xdr:cNvSpPr>
      </xdr:nvSpPr>
      <xdr:spPr bwMode="auto">
        <a:xfrm>
          <a:off x="866775" y="3581400"/>
          <a:ext cx="1381210" cy="254000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  <xdr:twoCellAnchor>
    <xdr:from>
      <xdr:col>0</xdr:col>
      <xdr:colOff>210300</xdr:colOff>
      <xdr:row>22</xdr:row>
      <xdr:rowOff>18705</xdr:rowOff>
    </xdr:from>
    <xdr:to>
      <xdr:col>5</xdr:col>
      <xdr:colOff>816885</xdr:colOff>
      <xdr:row>25</xdr:row>
      <xdr:rowOff>76582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A9141A9-AA3A-7E88-E691-0D6EAE8566D1}"/>
            </a:ext>
          </a:extLst>
        </xdr:cNvPr>
        <xdr:cNvSpPr txBox="1"/>
      </xdr:nvSpPr>
      <xdr:spPr>
        <a:xfrm>
          <a:off x="210300" y="3133077"/>
          <a:ext cx="4231510" cy="4790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The new inspection equipment would drastically reduce the average waiting time for both monitors and printers.</a:t>
          </a:r>
          <a:endParaRPr lang="en-US" sz="800">
            <a:solidFill>
              <a:srgbClr val="FF0000"/>
            </a:solidFill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9</xdr:col>
      <xdr:colOff>19050</xdr:colOff>
      <xdr:row>17</xdr:row>
      <xdr:rowOff>44450</xdr:rowOff>
    </xdr:from>
    <xdr:to>
      <xdr:col>9</xdr:col>
      <xdr:colOff>2508250</xdr:colOff>
      <xdr:row>21</xdr:row>
      <xdr:rowOff>95250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0BA2A67-2529-5C40-A9F1-94B76908DD62}"/>
            </a:ext>
          </a:extLst>
        </xdr:cNvPr>
        <xdr:cNvSpPr txBox="1"/>
      </xdr:nvSpPr>
      <xdr:spPr>
        <a:xfrm>
          <a:off x="6140450" y="2432050"/>
          <a:ext cx="2489200" cy="622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The </a:t>
          </a:r>
          <a:r>
            <a:rPr lang="en-US" sz="700" b="1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Erlang distribution</a:t>
          </a:r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models the total time for </a:t>
          </a:r>
          <a:r>
            <a:rPr lang="en-US" sz="700" b="1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k</a:t>
          </a:r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events to occur in sequence, where each event happens at a random rate. The parameter </a:t>
          </a:r>
          <a:r>
            <a:rPr lang="en-US" sz="700" b="1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k</a:t>
          </a:r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is a positive integer that represents the </a:t>
          </a:r>
          <a:r>
            <a:rPr lang="en-US" sz="700" b="1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number of stages or steps</a:t>
          </a:r>
          <a:r>
            <a:rPr lang="en-US" sz="7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in the process.</a:t>
          </a:r>
        </a:p>
      </xdr:txBody>
    </xdr:sp>
    <xdr:clientData/>
  </xdr:twoCellAnchor>
  <xdr:twoCellAnchor editAs="oneCell">
    <xdr:from>
      <xdr:col>9</xdr:col>
      <xdr:colOff>19050</xdr:colOff>
      <xdr:row>4</xdr:row>
      <xdr:rowOff>108175</xdr:rowOff>
    </xdr:from>
    <xdr:to>
      <xdr:col>10</xdr:col>
      <xdr:colOff>1</xdr:colOff>
      <xdr:row>16</xdr:row>
      <xdr:rowOff>112894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61ABFC3-BE32-EF49-99DC-949A0F4EF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62750" y="679675"/>
          <a:ext cx="2495550" cy="16811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O815"/>
  <sheetViews>
    <sheetView tabSelected="1" zoomScale="146" workbookViewId="0">
      <selection activeCell="A22" sqref="A22"/>
    </sheetView>
  </sheetViews>
  <sheetFormatPr baseColWidth="10" defaultColWidth="10.83203125" defaultRowHeight="14" x14ac:dyDescent="0.2"/>
  <cols>
    <col min="1" max="1" width="15.33203125" style="5" customWidth="1"/>
    <col min="2" max="3" width="10.83203125" style="5" customWidth="1"/>
    <col min="4" max="4" width="4.5" style="5" customWidth="1"/>
    <col min="5" max="5" width="10.83203125" style="5" bestFit="1" customWidth="1"/>
    <col min="6" max="6" width="9" style="5" bestFit="1" customWidth="1"/>
    <col min="7" max="7" width="3.1640625" style="5" customWidth="1"/>
    <col min="8" max="8" width="9.1640625" style="5" customWidth="1"/>
    <col min="9" max="9" width="11.1640625" style="5" customWidth="1"/>
    <col min="10" max="10" width="4.5" style="5" customWidth="1"/>
    <col min="11" max="11" width="10.33203125" style="5" bestFit="1" customWidth="1"/>
    <col min="12" max="12" width="9.5" style="5" bestFit="1" customWidth="1"/>
    <col min="13" max="13" width="2.6640625" style="5" customWidth="1"/>
    <col min="14" max="14" width="10.83203125" style="5"/>
    <col min="15" max="15" width="10" style="5" customWidth="1"/>
    <col min="16" max="16384" width="10.83203125" style="5"/>
  </cols>
  <sheetData>
    <row r="2" spans="1:15" x14ac:dyDescent="0.2">
      <c r="A2" s="69"/>
    </row>
    <row r="3" spans="1:15" x14ac:dyDescent="0.2">
      <c r="A3" s="69"/>
    </row>
    <row r="4" spans="1:15" x14ac:dyDescent="0.2">
      <c r="A4" s="69"/>
    </row>
    <row r="5" spans="1:15" x14ac:dyDescent="0.2">
      <c r="A5" s="69"/>
    </row>
    <row r="6" spans="1:15" x14ac:dyDescent="0.2">
      <c r="A6" s="69"/>
    </row>
    <row r="7" spans="1:15" x14ac:dyDescent="0.2">
      <c r="A7" s="69"/>
    </row>
    <row r="8" spans="1:15" x14ac:dyDescent="0.2">
      <c r="A8" s="69"/>
    </row>
    <row r="9" spans="1:15" x14ac:dyDescent="0.2">
      <c r="A9" s="69"/>
    </row>
    <row r="10" spans="1:15" x14ac:dyDescent="0.2">
      <c r="A10" s="70" t="s">
        <v>51</v>
      </c>
    </row>
    <row r="12" spans="1:15" x14ac:dyDescent="0.2">
      <c r="A12" s="70" t="s">
        <v>48</v>
      </c>
      <c r="E12" s="70" t="s">
        <v>49</v>
      </c>
      <c r="K12" s="70" t="s">
        <v>50</v>
      </c>
    </row>
    <row r="13" spans="1:15" ht="15" thickBot="1" x14ac:dyDescent="0.25">
      <c r="K13" s="1"/>
      <c r="L13" s="1"/>
    </row>
    <row r="14" spans="1:15" x14ac:dyDescent="0.2">
      <c r="A14" s="72"/>
      <c r="B14" s="76" t="s">
        <v>22</v>
      </c>
      <c r="C14" s="74"/>
      <c r="E14" s="72" t="s">
        <v>24</v>
      </c>
      <c r="F14" s="74" t="s">
        <v>87</v>
      </c>
      <c r="G14" s="1"/>
      <c r="H14" s="78" t="s">
        <v>85</v>
      </c>
      <c r="I14" s="79"/>
      <c r="K14" s="72" t="s">
        <v>24</v>
      </c>
      <c r="L14" s="74" t="s">
        <v>87</v>
      </c>
      <c r="N14" s="78" t="s">
        <v>86</v>
      </c>
      <c r="O14" s="79"/>
    </row>
    <row r="15" spans="1:15" x14ac:dyDescent="0.2">
      <c r="A15" s="2" t="s">
        <v>23</v>
      </c>
      <c r="B15" s="1" t="s">
        <v>21</v>
      </c>
      <c r="C15" s="6" t="s">
        <v>20</v>
      </c>
      <c r="E15" s="84"/>
      <c r="F15" s="85">
        <f ca="1">C20</f>
        <v>1</v>
      </c>
      <c r="G15" s="71"/>
      <c r="H15" s="80" t="s">
        <v>81</v>
      </c>
      <c r="I15" s="81">
        <f ca="1">COUNTIF($F$15:$F$23,0)/8</f>
        <v>0.125</v>
      </c>
      <c r="K15" s="2"/>
      <c r="L15" s="85">
        <f ca="1">C20</f>
        <v>1</v>
      </c>
      <c r="N15" s="80" t="s">
        <v>81</v>
      </c>
      <c r="O15" s="81">
        <f>COUNTIF($L$16:$L$815,"=0")/800</f>
        <v>0.12</v>
      </c>
    </row>
    <row r="16" spans="1:15" x14ac:dyDescent="0.2">
      <c r="A16" s="2">
        <v>1</v>
      </c>
      <c r="B16" s="75">
        <f ca="1">RAND()</f>
        <v>0.79752282140477782</v>
      </c>
      <c r="C16" s="6" t="str">
        <f ca="1">IF(B16&lt;0.5,"Heads","Tails")</f>
        <v>Tails</v>
      </c>
      <c r="E16" s="2">
        <v>1</v>
      </c>
      <c r="F16" s="6">
        <f t="dataTable" ref="F16:F23" dt2D="0" dtr="0" r1="H11" ca="1"/>
        <v>3</v>
      </c>
      <c r="G16" s="1"/>
      <c r="H16" s="80" t="s">
        <v>82</v>
      </c>
      <c r="I16" s="81">
        <f ca="1">COUNTIF($F$15:$F$23,1)/8</f>
        <v>0.625</v>
      </c>
      <c r="K16" s="2">
        <v>1</v>
      </c>
      <c r="L16" s="6">
        <v>0</v>
      </c>
      <c r="N16" s="80" t="s">
        <v>82</v>
      </c>
      <c r="O16" s="81">
        <f>COUNTIF($L$16:$L$815,"=1")/800</f>
        <v>0.3775</v>
      </c>
    </row>
    <row r="17" spans="1:15" x14ac:dyDescent="0.2">
      <c r="A17" s="2">
        <v>2</v>
      </c>
      <c r="B17" s="75">
        <f ca="1">RAND()</f>
        <v>0.43078229414785274</v>
      </c>
      <c r="C17" s="6" t="str">
        <f ca="1">IF(B17&lt;0.5,"Heads","Tails")</f>
        <v>Heads</v>
      </c>
      <c r="E17" s="2">
        <v>2</v>
      </c>
      <c r="F17" s="6">
        <v>1</v>
      </c>
      <c r="G17" s="1"/>
      <c r="H17" s="80" t="s">
        <v>83</v>
      </c>
      <c r="I17" s="81">
        <f ca="1">COUNTIF($F$15:$F$23,2)/8</f>
        <v>0.125</v>
      </c>
      <c r="K17" s="2">
        <v>2</v>
      </c>
      <c r="L17" s="6">
        <v>1</v>
      </c>
      <c r="N17" s="80" t="s">
        <v>83</v>
      </c>
      <c r="O17" s="81">
        <f>COUNTIF($L$16:$L$815,"=2")/800</f>
        <v>0.35749999999999998</v>
      </c>
    </row>
    <row r="18" spans="1:15" ht="15" thickBot="1" x14ac:dyDescent="0.25">
      <c r="A18" s="4">
        <v>3</v>
      </c>
      <c r="B18" s="77">
        <f ca="1">RAND()</f>
        <v>0.59488392437708215</v>
      </c>
      <c r="C18" s="7" t="str">
        <f ca="1">IF(B18&lt;0.5,"Heads","Tails")</f>
        <v>Tails</v>
      </c>
      <c r="E18" s="2">
        <v>3</v>
      </c>
      <c r="F18" s="6">
        <v>2</v>
      </c>
      <c r="G18" s="1"/>
      <c r="H18" s="82" t="s">
        <v>84</v>
      </c>
      <c r="I18" s="83">
        <f ca="1">COUNTIF($F$15:$F$23,3)/8</f>
        <v>0.25</v>
      </c>
      <c r="K18" s="2">
        <v>3</v>
      </c>
      <c r="L18" s="6">
        <v>3</v>
      </c>
      <c r="N18" s="82" t="s">
        <v>84</v>
      </c>
      <c r="O18" s="83">
        <f>COUNTIF($L$16:$L$815,"=3")/800</f>
        <v>0.14499999999999999</v>
      </c>
    </row>
    <row r="19" spans="1:15" ht="15" thickBot="1" x14ac:dyDescent="0.25">
      <c r="E19" s="2">
        <v>4</v>
      </c>
      <c r="F19" s="6">
        <v>1</v>
      </c>
      <c r="G19" s="1"/>
      <c r="K19" s="2">
        <v>4</v>
      </c>
      <c r="L19" s="6">
        <v>1</v>
      </c>
    </row>
    <row r="20" spans="1:15" ht="15" thickBot="1" x14ac:dyDescent="0.25">
      <c r="B20" s="11" t="s">
        <v>88</v>
      </c>
      <c r="C20" s="73">
        <f ca="1">COUNTIF(C16:C18,"Heads")</f>
        <v>1</v>
      </c>
      <c r="E20" s="2">
        <v>5</v>
      </c>
      <c r="F20" s="6">
        <v>0</v>
      </c>
      <c r="G20" s="1"/>
      <c r="K20" s="2">
        <v>5</v>
      </c>
      <c r="L20" s="6">
        <v>2</v>
      </c>
    </row>
    <row r="21" spans="1:15" x14ac:dyDescent="0.2">
      <c r="E21" s="2">
        <v>6</v>
      </c>
      <c r="F21" s="6">
        <v>1</v>
      </c>
      <c r="G21" s="1"/>
      <c r="H21" s="1"/>
      <c r="I21" s="1"/>
      <c r="K21" s="2">
        <v>6</v>
      </c>
      <c r="L21" s="6">
        <v>1</v>
      </c>
    </row>
    <row r="22" spans="1:15" x14ac:dyDescent="0.2">
      <c r="E22" s="2">
        <v>7</v>
      </c>
      <c r="F22" s="6">
        <v>1</v>
      </c>
      <c r="G22" s="1"/>
      <c r="H22" s="1"/>
      <c r="I22" s="1"/>
      <c r="K22" s="2">
        <v>7</v>
      </c>
      <c r="L22" s="6">
        <v>1</v>
      </c>
    </row>
    <row r="23" spans="1:15" ht="15" thickBot="1" x14ac:dyDescent="0.25">
      <c r="E23" s="4">
        <v>8</v>
      </c>
      <c r="F23" s="7">
        <v>3</v>
      </c>
      <c r="G23" s="1"/>
      <c r="H23" s="1"/>
      <c r="I23" s="1"/>
      <c r="K23" s="2">
        <v>8</v>
      </c>
      <c r="L23" s="6">
        <v>3</v>
      </c>
    </row>
    <row r="24" spans="1:15" x14ac:dyDescent="0.2">
      <c r="K24" s="2">
        <v>9</v>
      </c>
      <c r="L24" s="6">
        <v>1</v>
      </c>
    </row>
    <row r="25" spans="1:15" x14ac:dyDescent="0.2">
      <c r="G25" s="69"/>
      <c r="H25" s="69"/>
      <c r="I25" s="69"/>
      <c r="K25" s="2">
        <v>10</v>
      </c>
      <c r="L25" s="6">
        <v>0</v>
      </c>
    </row>
    <row r="26" spans="1:15" x14ac:dyDescent="0.2">
      <c r="K26" s="2">
        <v>11</v>
      </c>
      <c r="L26" s="6">
        <v>0</v>
      </c>
    </row>
    <row r="27" spans="1:15" x14ac:dyDescent="0.2">
      <c r="G27" s="14"/>
      <c r="H27" s="14"/>
      <c r="I27" s="14"/>
      <c r="K27" s="2">
        <v>12</v>
      </c>
      <c r="L27" s="6">
        <v>2</v>
      </c>
    </row>
    <row r="28" spans="1:15" x14ac:dyDescent="0.2">
      <c r="G28" s="14"/>
      <c r="H28" s="14"/>
      <c r="I28" s="14"/>
      <c r="K28" s="2">
        <v>13</v>
      </c>
      <c r="L28" s="6">
        <v>1</v>
      </c>
    </row>
    <row r="29" spans="1:15" x14ac:dyDescent="0.2">
      <c r="G29" s="14"/>
      <c r="H29" s="14"/>
      <c r="I29" s="14"/>
      <c r="K29" s="2">
        <v>14</v>
      </c>
      <c r="L29" s="6">
        <v>2</v>
      </c>
    </row>
    <row r="30" spans="1:15" x14ac:dyDescent="0.2">
      <c r="G30" s="14"/>
      <c r="H30" s="14"/>
      <c r="I30" s="14"/>
      <c r="K30" s="2">
        <v>15</v>
      </c>
      <c r="L30" s="6">
        <v>0</v>
      </c>
    </row>
    <row r="31" spans="1:15" x14ac:dyDescent="0.2">
      <c r="K31" s="2">
        <v>16</v>
      </c>
      <c r="L31" s="6">
        <v>3</v>
      </c>
    </row>
    <row r="32" spans="1:15" x14ac:dyDescent="0.2">
      <c r="K32" s="2">
        <v>17</v>
      </c>
      <c r="L32" s="6">
        <v>1</v>
      </c>
    </row>
    <row r="33" spans="11:12" x14ac:dyDescent="0.2">
      <c r="K33" s="2">
        <v>18</v>
      </c>
      <c r="L33" s="6">
        <v>3</v>
      </c>
    </row>
    <row r="34" spans="11:12" x14ac:dyDescent="0.2">
      <c r="K34" s="2">
        <v>19</v>
      </c>
      <c r="L34" s="6">
        <v>2</v>
      </c>
    </row>
    <row r="35" spans="11:12" x14ac:dyDescent="0.2">
      <c r="K35" s="2">
        <v>20</v>
      </c>
      <c r="L35" s="6">
        <v>2</v>
      </c>
    </row>
    <row r="36" spans="11:12" x14ac:dyDescent="0.2">
      <c r="K36" s="2">
        <v>21</v>
      </c>
      <c r="L36" s="6">
        <v>2</v>
      </c>
    </row>
    <row r="37" spans="11:12" x14ac:dyDescent="0.2">
      <c r="K37" s="2">
        <v>22</v>
      </c>
      <c r="L37" s="6">
        <v>0</v>
      </c>
    </row>
    <row r="38" spans="11:12" x14ac:dyDescent="0.2">
      <c r="K38" s="2">
        <v>23</v>
      </c>
      <c r="L38" s="6">
        <v>2</v>
      </c>
    </row>
    <row r="39" spans="11:12" x14ac:dyDescent="0.2">
      <c r="K39" s="2">
        <v>24</v>
      </c>
      <c r="L39" s="6">
        <v>3</v>
      </c>
    </row>
    <row r="40" spans="11:12" x14ac:dyDescent="0.2">
      <c r="K40" s="2">
        <v>25</v>
      </c>
      <c r="L40" s="6">
        <v>1</v>
      </c>
    </row>
    <row r="41" spans="11:12" x14ac:dyDescent="0.2">
      <c r="K41" s="2">
        <v>26</v>
      </c>
      <c r="L41" s="6">
        <v>0</v>
      </c>
    </row>
    <row r="42" spans="11:12" x14ac:dyDescent="0.2">
      <c r="K42" s="2">
        <v>27</v>
      </c>
      <c r="L42" s="6">
        <v>1</v>
      </c>
    </row>
    <row r="43" spans="11:12" x14ac:dyDescent="0.2">
      <c r="K43" s="2">
        <v>28</v>
      </c>
      <c r="L43" s="6">
        <v>0</v>
      </c>
    </row>
    <row r="44" spans="11:12" x14ac:dyDescent="0.2">
      <c r="K44" s="2">
        <v>29</v>
      </c>
      <c r="L44" s="6">
        <v>2</v>
      </c>
    </row>
    <row r="45" spans="11:12" x14ac:dyDescent="0.2">
      <c r="K45" s="2">
        <v>30</v>
      </c>
      <c r="L45" s="6">
        <v>3</v>
      </c>
    </row>
    <row r="46" spans="11:12" x14ac:dyDescent="0.2">
      <c r="K46" s="2">
        <v>31</v>
      </c>
      <c r="L46" s="6">
        <v>1</v>
      </c>
    </row>
    <row r="47" spans="11:12" x14ac:dyDescent="0.2">
      <c r="K47" s="2">
        <v>32</v>
      </c>
      <c r="L47" s="6">
        <v>3</v>
      </c>
    </row>
    <row r="48" spans="11:12" x14ac:dyDescent="0.2">
      <c r="K48" s="2">
        <v>33</v>
      </c>
      <c r="L48" s="6">
        <v>1</v>
      </c>
    </row>
    <row r="49" spans="11:12" x14ac:dyDescent="0.2">
      <c r="K49" s="2">
        <v>34</v>
      </c>
      <c r="L49" s="6">
        <v>1</v>
      </c>
    </row>
    <row r="50" spans="11:12" x14ac:dyDescent="0.2">
      <c r="K50" s="2">
        <v>35</v>
      </c>
      <c r="L50" s="6">
        <v>1</v>
      </c>
    </row>
    <row r="51" spans="11:12" x14ac:dyDescent="0.2">
      <c r="K51" s="2">
        <v>36</v>
      </c>
      <c r="L51" s="6">
        <v>2</v>
      </c>
    </row>
    <row r="52" spans="11:12" x14ac:dyDescent="0.2">
      <c r="K52" s="2">
        <v>37</v>
      </c>
      <c r="L52" s="6">
        <v>3</v>
      </c>
    </row>
    <row r="53" spans="11:12" x14ac:dyDescent="0.2">
      <c r="K53" s="2">
        <v>38</v>
      </c>
      <c r="L53" s="6">
        <v>2</v>
      </c>
    </row>
    <row r="54" spans="11:12" x14ac:dyDescent="0.2">
      <c r="K54" s="2">
        <v>39</v>
      </c>
      <c r="L54" s="6">
        <v>2</v>
      </c>
    </row>
    <row r="55" spans="11:12" x14ac:dyDescent="0.2">
      <c r="K55" s="2">
        <v>40</v>
      </c>
      <c r="L55" s="6">
        <v>3</v>
      </c>
    </row>
    <row r="56" spans="11:12" x14ac:dyDescent="0.2">
      <c r="K56" s="2">
        <v>41</v>
      </c>
      <c r="L56" s="6">
        <v>2</v>
      </c>
    </row>
    <row r="57" spans="11:12" x14ac:dyDescent="0.2">
      <c r="K57" s="2">
        <v>42</v>
      </c>
      <c r="L57" s="6">
        <v>1</v>
      </c>
    </row>
    <row r="58" spans="11:12" x14ac:dyDescent="0.2">
      <c r="K58" s="2">
        <v>43</v>
      </c>
      <c r="L58" s="6">
        <v>1</v>
      </c>
    </row>
    <row r="59" spans="11:12" x14ac:dyDescent="0.2">
      <c r="K59" s="2">
        <v>44</v>
      </c>
      <c r="L59" s="6">
        <v>0</v>
      </c>
    </row>
    <row r="60" spans="11:12" x14ac:dyDescent="0.2">
      <c r="K60" s="2">
        <v>45</v>
      </c>
      <c r="L60" s="6">
        <v>2</v>
      </c>
    </row>
    <row r="61" spans="11:12" x14ac:dyDescent="0.2">
      <c r="K61" s="2">
        <v>46</v>
      </c>
      <c r="L61" s="6">
        <v>0</v>
      </c>
    </row>
    <row r="62" spans="11:12" x14ac:dyDescent="0.2">
      <c r="K62" s="2">
        <v>47</v>
      </c>
      <c r="L62" s="6">
        <v>2</v>
      </c>
    </row>
    <row r="63" spans="11:12" x14ac:dyDescent="0.2">
      <c r="K63" s="2">
        <v>48</v>
      </c>
      <c r="L63" s="6">
        <v>1</v>
      </c>
    </row>
    <row r="64" spans="11:12" x14ac:dyDescent="0.2">
      <c r="K64" s="2">
        <v>49</v>
      </c>
      <c r="L64" s="6">
        <v>2</v>
      </c>
    </row>
    <row r="65" spans="11:12" x14ac:dyDescent="0.2">
      <c r="K65" s="2">
        <v>50</v>
      </c>
      <c r="L65" s="6">
        <v>2</v>
      </c>
    </row>
    <row r="66" spans="11:12" x14ac:dyDescent="0.2">
      <c r="K66" s="2">
        <v>51</v>
      </c>
      <c r="L66" s="6">
        <v>2</v>
      </c>
    </row>
    <row r="67" spans="11:12" x14ac:dyDescent="0.2">
      <c r="K67" s="2">
        <v>52</v>
      </c>
      <c r="L67" s="6">
        <v>2</v>
      </c>
    </row>
    <row r="68" spans="11:12" x14ac:dyDescent="0.2">
      <c r="K68" s="2">
        <v>53</v>
      </c>
      <c r="L68" s="6">
        <v>3</v>
      </c>
    </row>
    <row r="69" spans="11:12" x14ac:dyDescent="0.2">
      <c r="K69" s="2">
        <v>54</v>
      </c>
      <c r="L69" s="6">
        <v>1</v>
      </c>
    </row>
    <row r="70" spans="11:12" x14ac:dyDescent="0.2">
      <c r="K70" s="2">
        <v>55</v>
      </c>
      <c r="L70" s="6">
        <v>1</v>
      </c>
    </row>
    <row r="71" spans="11:12" x14ac:dyDescent="0.2">
      <c r="K71" s="2">
        <v>56</v>
      </c>
      <c r="L71" s="6">
        <v>1</v>
      </c>
    </row>
    <row r="72" spans="11:12" x14ac:dyDescent="0.2">
      <c r="K72" s="2">
        <v>57</v>
      </c>
      <c r="L72" s="6">
        <v>1</v>
      </c>
    </row>
    <row r="73" spans="11:12" x14ac:dyDescent="0.2">
      <c r="K73" s="2">
        <v>58</v>
      </c>
      <c r="L73" s="6">
        <v>3</v>
      </c>
    </row>
    <row r="74" spans="11:12" x14ac:dyDescent="0.2">
      <c r="K74" s="2">
        <v>59</v>
      </c>
      <c r="L74" s="6">
        <v>0</v>
      </c>
    </row>
    <row r="75" spans="11:12" x14ac:dyDescent="0.2">
      <c r="K75" s="2">
        <v>60</v>
      </c>
      <c r="L75" s="6">
        <v>3</v>
      </c>
    </row>
    <row r="76" spans="11:12" x14ac:dyDescent="0.2">
      <c r="K76" s="2">
        <v>61</v>
      </c>
      <c r="L76" s="6">
        <v>1</v>
      </c>
    </row>
    <row r="77" spans="11:12" x14ac:dyDescent="0.2">
      <c r="K77" s="2">
        <v>62</v>
      </c>
      <c r="L77" s="6">
        <v>3</v>
      </c>
    </row>
    <row r="78" spans="11:12" x14ac:dyDescent="0.2">
      <c r="K78" s="2">
        <v>63</v>
      </c>
      <c r="L78" s="6">
        <v>2</v>
      </c>
    </row>
    <row r="79" spans="11:12" x14ac:dyDescent="0.2">
      <c r="K79" s="2">
        <v>64</v>
      </c>
      <c r="L79" s="6">
        <v>1</v>
      </c>
    </row>
    <row r="80" spans="11:12" x14ac:dyDescent="0.2">
      <c r="K80" s="2">
        <v>65</v>
      </c>
      <c r="L80" s="6">
        <v>2</v>
      </c>
    </row>
    <row r="81" spans="11:12" x14ac:dyDescent="0.2">
      <c r="K81" s="2">
        <v>66</v>
      </c>
      <c r="L81" s="6">
        <v>1</v>
      </c>
    </row>
    <row r="82" spans="11:12" x14ac:dyDescent="0.2">
      <c r="K82" s="2">
        <v>67</v>
      </c>
      <c r="L82" s="6">
        <v>3</v>
      </c>
    </row>
    <row r="83" spans="11:12" x14ac:dyDescent="0.2">
      <c r="K83" s="2">
        <v>68</v>
      </c>
      <c r="L83" s="6">
        <v>3</v>
      </c>
    </row>
    <row r="84" spans="11:12" x14ac:dyDescent="0.2">
      <c r="K84" s="2">
        <v>69</v>
      </c>
      <c r="L84" s="6">
        <v>1</v>
      </c>
    </row>
    <row r="85" spans="11:12" x14ac:dyDescent="0.2">
      <c r="K85" s="2">
        <v>70</v>
      </c>
      <c r="L85" s="6">
        <v>0</v>
      </c>
    </row>
    <row r="86" spans="11:12" x14ac:dyDescent="0.2">
      <c r="K86" s="2">
        <v>71</v>
      </c>
      <c r="L86" s="6">
        <v>0</v>
      </c>
    </row>
    <row r="87" spans="11:12" x14ac:dyDescent="0.2">
      <c r="K87" s="2">
        <v>72</v>
      </c>
      <c r="L87" s="6">
        <v>1</v>
      </c>
    </row>
    <row r="88" spans="11:12" x14ac:dyDescent="0.2">
      <c r="K88" s="2">
        <v>73</v>
      </c>
      <c r="L88" s="6">
        <v>2</v>
      </c>
    </row>
    <row r="89" spans="11:12" x14ac:dyDescent="0.2">
      <c r="K89" s="2">
        <v>74</v>
      </c>
      <c r="L89" s="6">
        <v>0</v>
      </c>
    </row>
    <row r="90" spans="11:12" x14ac:dyDescent="0.2">
      <c r="K90" s="2">
        <v>75</v>
      </c>
      <c r="L90" s="6">
        <v>2</v>
      </c>
    </row>
    <row r="91" spans="11:12" x14ac:dyDescent="0.2">
      <c r="K91" s="2">
        <v>76</v>
      </c>
      <c r="L91" s="6">
        <v>2</v>
      </c>
    </row>
    <row r="92" spans="11:12" x14ac:dyDescent="0.2">
      <c r="K92" s="2">
        <v>77</v>
      </c>
      <c r="L92" s="6">
        <v>1</v>
      </c>
    </row>
    <row r="93" spans="11:12" x14ac:dyDescent="0.2">
      <c r="K93" s="2">
        <v>78</v>
      </c>
      <c r="L93" s="6">
        <v>1</v>
      </c>
    </row>
    <row r="94" spans="11:12" x14ac:dyDescent="0.2">
      <c r="K94" s="2">
        <v>79</v>
      </c>
      <c r="L94" s="6">
        <v>2</v>
      </c>
    </row>
    <row r="95" spans="11:12" x14ac:dyDescent="0.2">
      <c r="K95" s="2">
        <v>80</v>
      </c>
      <c r="L95" s="6">
        <v>1</v>
      </c>
    </row>
    <row r="96" spans="11:12" x14ac:dyDescent="0.2">
      <c r="K96" s="2">
        <v>81</v>
      </c>
      <c r="L96" s="6">
        <v>0</v>
      </c>
    </row>
    <row r="97" spans="11:12" x14ac:dyDescent="0.2">
      <c r="K97" s="2">
        <v>82</v>
      </c>
      <c r="L97" s="6">
        <v>0</v>
      </c>
    </row>
    <row r="98" spans="11:12" x14ac:dyDescent="0.2">
      <c r="K98" s="2">
        <v>83</v>
      </c>
      <c r="L98" s="6">
        <v>3</v>
      </c>
    </row>
    <row r="99" spans="11:12" x14ac:dyDescent="0.2">
      <c r="K99" s="2">
        <v>84</v>
      </c>
      <c r="L99" s="6">
        <v>2</v>
      </c>
    </row>
    <row r="100" spans="11:12" x14ac:dyDescent="0.2">
      <c r="K100" s="2">
        <v>85</v>
      </c>
      <c r="L100" s="6">
        <v>2</v>
      </c>
    </row>
    <row r="101" spans="11:12" x14ac:dyDescent="0.2">
      <c r="K101" s="2">
        <v>86</v>
      </c>
      <c r="L101" s="6">
        <v>1</v>
      </c>
    </row>
    <row r="102" spans="11:12" x14ac:dyDescent="0.2">
      <c r="K102" s="2">
        <v>87</v>
      </c>
      <c r="L102" s="6">
        <v>1</v>
      </c>
    </row>
    <row r="103" spans="11:12" x14ac:dyDescent="0.2">
      <c r="K103" s="2">
        <v>88</v>
      </c>
      <c r="L103" s="6">
        <v>1</v>
      </c>
    </row>
    <row r="104" spans="11:12" x14ac:dyDescent="0.2">
      <c r="K104" s="2">
        <v>89</v>
      </c>
      <c r="L104" s="6">
        <v>1</v>
      </c>
    </row>
    <row r="105" spans="11:12" x14ac:dyDescent="0.2">
      <c r="K105" s="2">
        <v>90</v>
      </c>
      <c r="L105" s="6">
        <v>1</v>
      </c>
    </row>
    <row r="106" spans="11:12" x14ac:dyDescent="0.2">
      <c r="K106" s="2">
        <v>91</v>
      </c>
      <c r="L106" s="6">
        <v>1</v>
      </c>
    </row>
    <row r="107" spans="11:12" x14ac:dyDescent="0.2">
      <c r="K107" s="2">
        <v>92</v>
      </c>
      <c r="L107" s="6">
        <v>2</v>
      </c>
    </row>
    <row r="108" spans="11:12" x14ac:dyDescent="0.2">
      <c r="K108" s="2">
        <v>93</v>
      </c>
      <c r="L108" s="6">
        <v>1</v>
      </c>
    </row>
    <row r="109" spans="11:12" x14ac:dyDescent="0.2">
      <c r="K109" s="2">
        <v>94</v>
      </c>
      <c r="L109" s="6">
        <v>0</v>
      </c>
    </row>
    <row r="110" spans="11:12" x14ac:dyDescent="0.2">
      <c r="K110" s="2">
        <v>95</v>
      </c>
      <c r="L110" s="6">
        <v>2</v>
      </c>
    </row>
    <row r="111" spans="11:12" x14ac:dyDescent="0.2">
      <c r="K111" s="2">
        <v>96</v>
      </c>
      <c r="L111" s="6">
        <v>3</v>
      </c>
    </row>
    <row r="112" spans="11:12" x14ac:dyDescent="0.2">
      <c r="K112" s="2">
        <v>97</v>
      </c>
      <c r="L112" s="6">
        <v>3</v>
      </c>
    </row>
    <row r="113" spans="11:12" x14ac:dyDescent="0.2">
      <c r="K113" s="2">
        <v>98</v>
      </c>
      <c r="L113" s="6">
        <v>1</v>
      </c>
    </row>
    <row r="114" spans="11:12" x14ac:dyDescent="0.2">
      <c r="K114" s="2">
        <v>99</v>
      </c>
      <c r="L114" s="6">
        <v>1</v>
      </c>
    </row>
    <row r="115" spans="11:12" x14ac:dyDescent="0.2">
      <c r="K115" s="2">
        <v>100</v>
      </c>
      <c r="L115" s="6">
        <v>2</v>
      </c>
    </row>
    <row r="116" spans="11:12" x14ac:dyDescent="0.2">
      <c r="K116" s="2">
        <v>101</v>
      </c>
      <c r="L116" s="6">
        <v>1</v>
      </c>
    </row>
    <row r="117" spans="11:12" x14ac:dyDescent="0.2">
      <c r="K117" s="2">
        <v>102</v>
      </c>
      <c r="L117" s="6">
        <v>1</v>
      </c>
    </row>
    <row r="118" spans="11:12" x14ac:dyDescent="0.2">
      <c r="K118" s="2">
        <v>103</v>
      </c>
      <c r="L118" s="6">
        <v>1</v>
      </c>
    </row>
    <row r="119" spans="11:12" x14ac:dyDescent="0.2">
      <c r="K119" s="2">
        <v>104</v>
      </c>
      <c r="L119" s="6">
        <v>3</v>
      </c>
    </row>
    <row r="120" spans="11:12" x14ac:dyDescent="0.2">
      <c r="K120" s="2">
        <v>105</v>
      </c>
      <c r="L120" s="6">
        <v>2</v>
      </c>
    </row>
    <row r="121" spans="11:12" x14ac:dyDescent="0.2">
      <c r="K121" s="2">
        <v>106</v>
      </c>
      <c r="L121" s="6">
        <v>1</v>
      </c>
    </row>
    <row r="122" spans="11:12" x14ac:dyDescent="0.2">
      <c r="K122" s="2">
        <v>107</v>
      </c>
      <c r="L122" s="6">
        <v>2</v>
      </c>
    </row>
    <row r="123" spans="11:12" x14ac:dyDescent="0.2">
      <c r="K123" s="2">
        <v>108</v>
      </c>
      <c r="L123" s="6">
        <v>2</v>
      </c>
    </row>
    <row r="124" spans="11:12" x14ac:dyDescent="0.2">
      <c r="K124" s="2">
        <v>109</v>
      </c>
      <c r="L124" s="6">
        <v>2</v>
      </c>
    </row>
    <row r="125" spans="11:12" x14ac:dyDescent="0.2">
      <c r="K125" s="2">
        <v>110</v>
      </c>
      <c r="L125" s="6">
        <v>3</v>
      </c>
    </row>
    <row r="126" spans="11:12" x14ac:dyDescent="0.2">
      <c r="K126" s="2">
        <v>111</v>
      </c>
      <c r="L126" s="6">
        <v>1</v>
      </c>
    </row>
    <row r="127" spans="11:12" x14ac:dyDescent="0.2">
      <c r="K127" s="2">
        <v>112</v>
      </c>
      <c r="L127" s="6">
        <v>3</v>
      </c>
    </row>
    <row r="128" spans="11:12" x14ac:dyDescent="0.2">
      <c r="K128" s="2">
        <v>113</v>
      </c>
      <c r="L128" s="6">
        <v>3</v>
      </c>
    </row>
    <row r="129" spans="11:12" x14ac:dyDescent="0.2">
      <c r="K129" s="2">
        <v>114</v>
      </c>
      <c r="L129" s="6">
        <v>2</v>
      </c>
    </row>
    <row r="130" spans="11:12" x14ac:dyDescent="0.2">
      <c r="K130" s="2">
        <v>115</v>
      </c>
      <c r="L130" s="6">
        <v>1</v>
      </c>
    </row>
    <row r="131" spans="11:12" x14ac:dyDescent="0.2">
      <c r="K131" s="2">
        <v>116</v>
      </c>
      <c r="L131" s="6">
        <v>3</v>
      </c>
    </row>
    <row r="132" spans="11:12" x14ac:dyDescent="0.2">
      <c r="K132" s="2">
        <v>117</v>
      </c>
      <c r="L132" s="6">
        <v>1</v>
      </c>
    </row>
    <row r="133" spans="11:12" x14ac:dyDescent="0.2">
      <c r="K133" s="2">
        <v>118</v>
      </c>
      <c r="L133" s="6">
        <v>1</v>
      </c>
    </row>
    <row r="134" spans="11:12" x14ac:dyDescent="0.2">
      <c r="K134" s="2">
        <v>119</v>
      </c>
      <c r="L134" s="6">
        <v>3</v>
      </c>
    </row>
    <row r="135" spans="11:12" x14ac:dyDescent="0.2">
      <c r="K135" s="2">
        <v>120</v>
      </c>
      <c r="L135" s="6">
        <v>1</v>
      </c>
    </row>
    <row r="136" spans="11:12" x14ac:dyDescent="0.2">
      <c r="K136" s="2">
        <v>121</v>
      </c>
      <c r="L136" s="6">
        <v>1</v>
      </c>
    </row>
    <row r="137" spans="11:12" x14ac:dyDescent="0.2">
      <c r="K137" s="2">
        <v>122</v>
      </c>
      <c r="L137" s="6">
        <v>3</v>
      </c>
    </row>
    <row r="138" spans="11:12" x14ac:dyDescent="0.2">
      <c r="K138" s="2">
        <v>123</v>
      </c>
      <c r="L138" s="6">
        <v>0</v>
      </c>
    </row>
    <row r="139" spans="11:12" x14ac:dyDescent="0.2">
      <c r="K139" s="2">
        <v>124</v>
      </c>
      <c r="L139" s="6">
        <v>3</v>
      </c>
    </row>
    <row r="140" spans="11:12" x14ac:dyDescent="0.2">
      <c r="K140" s="2">
        <v>125</v>
      </c>
      <c r="L140" s="6">
        <v>0</v>
      </c>
    </row>
    <row r="141" spans="11:12" x14ac:dyDescent="0.2">
      <c r="K141" s="2">
        <v>126</v>
      </c>
      <c r="L141" s="6">
        <v>2</v>
      </c>
    </row>
    <row r="142" spans="11:12" x14ac:dyDescent="0.2">
      <c r="K142" s="2">
        <v>127</v>
      </c>
      <c r="L142" s="6">
        <v>1</v>
      </c>
    </row>
    <row r="143" spans="11:12" x14ac:dyDescent="0.2">
      <c r="K143" s="2">
        <v>128</v>
      </c>
      <c r="L143" s="6">
        <v>2</v>
      </c>
    </row>
    <row r="144" spans="11:12" x14ac:dyDescent="0.2">
      <c r="K144" s="2">
        <v>129</v>
      </c>
      <c r="L144" s="6">
        <v>2</v>
      </c>
    </row>
    <row r="145" spans="11:12" x14ac:dyDescent="0.2">
      <c r="K145" s="2">
        <v>130</v>
      </c>
      <c r="L145" s="6">
        <v>0</v>
      </c>
    </row>
    <row r="146" spans="11:12" x14ac:dyDescent="0.2">
      <c r="K146" s="2">
        <v>131</v>
      </c>
      <c r="L146" s="6">
        <v>2</v>
      </c>
    </row>
    <row r="147" spans="11:12" x14ac:dyDescent="0.2">
      <c r="K147" s="2">
        <v>132</v>
      </c>
      <c r="L147" s="6">
        <v>1</v>
      </c>
    </row>
    <row r="148" spans="11:12" x14ac:dyDescent="0.2">
      <c r="K148" s="2">
        <v>133</v>
      </c>
      <c r="L148" s="6">
        <v>2</v>
      </c>
    </row>
    <row r="149" spans="11:12" x14ac:dyDescent="0.2">
      <c r="K149" s="2">
        <v>134</v>
      </c>
      <c r="L149" s="6">
        <v>1</v>
      </c>
    </row>
    <row r="150" spans="11:12" x14ac:dyDescent="0.2">
      <c r="K150" s="2">
        <v>135</v>
      </c>
      <c r="L150" s="6">
        <v>0</v>
      </c>
    </row>
    <row r="151" spans="11:12" x14ac:dyDescent="0.2">
      <c r="K151" s="2">
        <v>136</v>
      </c>
      <c r="L151" s="6">
        <v>2</v>
      </c>
    </row>
    <row r="152" spans="11:12" x14ac:dyDescent="0.2">
      <c r="K152" s="2">
        <v>137</v>
      </c>
      <c r="L152" s="6">
        <v>1</v>
      </c>
    </row>
    <row r="153" spans="11:12" x14ac:dyDescent="0.2">
      <c r="K153" s="2">
        <v>138</v>
      </c>
      <c r="L153" s="6">
        <v>0</v>
      </c>
    </row>
    <row r="154" spans="11:12" x14ac:dyDescent="0.2">
      <c r="K154" s="2">
        <v>139</v>
      </c>
      <c r="L154" s="6">
        <v>3</v>
      </c>
    </row>
    <row r="155" spans="11:12" x14ac:dyDescent="0.2">
      <c r="K155" s="2">
        <v>140</v>
      </c>
      <c r="L155" s="6">
        <v>2</v>
      </c>
    </row>
    <row r="156" spans="11:12" x14ac:dyDescent="0.2">
      <c r="K156" s="2">
        <v>141</v>
      </c>
      <c r="L156" s="6">
        <v>1</v>
      </c>
    </row>
    <row r="157" spans="11:12" x14ac:dyDescent="0.2">
      <c r="K157" s="2">
        <v>142</v>
      </c>
      <c r="L157" s="6">
        <v>1</v>
      </c>
    </row>
    <row r="158" spans="11:12" x14ac:dyDescent="0.2">
      <c r="K158" s="2">
        <v>143</v>
      </c>
      <c r="L158" s="6">
        <v>1</v>
      </c>
    </row>
    <row r="159" spans="11:12" x14ac:dyDescent="0.2">
      <c r="K159" s="2">
        <v>144</v>
      </c>
      <c r="L159" s="6">
        <v>2</v>
      </c>
    </row>
    <row r="160" spans="11:12" x14ac:dyDescent="0.2">
      <c r="K160" s="2">
        <v>145</v>
      </c>
      <c r="L160" s="6">
        <v>1</v>
      </c>
    </row>
    <row r="161" spans="11:12" x14ac:dyDescent="0.2">
      <c r="K161" s="2">
        <v>146</v>
      </c>
      <c r="L161" s="6">
        <v>3</v>
      </c>
    </row>
    <row r="162" spans="11:12" x14ac:dyDescent="0.2">
      <c r="K162" s="2">
        <v>147</v>
      </c>
      <c r="L162" s="6">
        <v>3</v>
      </c>
    </row>
    <row r="163" spans="11:12" x14ac:dyDescent="0.2">
      <c r="K163" s="2">
        <v>148</v>
      </c>
      <c r="L163" s="6">
        <v>3</v>
      </c>
    </row>
    <row r="164" spans="11:12" x14ac:dyDescent="0.2">
      <c r="K164" s="2">
        <v>149</v>
      </c>
      <c r="L164" s="6">
        <v>3</v>
      </c>
    </row>
    <row r="165" spans="11:12" x14ac:dyDescent="0.2">
      <c r="K165" s="2">
        <v>150</v>
      </c>
      <c r="L165" s="6">
        <v>2</v>
      </c>
    </row>
    <row r="166" spans="11:12" x14ac:dyDescent="0.2">
      <c r="K166" s="2">
        <v>151</v>
      </c>
      <c r="L166" s="6">
        <v>2</v>
      </c>
    </row>
    <row r="167" spans="11:12" x14ac:dyDescent="0.2">
      <c r="K167" s="2">
        <v>152</v>
      </c>
      <c r="L167" s="6">
        <v>2</v>
      </c>
    </row>
    <row r="168" spans="11:12" x14ac:dyDescent="0.2">
      <c r="K168" s="2">
        <v>153</v>
      </c>
      <c r="L168" s="6">
        <v>2</v>
      </c>
    </row>
    <row r="169" spans="11:12" x14ac:dyDescent="0.2">
      <c r="K169" s="2">
        <v>154</v>
      </c>
      <c r="L169" s="6">
        <v>2</v>
      </c>
    </row>
    <row r="170" spans="11:12" x14ac:dyDescent="0.2">
      <c r="K170" s="2">
        <v>155</v>
      </c>
      <c r="L170" s="6">
        <v>1</v>
      </c>
    </row>
    <row r="171" spans="11:12" x14ac:dyDescent="0.2">
      <c r="K171" s="2">
        <v>156</v>
      </c>
      <c r="L171" s="6">
        <v>2</v>
      </c>
    </row>
    <row r="172" spans="11:12" x14ac:dyDescent="0.2">
      <c r="K172" s="2">
        <v>157</v>
      </c>
      <c r="L172" s="6">
        <v>2</v>
      </c>
    </row>
    <row r="173" spans="11:12" x14ac:dyDescent="0.2">
      <c r="K173" s="2">
        <v>158</v>
      </c>
      <c r="L173" s="6">
        <v>1</v>
      </c>
    </row>
    <row r="174" spans="11:12" x14ac:dyDescent="0.2">
      <c r="K174" s="2">
        <v>159</v>
      </c>
      <c r="L174" s="6">
        <v>1</v>
      </c>
    </row>
    <row r="175" spans="11:12" x14ac:dyDescent="0.2">
      <c r="K175" s="2">
        <v>160</v>
      </c>
      <c r="L175" s="6">
        <v>2</v>
      </c>
    </row>
    <row r="176" spans="11:12" x14ac:dyDescent="0.2">
      <c r="K176" s="2">
        <v>161</v>
      </c>
      <c r="L176" s="6">
        <v>2</v>
      </c>
    </row>
    <row r="177" spans="11:12" x14ac:dyDescent="0.2">
      <c r="K177" s="2">
        <v>162</v>
      </c>
      <c r="L177" s="6">
        <v>2</v>
      </c>
    </row>
    <row r="178" spans="11:12" x14ac:dyDescent="0.2">
      <c r="K178" s="2">
        <v>163</v>
      </c>
      <c r="L178" s="6">
        <v>0</v>
      </c>
    </row>
    <row r="179" spans="11:12" x14ac:dyDescent="0.2">
      <c r="K179" s="2">
        <v>164</v>
      </c>
      <c r="L179" s="6">
        <v>2</v>
      </c>
    </row>
    <row r="180" spans="11:12" x14ac:dyDescent="0.2">
      <c r="K180" s="2">
        <v>165</v>
      </c>
      <c r="L180" s="6">
        <v>2</v>
      </c>
    </row>
    <row r="181" spans="11:12" x14ac:dyDescent="0.2">
      <c r="K181" s="2">
        <v>166</v>
      </c>
      <c r="L181" s="6">
        <v>1</v>
      </c>
    </row>
    <row r="182" spans="11:12" x14ac:dyDescent="0.2">
      <c r="K182" s="2">
        <v>167</v>
      </c>
      <c r="L182" s="6">
        <v>2</v>
      </c>
    </row>
    <row r="183" spans="11:12" x14ac:dyDescent="0.2">
      <c r="K183" s="2">
        <v>168</v>
      </c>
      <c r="L183" s="6">
        <v>1</v>
      </c>
    </row>
    <row r="184" spans="11:12" x14ac:dyDescent="0.2">
      <c r="K184" s="2">
        <v>169</v>
      </c>
      <c r="L184" s="6">
        <v>3</v>
      </c>
    </row>
    <row r="185" spans="11:12" x14ac:dyDescent="0.2">
      <c r="K185" s="2">
        <v>170</v>
      </c>
      <c r="L185" s="6">
        <v>2</v>
      </c>
    </row>
    <row r="186" spans="11:12" x14ac:dyDescent="0.2">
      <c r="K186" s="2">
        <v>171</v>
      </c>
      <c r="L186" s="6">
        <v>1</v>
      </c>
    </row>
    <row r="187" spans="11:12" x14ac:dyDescent="0.2">
      <c r="K187" s="2">
        <v>172</v>
      </c>
      <c r="L187" s="6">
        <v>2</v>
      </c>
    </row>
    <row r="188" spans="11:12" x14ac:dyDescent="0.2">
      <c r="K188" s="2">
        <v>173</v>
      </c>
      <c r="L188" s="6">
        <v>3</v>
      </c>
    </row>
    <row r="189" spans="11:12" x14ac:dyDescent="0.2">
      <c r="K189" s="2">
        <v>174</v>
      </c>
      <c r="L189" s="6">
        <v>1</v>
      </c>
    </row>
    <row r="190" spans="11:12" x14ac:dyDescent="0.2">
      <c r="K190" s="2">
        <v>175</v>
      </c>
      <c r="L190" s="6">
        <v>2</v>
      </c>
    </row>
    <row r="191" spans="11:12" x14ac:dyDescent="0.2">
      <c r="K191" s="2">
        <v>176</v>
      </c>
      <c r="L191" s="6">
        <v>3</v>
      </c>
    </row>
    <row r="192" spans="11:12" x14ac:dyDescent="0.2">
      <c r="K192" s="2">
        <v>177</v>
      </c>
      <c r="L192" s="6">
        <v>2</v>
      </c>
    </row>
    <row r="193" spans="11:12" x14ac:dyDescent="0.2">
      <c r="K193" s="2">
        <v>178</v>
      </c>
      <c r="L193" s="6">
        <v>2</v>
      </c>
    </row>
    <row r="194" spans="11:12" x14ac:dyDescent="0.2">
      <c r="K194" s="2">
        <v>179</v>
      </c>
      <c r="L194" s="6">
        <v>1</v>
      </c>
    </row>
    <row r="195" spans="11:12" x14ac:dyDescent="0.2">
      <c r="K195" s="2">
        <v>180</v>
      </c>
      <c r="L195" s="6">
        <v>2</v>
      </c>
    </row>
    <row r="196" spans="11:12" x14ac:dyDescent="0.2">
      <c r="K196" s="2">
        <v>181</v>
      </c>
      <c r="L196" s="6">
        <v>1</v>
      </c>
    </row>
    <row r="197" spans="11:12" x14ac:dyDescent="0.2">
      <c r="K197" s="2">
        <v>182</v>
      </c>
      <c r="L197" s="6">
        <v>1</v>
      </c>
    </row>
    <row r="198" spans="11:12" x14ac:dyDescent="0.2">
      <c r="K198" s="2">
        <v>183</v>
      </c>
      <c r="L198" s="6">
        <v>1</v>
      </c>
    </row>
    <row r="199" spans="11:12" x14ac:dyDescent="0.2">
      <c r="K199" s="2">
        <v>184</v>
      </c>
      <c r="L199" s="6">
        <v>0</v>
      </c>
    </row>
    <row r="200" spans="11:12" x14ac:dyDescent="0.2">
      <c r="K200" s="2">
        <v>185</v>
      </c>
      <c r="L200" s="6">
        <v>2</v>
      </c>
    </row>
    <row r="201" spans="11:12" x14ac:dyDescent="0.2">
      <c r="K201" s="2">
        <v>186</v>
      </c>
      <c r="L201" s="6">
        <v>3</v>
      </c>
    </row>
    <row r="202" spans="11:12" x14ac:dyDescent="0.2">
      <c r="K202" s="2">
        <v>187</v>
      </c>
      <c r="L202" s="6">
        <v>1</v>
      </c>
    </row>
    <row r="203" spans="11:12" x14ac:dyDescent="0.2">
      <c r="K203" s="2">
        <v>188</v>
      </c>
      <c r="L203" s="6">
        <v>2</v>
      </c>
    </row>
    <row r="204" spans="11:12" x14ac:dyDescent="0.2">
      <c r="K204" s="2">
        <v>189</v>
      </c>
      <c r="L204" s="6">
        <v>3</v>
      </c>
    </row>
    <row r="205" spans="11:12" x14ac:dyDescent="0.2">
      <c r="K205" s="2">
        <v>190</v>
      </c>
      <c r="L205" s="6">
        <v>0</v>
      </c>
    </row>
    <row r="206" spans="11:12" x14ac:dyDescent="0.2">
      <c r="K206" s="2">
        <v>191</v>
      </c>
      <c r="L206" s="6">
        <v>3</v>
      </c>
    </row>
    <row r="207" spans="11:12" x14ac:dyDescent="0.2">
      <c r="K207" s="2">
        <v>192</v>
      </c>
      <c r="L207" s="6">
        <v>3</v>
      </c>
    </row>
    <row r="208" spans="11:12" x14ac:dyDescent="0.2">
      <c r="K208" s="2">
        <v>193</v>
      </c>
      <c r="L208" s="6">
        <v>2</v>
      </c>
    </row>
    <row r="209" spans="11:12" x14ac:dyDescent="0.2">
      <c r="K209" s="2">
        <v>194</v>
      </c>
      <c r="L209" s="6">
        <v>1</v>
      </c>
    </row>
    <row r="210" spans="11:12" x14ac:dyDescent="0.2">
      <c r="K210" s="2">
        <v>195</v>
      </c>
      <c r="L210" s="6">
        <v>0</v>
      </c>
    </row>
    <row r="211" spans="11:12" x14ac:dyDescent="0.2">
      <c r="K211" s="2">
        <v>196</v>
      </c>
      <c r="L211" s="6">
        <v>1</v>
      </c>
    </row>
    <row r="212" spans="11:12" x14ac:dyDescent="0.2">
      <c r="K212" s="2">
        <v>197</v>
      </c>
      <c r="L212" s="6">
        <v>2</v>
      </c>
    </row>
    <row r="213" spans="11:12" x14ac:dyDescent="0.2">
      <c r="K213" s="2">
        <v>198</v>
      </c>
      <c r="L213" s="6">
        <v>2</v>
      </c>
    </row>
    <row r="214" spans="11:12" x14ac:dyDescent="0.2">
      <c r="K214" s="2">
        <v>199</v>
      </c>
      <c r="L214" s="6">
        <v>2</v>
      </c>
    </row>
    <row r="215" spans="11:12" x14ac:dyDescent="0.2">
      <c r="K215" s="2">
        <v>200</v>
      </c>
      <c r="L215" s="6">
        <v>3</v>
      </c>
    </row>
    <row r="216" spans="11:12" x14ac:dyDescent="0.2">
      <c r="K216" s="2">
        <v>201</v>
      </c>
      <c r="L216" s="6">
        <v>2</v>
      </c>
    </row>
    <row r="217" spans="11:12" x14ac:dyDescent="0.2">
      <c r="K217" s="2">
        <v>202</v>
      </c>
      <c r="L217" s="6">
        <v>1</v>
      </c>
    </row>
    <row r="218" spans="11:12" x14ac:dyDescent="0.2">
      <c r="K218" s="2">
        <v>203</v>
      </c>
      <c r="L218" s="6">
        <v>1</v>
      </c>
    </row>
    <row r="219" spans="11:12" x14ac:dyDescent="0.2">
      <c r="K219" s="2">
        <v>204</v>
      </c>
      <c r="L219" s="6">
        <v>1</v>
      </c>
    </row>
    <row r="220" spans="11:12" x14ac:dyDescent="0.2">
      <c r="K220" s="2">
        <v>205</v>
      </c>
      <c r="L220" s="6">
        <v>1</v>
      </c>
    </row>
    <row r="221" spans="11:12" x14ac:dyDescent="0.2">
      <c r="K221" s="2">
        <v>206</v>
      </c>
      <c r="L221" s="6">
        <v>2</v>
      </c>
    </row>
    <row r="222" spans="11:12" x14ac:dyDescent="0.2">
      <c r="K222" s="2">
        <v>207</v>
      </c>
      <c r="L222" s="6">
        <v>1</v>
      </c>
    </row>
    <row r="223" spans="11:12" x14ac:dyDescent="0.2">
      <c r="K223" s="2">
        <v>208</v>
      </c>
      <c r="L223" s="6">
        <v>2</v>
      </c>
    </row>
    <row r="224" spans="11:12" x14ac:dyDescent="0.2">
      <c r="K224" s="2">
        <v>209</v>
      </c>
      <c r="L224" s="6">
        <v>2</v>
      </c>
    </row>
    <row r="225" spans="11:12" x14ac:dyDescent="0.2">
      <c r="K225" s="2">
        <v>210</v>
      </c>
      <c r="L225" s="6">
        <v>0</v>
      </c>
    </row>
    <row r="226" spans="11:12" x14ac:dyDescent="0.2">
      <c r="K226" s="2">
        <v>211</v>
      </c>
      <c r="L226" s="6">
        <v>0</v>
      </c>
    </row>
    <row r="227" spans="11:12" x14ac:dyDescent="0.2">
      <c r="K227" s="2">
        <v>212</v>
      </c>
      <c r="L227" s="6">
        <v>1</v>
      </c>
    </row>
    <row r="228" spans="11:12" x14ac:dyDescent="0.2">
      <c r="K228" s="2">
        <v>213</v>
      </c>
      <c r="L228" s="6">
        <v>3</v>
      </c>
    </row>
    <row r="229" spans="11:12" x14ac:dyDescent="0.2">
      <c r="K229" s="2">
        <v>214</v>
      </c>
      <c r="L229" s="6">
        <v>3</v>
      </c>
    </row>
    <row r="230" spans="11:12" x14ac:dyDescent="0.2">
      <c r="K230" s="2">
        <v>215</v>
      </c>
      <c r="L230" s="6">
        <v>2</v>
      </c>
    </row>
    <row r="231" spans="11:12" x14ac:dyDescent="0.2">
      <c r="K231" s="2">
        <v>216</v>
      </c>
      <c r="L231" s="6">
        <v>3</v>
      </c>
    </row>
    <row r="232" spans="11:12" x14ac:dyDescent="0.2">
      <c r="K232" s="2">
        <v>217</v>
      </c>
      <c r="L232" s="6">
        <v>2</v>
      </c>
    </row>
    <row r="233" spans="11:12" x14ac:dyDescent="0.2">
      <c r="K233" s="2">
        <v>218</v>
      </c>
      <c r="L233" s="6">
        <v>1</v>
      </c>
    </row>
    <row r="234" spans="11:12" x14ac:dyDescent="0.2">
      <c r="K234" s="2">
        <v>219</v>
      </c>
      <c r="L234" s="6">
        <v>1</v>
      </c>
    </row>
    <row r="235" spans="11:12" x14ac:dyDescent="0.2">
      <c r="K235" s="2">
        <v>220</v>
      </c>
      <c r="L235" s="6">
        <v>2</v>
      </c>
    </row>
    <row r="236" spans="11:12" x14ac:dyDescent="0.2">
      <c r="K236" s="2">
        <v>221</v>
      </c>
      <c r="L236" s="6">
        <v>0</v>
      </c>
    </row>
    <row r="237" spans="11:12" x14ac:dyDescent="0.2">
      <c r="K237" s="2">
        <v>222</v>
      </c>
      <c r="L237" s="6">
        <v>1</v>
      </c>
    </row>
    <row r="238" spans="11:12" x14ac:dyDescent="0.2">
      <c r="K238" s="2">
        <v>223</v>
      </c>
      <c r="L238" s="6">
        <v>2</v>
      </c>
    </row>
    <row r="239" spans="11:12" x14ac:dyDescent="0.2">
      <c r="K239" s="2">
        <v>224</v>
      </c>
      <c r="L239" s="6">
        <v>3</v>
      </c>
    </row>
    <row r="240" spans="11:12" x14ac:dyDescent="0.2">
      <c r="K240" s="2">
        <v>225</v>
      </c>
      <c r="L240" s="6">
        <v>2</v>
      </c>
    </row>
    <row r="241" spans="11:12" x14ac:dyDescent="0.2">
      <c r="K241" s="2">
        <v>226</v>
      </c>
      <c r="L241" s="6">
        <v>2</v>
      </c>
    </row>
    <row r="242" spans="11:12" x14ac:dyDescent="0.2">
      <c r="K242" s="2">
        <v>227</v>
      </c>
      <c r="L242" s="6">
        <v>1</v>
      </c>
    </row>
    <row r="243" spans="11:12" x14ac:dyDescent="0.2">
      <c r="K243" s="2">
        <v>228</v>
      </c>
      <c r="L243" s="6">
        <v>1</v>
      </c>
    </row>
    <row r="244" spans="11:12" x14ac:dyDescent="0.2">
      <c r="K244" s="2">
        <v>229</v>
      </c>
      <c r="L244" s="6">
        <v>3</v>
      </c>
    </row>
    <row r="245" spans="11:12" x14ac:dyDescent="0.2">
      <c r="K245" s="2">
        <v>230</v>
      </c>
      <c r="L245" s="6">
        <v>1</v>
      </c>
    </row>
    <row r="246" spans="11:12" x14ac:dyDescent="0.2">
      <c r="K246" s="2">
        <v>231</v>
      </c>
      <c r="L246" s="6">
        <v>2</v>
      </c>
    </row>
    <row r="247" spans="11:12" x14ac:dyDescent="0.2">
      <c r="K247" s="2">
        <v>232</v>
      </c>
      <c r="L247" s="6">
        <v>3</v>
      </c>
    </row>
    <row r="248" spans="11:12" x14ac:dyDescent="0.2">
      <c r="K248" s="2">
        <v>233</v>
      </c>
      <c r="L248" s="6">
        <v>3</v>
      </c>
    </row>
    <row r="249" spans="11:12" x14ac:dyDescent="0.2">
      <c r="K249" s="2">
        <v>234</v>
      </c>
      <c r="L249" s="6">
        <v>2</v>
      </c>
    </row>
    <row r="250" spans="11:12" x14ac:dyDescent="0.2">
      <c r="K250" s="2">
        <v>235</v>
      </c>
      <c r="L250" s="6">
        <v>1</v>
      </c>
    </row>
    <row r="251" spans="11:12" x14ac:dyDescent="0.2">
      <c r="K251" s="2">
        <v>236</v>
      </c>
      <c r="L251" s="6">
        <v>1</v>
      </c>
    </row>
    <row r="252" spans="11:12" x14ac:dyDescent="0.2">
      <c r="K252" s="2">
        <v>237</v>
      </c>
      <c r="L252" s="6">
        <v>3</v>
      </c>
    </row>
    <row r="253" spans="11:12" x14ac:dyDescent="0.2">
      <c r="K253" s="2">
        <v>238</v>
      </c>
      <c r="L253" s="6">
        <v>1</v>
      </c>
    </row>
    <row r="254" spans="11:12" x14ac:dyDescent="0.2">
      <c r="K254" s="2">
        <v>239</v>
      </c>
      <c r="L254" s="6">
        <v>2</v>
      </c>
    </row>
    <row r="255" spans="11:12" x14ac:dyDescent="0.2">
      <c r="K255" s="2">
        <v>240</v>
      </c>
      <c r="L255" s="6">
        <v>3</v>
      </c>
    </row>
    <row r="256" spans="11:12" x14ac:dyDescent="0.2">
      <c r="K256" s="2">
        <v>241</v>
      </c>
      <c r="L256" s="6">
        <v>0</v>
      </c>
    </row>
    <row r="257" spans="11:12" x14ac:dyDescent="0.2">
      <c r="K257" s="2">
        <v>242</v>
      </c>
      <c r="L257" s="6">
        <v>2</v>
      </c>
    </row>
    <row r="258" spans="11:12" x14ac:dyDescent="0.2">
      <c r="K258" s="2">
        <v>243</v>
      </c>
      <c r="L258" s="6">
        <v>2</v>
      </c>
    </row>
    <row r="259" spans="11:12" x14ac:dyDescent="0.2">
      <c r="K259" s="2">
        <v>244</v>
      </c>
      <c r="L259" s="6">
        <v>2</v>
      </c>
    </row>
    <row r="260" spans="11:12" x14ac:dyDescent="0.2">
      <c r="K260" s="2">
        <v>245</v>
      </c>
      <c r="L260" s="6">
        <v>3</v>
      </c>
    </row>
    <row r="261" spans="11:12" x14ac:dyDescent="0.2">
      <c r="K261" s="2">
        <v>246</v>
      </c>
      <c r="L261" s="6">
        <v>1</v>
      </c>
    </row>
    <row r="262" spans="11:12" x14ac:dyDescent="0.2">
      <c r="K262" s="2">
        <v>247</v>
      </c>
      <c r="L262" s="6">
        <v>1</v>
      </c>
    </row>
    <row r="263" spans="11:12" x14ac:dyDescent="0.2">
      <c r="K263" s="2">
        <v>248</v>
      </c>
      <c r="L263" s="6">
        <v>2</v>
      </c>
    </row>
    <row r="264" spans="11:12" x14ac:dyDescent="0.2">
      <c r="K264" s="2">
        <v>249</v>
      </c>
      <c r="L264" s="6">
        <v>1</v>
      </c>
    </row>
    <row r="265" spans="11:12" x14ac:dyDescent="0.2">
      <c r="K265" s="2">
        <v>250</v>
      </c>
      <c r="L265" s="6">
        <v>1</v>
      </c>
    </row>
    <row r="266" spans="11:12" x14ac:dyDescent="0.2">
      <c r="K266" s="2">
        <v>251</v>
      </c>
      <c r="L266" s="6">
        <v>1</v>
      </c>
    </row>
    <row r="267" spans="11:12" x14ac:dyDescent="0.2">
      <c r="K267" s="2">
        <v>252</v>
      </c>
      <c r="L267" s="6">
        <v>1</v>
      </c>
    </row>
    <row r="268" spans="11:12" x14ac:dyDescent="0.2">
      <c r="K268" s="2">
        <v>253</v>
      </c>
      <c r="L268" s="6">
        <v>1</v>
      </c>
    </row>
    <row r="269" spans="11:12" x14ac:dyDescent="0.2">
      <c r="K269" s="2">
        <v>254</v>
      </c>
      <c r="L269" s="6">
        <v>3</v>
      </c>
    </row>
    <row r="270" spans="11:12" x14ac:dyDescent="0.2">
      <c r="K270" s="2">
        <v>255</v>
      </c>
      <c r="L270" s="6">
        <v>2</v>
      </c>
    </row>
    <row r="271" spans="11:12" x14ac:dyDescent="0.2">
      <c r="K271" s="2">
        <v>256</v>
      </c>
      <c r="L271" s="6">
        <v>2</v>
      </c>
    </row>
    <row r="272" spans="11:12" x14ac:dyDescent="0.2">
      <c r="K272" s="2">
        <v>257</v>
      </c>
      <c r="L272" s="6">
        <v>1</v>
      </c>
    </row>
    <row r="273" spans="11:12" x14ac:dyDescent="0.2">
      <c r="K273" s="2">
        <v>258</v>
      </c>
      <c r="L273" s="6">
        <v>2</v>
      </c>
    </row>
    <row r="274" spans="11:12" x14ac:dyDescent="0.2">
      <c r="K274" s="2">
        <v>259</v>
      </c>
      <c r="L274" s="6">
        <v>1</v>
      </c>
    </row>
    <row r="275" spans="11:12" x14ac:dyDescent="0.2">
      <c r="K275" s="2">
        <v>260</v>
      </c>
      <c r="L275" s="6">
        <v>2</v>
      </c>
    </row>
    <row r="276" spans="11:12" x14ac:dyDescent="0.2">
      <c r="K276" s="2">
        <v>261</v>
      </c>
      <c r="L276" s="6">
        <v>2</v>
      </c>
    </row>
    <row r="277" spans="11:12" x14ac:dyDescent="0.2">
      <c r="K277" s="2">
        <v>262</v>
      </c>
      <c r="L277" s="6">
        <v>3</v>
      </c>
    </row>
    <row r="278" spans="11:12" x14ac:dyDescent="0.2">
      <c r="K278" s="2">
        <v>263</v>
      </c>
      <c r="L278" s="6">
        <v>2</v>
      </c>
    </row>
    <row r="279" spans="11:12" x14ac:dyDescent="0.2">
      <c r="K279" s="2">
        <v>264</v>
      </c>
      <c r="L279" s="6">
        <v>0</v>
      </c>
    </row>
    <row r="280" spans="11:12" x14ac:dyDescent="0.2">
      <c r="K280" s="2">
        <v>265</v>
      </c>
      <c r="L280" s="6">
        <v>1</v>
      </c>
    </row>
    <row r="281" spans="11:12" x14ac:dyDescent="0.2">
      <c r="K281" s="2">
        <v>266</v>
      </c>
      <c r="L281" s="6">
        <v>2</v>
      </c>
    </row>
    <row r="282" spans="11:12" x14ac:dyDescent="0.2">
      <c r="K282" s="2">
        <v>267</v>
      </c>
      <c r="L282" s="6">
        <v>2</v>
      </c>
    </row>
    <row r="283" spans="11:12" x14ac:dyDescent="0.2">
      <c r="K283" s="2">
        <v>268</v>
      </c>
      <c r="L283" s="6">
        <v>1</v>
      </c>
    </row>
    <row r="284" spans="11:12" x14ac:dyDescent="0.2">
      <c r="K284" s="2">
        <v>269</v>
      </c>
      <c r="L284" s="6">
        <v>0</v>
      </c>
    </row>
    <row r="285" spans="11:12" x14ac:dyDescent="0.2">
      <c r="K285" s="2">
        <v>270</v>
      </c>
      <c r="L285" s="6">
        <v>2</v>
      </c>
    </row>
    <row r="286" spans="11:12" x14ac:dyDescent="0.2">
      <c r="K286" s="2">
        <v>271</v>
      </c>
      <c r="L286" s="6">
        <v>1</v>
      </c>
    </row>
    <row r="287" spans="11:12" x14ac:dyDescent="0.2">
      <c r="K287" s="2">
        <v>272</v>
      </c>
      <c r="L287" s="6">
        <v>3</v>
      </c>
    </row>
    <row r="288" spans="11:12" x14ac:dyDescent="0.2">
      <c r="K288" s="2">
        <v>273</v>
      </c>
      <c r="L288" s="6">
        <v>0</v>
      </c>
    </row>
    <row r="289" spans="11:12" x14ac:dyDescent="0.2">
      <c r="K289" s="2">
        <v>274</v>
      </c>
      <c r="L289" s="6">
        <v>2</v>
      </c>
    </row>
    <row r="290" spans="11:12" x14ac:dyDescent="0.2">
      <c r="K290" s="2">
        <v>275</v>
      </c>
      <c r="L290" s="6">
        <v>3</v>
      </c>
    </row>
    <row r="291" spans="11:12" x14ac:dyDescent="0.2">
      <c r="K291" s="2">
        <v>276</v>
      </c>
      <c r="L291" s="6">
        <v>1</v>
      </c>
    </row>
    <row r="292" spans="11:12" x14ac:dyDescent="0.2">
      <c r="K292" s="2">
        <v>277</v>
      </c>
      <c r="L292" s="6">
        <v>0</v>
      </c>
    </row>
    <row r="293" spans="11:12" x14ac:dyDescent="0.2">
      <c r="K293" s="2">
        <v>278</v>
      </c>
      <c r="L293" s="6">
        <v>0</v>
      </c>
    </row>
    <row r="294" spans="11:12" x14ac:dyDescent="0.2">
      <c r="K294" s="2">
        <v>279</v>
      </c>
      <c r="L294" s="6">
        <v>1</v>
      </c>
    </row>
    <row r="295" spans="11:12" x14ac:dyDescent="0.2">
      <c r="K295" s="2">
        <v>280</v>
      </c>
      <c r="L295" s="6">
        <v>0</v>
      </c>
    </row>
    <row r="296" spans="11:12" x14ac:dyDescent="0.2">
      <c r="K296" s="2">
        <v>281</v>
      </c>
      <c r="L296" s="6">
        <v>1</v>
      </c>
    </row>
    <row r="297" spans="11:12" x14ac:dyDescent="0.2">
      <c r="K297" s="2">
        <v>282</v>
      </c>
      <c r="L297" s="6">
        <v>3</v>
      </c>
    </row>
    <row r="298" spans="11:12" x14ac:dyDescent="0.2">
      <c r="K298" s="2">
        <v>283</v>
      </c>
      <c r="L298" s="6">
        <v>2</v>
      </c>
    </row>
    <row r="299" spans="11:12" x14ac:dyDescent="0.2">
      <c r="K299" s="2">
        <v>284</v>
      </c>
      <c r="L299" s="6">
        <v>2</v>
      </c>
    </row>
    <row r="300" spans="11:12" x14ac:dyDescent="0.2">
      <c r="K300" s="2">
        <v>285</v>
      </c>
      <c r="L300" s="6">
        <v>2</v>
      </c>
    </row>
    <row r="301" spans="11:12" x14ac:dyDescent="0.2">
      <c r="K301" s="2">
        <v>286</v>
      </c>
      <c r="L301" s="6">
        <v>2</v>
      </c>
    </row>
    <row r="302" spans="11:12" x14ac:dyDescent="0.2">
      <c r="K302" s="2">
        <v>287</v>
      </c>
      <c r="L302" s="6">
        <v>2</v>
      </c>
    </row>
    <row r="303" spans="11:12" x14ac:dyDescent="0.2">
      <c r="K303" s="2">
        <v>288</v>
      </c>
      <c r="L303" s="6">
        <v>1</v>
      </c>
    </row>
    <row r="304" spans="11:12" x14ac:dyDescent="0.2">
      <c r="K304" s="2">
        <v>289</v>
      </c>
      <c r="L304" s="6">
        <v>2</v>
      </c>
    </row>
    <row r="305" spans="11:12" x14ac:dyDescent="0.2">
      <c r="K305" s="2">
        <v>290</v>
      </c>
      <c r="L305" s="6">
        <v>0</v>
      </c>
    </row>
    <row r="306" spans="11:12" x14ac:dyDescent="0.2">
      <c r="K306" s="2">
        <v>291</v>
      </c>
      <c r="L306" s="6">
        <v>0</v>
      </c>
    </row>
    <row r="307" spans="11:12" x14ac:dyDescent="0.2">
      <c r="K307" s="2">
        <v>292</v>
      </c>
      <c r="L307" s="6">
        <v>2</v>
      </c>
    </row>
    <row r="308" spans="11:12" x14ac:dyDescent="0.2">
      <c r="K308" s="2">
        <v>293</v>
      </c>
      <c r="L308" s="6">
        <v>2</v>
      </c>
    </row>
    <row r="309" spans="11:12" x14ac:dyDescent="0.2">
      <c r="K309" s="2">
        <v>294</v>
      </c>
      <c r="L309" s="6">
        <v>1</v>
      </c>
    </row>
    <row r="310" spans="11:12" x14ac:dyDescent="0.2">
      <c r="K310" s="2">
        <v>295</v>
      </c>
      <c r="L310" s="6">
        <v>1</v>
      </c>
    </row>
    <row r="311" spans="11:12" x14ac:dyDescent="0.2">
      <c r="K311" s="2">
        <v>296</v>
      </c>
      <c r="L311" s="6">
        <v>0</v>
      </c>
    </row>
    <row r="312" spans="11:12" x14ac:dyDescent="0.2">
      <c r="K312" s="2">
        <v>297</v>
      </c>
      <c r="L312" s="6">
        <v>1</v>
      </c>
    </row>
    <row r="313" spans="11:12" x14ac:dyDescent="0.2">
      <c r="K313" s="2">
        <v>298</v>
      </c>
      <c r="L313" s="6">
        <v>2</v>
      </c>
    </row>
    <row r="314" spans="11:12" x14ac:dyDescent="0.2">
      <c r="K314" s="2">
        <v>299</v>
      </c>
      <c r="L314" s="6">
        <v>3</v>
      </c>
    </row>
    <row r="315" spans="11:12" x14ac:dyDescent="0.2">
      <c r="K315" s="2">
        <v>300</v>
      </c>
      <c r="L315" s="6">
        <v>1</v>
      </c>
    </row>
    <row r="316" spans="11:12" x14ac:dyDescent="0.2">
      <c r="K316" s="2">
        <v>301</v>
      </c>
      <c r="L316" s="6">
        <v>3</v>
      </c>
    </row>
    <row r="317" spans="11:12" x14ac:dyDescent="0.2">
      <c r="K317" s="2">
        <v>302</v>
      </c>
      <c r="L317" s="6">
        <v>2</v>
      </c>
    </row>
    <row r="318" spans="11:12" x14ac:dyDescent="0.2">
      <c r="K318" s="2">
        <v>303</v>
      </c>
      <c r="L318" s="6">
        <v>2</v>
      </c>
    </row>
    <row r="319" spans="11:12" x14ac:dyDescent="0.2">
      <c r="K319" s="2">
        <v>304</v>
      </c>
      <c r="L319" s="6">
        <v>2</v>
      </c>
    </row>
    <row r="320" spans="11:12" x14ac:dyDescent="0.2">
      <c r="K320" s="2">
        <v>305</v>
      </c>
      <c r="L320" s="6">
        <v>3</v>
      </c>
    </row>
    <row r="321" spans="11:12" x14ac:dyDescent="0.2">
      <c r="K321" s="2">
        <v>306</v>
      </c>
      <c r="L321" s="6">
        <v>0</v>
      </c>
    </row>
    <row r="322" spans="11:12" x14ac:dyDescent="0.2">
      <c r="K322" s="2">
        <v>307</v>
      </c>
      <c r="L322" s="6">
        <v>1</v>
      </c>
    </row>
    <row r="323" spans="11:12" x14ac:dyDescent="0.2">
      <c r="K323" s="2">
        <v>308</v>
      </c>
      <c r="L323" s="6">
        <v>2</v>
      </c>
    </row>
    <row r="324" spans="11:12" x14ac:dyDescent="0.2">
      <c r="K324" s="2">
        <v>309</v>
      </c>
      <c r="L324" s="6">
        <v>2</v>
      </c>
    </row>
    <row r="325" spans="11:12" x14ac:dyDescent="0.2">
      <c r="K325" s="2">
        <v>310</v>
      </c>
      <c r="L325" s="6">
        <v>1</v>
      </c>
    </row>
    <row r="326" spans="11:12" x14ac:dyDescent="0.2">
      <c r="K326" s="2">
        <v>311</v>
      </c>
      <c r="L326" s="6">
        <v>0</v>
      </c>
    </row>
    <row r="327" spans="11:12" x14ac:dyDescent="0.2">
      <c r="K327" s="2">
        <v>312</v>
      </c>
      <c r="L327" s="6">
        <v>1</v>
      </c>
    </row>
    <row r="328" spans="11:12" x14ac:dyDescent="0.2">
      <c r="K328" s="2">
        <v>313</v>
      </c>
      <c r="L328" s="6">
        <v>0</v>
      </c>
    </row>
    <row r="329" spans="11:12" x14ac:dyDescent="0.2">
      <c r="K329" s="2">
        <v>314</v>
      </c>
      <c r="L329" s="6">
        <v>2</v>
      </c>
    </row>
    <row r="330" spans="11:12" x14ac:dyDescent="0.2">
      <c r="K330" s="2">
        <v>315</v>
      </c>
      <c r="L330" s="6">
        <v>1</v>
      </c>
    </row>
    <row r="331" spans="11:12" x14ac:dyDescent="0.2">
      <c r="K331" s="2">
        <v>316</v>
      </c>
      <c r="L331" s="6">
        <v>2</v>
      </c>
    </row>
    <row r="332" spans="11:12" x14ac:dyDescent="0.2">
      <c r="K332" s="2">
        <v>317</v>
      </c>
      <c r="L332" s="6">
        <v>2</v>
      </c>
    </row>
    <row r="333" spans="11:12" x14ac:dyDescent="0.2">
      <c r="K333" s="2">
        <v>318</v>
      </c>
      <c r="L333" s="6">
        <v>1</v>
      </c>
    </row>
    <row r="334" spans="11:12" x14ac:dyDescent="0.2">
      <c r="K334" s="2">
        <v>319</v>
      </c>
      <c r="L334" s="6">
        <v>3</v>
      </c>
    </row>
    <row r="335" spans="11:12" x14ac:dyDescent="0.2">
      <c r="K335" s="2">
        <v>320</v>
      </c>
      <c r="L335" s="6">
        <v>2</v>
      </c>
    </row>
    <row r="336" spans="11:12" x14ac:dyDescent="0.2">
      <c r="K336" s="2">
        <v>321</v>
      </c>
      <c r="L336" s="6">
        <v>2</v>
      </c>
    </row>
    <row r="337" spans="11:12" x14ac:dyDescent="0.2">
      <c r="K337" s="2">
        <v>322</v>
      </c>
      <c r="L337" s="6">
        <v>2</v>
      </c>
    </row>
    <row r="338" spans="11:12" x14ac:dyDescent="0.2">
      <c r="K338" s="2">
        <v>323</v>
      </c>
      <c r="L338" s="6">
        <v>1</v>
      </c>
    </row>
    <row r="339" spans="11:12" x14ac:dyDescent="0.2">
      <c r="K339" s="2">
        <v>324</v>
      </c>
      <c r="L339" s="6">
        <v>2</v>
      </c>
    </row>
    <row r="340" spans="11:12" x14ac:dyDescent="0.2">
      <c r="K340" s="2">
        <v>325</v>
      </c>
      <c r="L340" s="6">
        <v>1</v>
      </c>
    </row>
    <row r="341" spans="11:12" x14ac:dyDescent="0.2">
      <c r="K341" s="2">
        <v>326</v>
      </c>
      <c r="L341" s="6">
        <v>1</v>
      </c>
    </row>
    <row r="342" spans="11:12" x14ac:dyDescent="0.2">
      <c r="K342" s="2">
        <v>327</v>
      </c>
      <c r="L342" s="6">
        <v>1</v>
      </c>
    </row>
    <row r="343" spans="11:12" x14ac:dyDescent="0.2">
      <c r="K343" s="2">
        <v>328</v>
      </c>
      <c r="L343" s="6">
        <v>1</v>
      </c>
    </row>
    <row r="344" spans="11:12" x14ac:dyDescent="0.2">
      <c r="K344" s="2">
        <v>329</v>
      </c>
      <c r="L344" s="6">
        <v>1</v>
      </c>
    </row>
    <row r="345" spans="11:12" x14ac:dyDescent="0.2">
      <c r="K345" s="2">
        <v>330</v>
      </c>
      <c r="L345" s="6">
        <v>0</v>
      </c>
    </row>
    <row r="346" spans="11:12" x14ac:dyDescent="0.2">
      <c r="K346" s="2">
        <v>331</v>
      </c>
      <c r="L346" s="6">
        <v>2</v>
      </c>
    </row>
    <row r="347" spans="11:12" x14ac:dyDescent="0.2">
      <c r="K347" s="2">
        <v>332</v>
      </c>
      <c r="L347" s="6">
        <v>2</v>
      </c>
    </row>
    <row r="348" spans="11:12" x14ac:dyDescent="0.2">
      <c r="K348" s="2">
        <v>333</v>
      </c>
      <c r="L348" s="6">
        <v>2</v>
      </c>
    </row>
    <row r="349" spans="11:12" x14ac:dyDescent="0.2">
      <c r="K349" s="2">
        <v>334</v>
      </c>
      <c r="L349" s="6">
        <v>0</v>
      </c>
    </row>
    <row r="350" spans="11:12" x14ac:dyDescent="0.2">
      <c r="K350" s="2">
        <v>335</v>
      </c>
      <c r="L350" s="6">
        <v>1</v>
      </c>
    </row>
    <row r="351" spans="11:12" x14ac:dyDescent="0.2">
      <c r="K351" s="2">
        <v>336</v>
      </c>
      <c r="L351" s="6">
        <v>1</v>
      </c>
    </row>
    <row r="352" spans="11:12" x14ac:dyDescent="0.2">
      <c r="K352" s="2">
        <v>337</v>
      </c>
      <c r="L352" s="6">
        <v>1</v>
      </c>
    </row>
    <row r="353" spans="11:12" x14ac:dyDescent="0.2">
      <c r="K353" s="2">
        <v>338</v>
      </c>
      <c r="L353" s="6">
        <v>2</v>
      </c>
    </row>
    <row r="354" spans="11:12" x14ac:dyDescent="0.2">
      <c r="K354" s="2">
        <v>339</v>
      </c>
      <c r="L354" s="6">
        <v>1</v>
      </c>
    </row>
    <row r="355" spans="11:12" x14ac:dyDescent="0.2">
      <c r="K355" s="2">
        <v>340</v>
      </c>
      <c r="L355" s="6">
        <v>2</v>
      </c>
    </row>
    <row r="356" spans="11:12" x14ac:dyDescent="0.2">
      <c r="K356" s="2">
        <v>341</v>
      </c>
      <c r="L356" s="6">
        <v>1</v>
      </c>
    </row>
    <row r="357" spans="11:12" x14ac:dyDescent="0.2">
      <c r="K357" s="2">
        <v>342</v>
      </c>
      <c r="L357" s="6">
        <v>1</v>
      </c>
    </row>
    <row r="358" spans="11:12" x14ac:dyDescent="0.2">
      <c r="K358" s="2">
        <v>343</v>
      </c>
      <c r="L358" s="6">
        <v>2</v>
      </c>
    </row>
    <row r="359" spans="11:12" x14ac:dyDescent="0.2">
      <c r="K359" s="2">
        <v>344</v>
      </c>
      <c r="L359" s="6">
        <v>0</v>
      </c>
    </row>
    <row r="360" spans="11:12" x14ac:dyDescent="0.2">
      <c r="K360" s="2">
        <v>345</v>
      </c>
      <c r="L360" s="6">
        <v>1</v>
      </c>
    </row>
    <row r="361" spans="11:12" x14ac:dyDescent="0.2">
      <c r="K361" s="2">
        <v>346</v>
      </c>
      <c r="L361" s="6">
        <v>2</v>
      </c>
    </row>
    <row r="362" spans="11:12" x14ac:dyDescent="0.2">
      <c r="K362" s="2">
        <v>347</v>
      </c>
      <c r="L362" s="6">
        <v>1</v>
      </c>
    </row>
    <row r="363" spans="11:12" x14ac:dyDescent="0.2">
      <c r="K363" s="2">
        <v>348</v>
      </c>
      <c r="L363" s="6">
        <v>1</v>
      </c>
    </row>
    <row r="364" spans="11:12" x14ac:dyDescent="0.2">
      <c r="K364" s="2">
        <v>349</v>
      </c>
      <c r="L364" s="6">
        <v>1</v>
      </c>
    </row>
    <row r="365" spans="11:12" x14ac:dyDescent="0.2">
      <c r="K365" s="2">
        <v>350</v>
      </c>
      <c r="L365" s="6">
        <v>0</v>
      </c>
    </row>
    <row r="366" spans="11:12" x14ac:dyDescent="0.2">
      <c r="K366" s="2">
        <v>351</v>
      </c>
      <c r="L366" s="6">
        <v>1</v>
      </c>
    </row>
    <row r="367" spans="11:12" x14ac:dyDescent="0.2">
      <c r="K367" s="2">
        <v>352</v>
      </c>
      <c r="L367" s="6">
        <v>2</v>
      </c>
    </row>
    <row r="368" spans="11:12" x14ac:dyDescent="0.2">
      <c r="K368" s="2">
        <v>353</v>
      </c>
      <c r="L368" s="6">
        <v>1</v>
      </c>
    </row>
    <row r="369" spans="11:12" x14ac:dyDescent="0.2">
      <c r="K369" s="2">
        <v>354</v>
      </c>
      <c r="L369" s="6">
        <v>2</v>
      </c>
    </row>
    <row r="370" spans="11:12" x14ac:dyDescent="0.2">
      <c r="K370" s="2">
        <v>355</v>
      </c>
      <c r="L370" s="6">
        <v>3</v>
      </c>
    </row>
    <row r="371" spans="11:12" x14ac:dyDescent="0.2">
      <c r="K371" s="2">
        <v>356</v>
      </c>
      <c r="L371" s="6">
        <v>1</v>
      </c>
    </row>
    <row r="372" spans="11:12" x14ac:dyDescent="0.2">
      <c r="K372" s="2">
        <v>357</v>
      </c>
      <c r="L372" s="6">
        <v>2</v>
      </c>
    </row>
    <row r="373" spans="11:12" x14ac:dyDescent="0.2">
      <c r="K373" s="2">
        <v>358</v>
      </c>
      <c r="L373" s="6">
        <v>0</v>
      </c>
    </row>
    <row r="374" spans="11:12" x14ac:dyDescent="0.2">
      <c r="K374" s="2">
        <v>359</v>
      </c>
      <c r="L374" s="6">
        <v>1</v>
      </c>
    </row>
    <row r="375" spans="11:12" x14ac:dyDescent="0.2">
      <c r="K375" s="2">
        <v>360</v>
      </c>
      <c r="L375" s="6">
        <v>3</v>
      </c>
    </row>
    <row r="376" spans="11:12" x14ac:dyDescent="0.2">
      <c r="K376" s="2">
        <v>361</v>
      </c>
      <c r="L376" s="6">
        <v>1</v>
      </c>
    </row>
    <row r="377" spans="11:12" x14ac:dyDescent="0.2">
      <c r="K377" s="2">
        <v>362</v>
      </c>
      <c r="L377" s="6">
        <v>1</v>
      </c>
    </row>
    <row r="378" spans="11:12" x14ac:dyDescent="0.2">
      <c r="K378" s="2">
        <v>363</v>
      </c>
      <c r="L378" s="6">
        <v>1</v>
      </c>
    </row>
    <row r="379" spans="11:12" x14ac:dyDescent="0.2">
      <c r="K379" s="2">
        <v>364</v>
      </c>
      <c r="L379" s="6">
        <v>2</v>
      </c>
    </row>
    <row r="380" spans="11:12" x14ac:dyDescent="0.2">
      <c r="K380" s="2">
        <v>365</v>
      </c>
      <c r="L380" s="6">
        <v>1</v>
      </c>
    </row>
    <row r="381" spans="11:12" x14ac:dyDescent="0.2">
      <c r="K381" s="2">
        <v>366</v>
      </c>
      <c r="L381" s="6">
        <v>0</v>
      </c>
    </row>
    <row r="382" spans="11:12" x14ac:dyDescent="0.2">
      <c r="K382" s="2">
        <v>367</v>
      </c>
      <c r="L382" s="6">
        <v>1</v>
      </c>
    </row>
    <row r="383" spans="11:12" x14ac:dyDescent="0.2">
      <c r="K383" s="2">
        <v>368</v>
      </c>
      <c r="L383" s="6">
        <v>1</v>
      </c>
    </row>
    <row r="384" spans="11:12" x14ac:dyDescent="0.2">
      <c r="K384" s="2">
        <v>369</v>
      </c>
      <c r="L384" s="6">
        <v>0</v>
      </c>
    </row>
    <row r="385" spans="11:12" x14ac:dyDescent="0.2">
      <c r="K385" s="2">
        <v>370</v>
      </c>
      <c r="L385" s="6">
        <v>1</v>
      </c>
    </row>
    <row r="386" spans="11:12" x14ac:dyDescent="0.2">
      <c r="K386" s="2">
        <v>371</v>
      </c>
      <c r="L386" s="6">
        <v>2</v>
      </c>
    </row>
    <row r="387" spans="11:12" x14ac:dyDescent="0.2">
      <c r="K387" s="2">
        <v>372</v>
      </c>
      <c r="L387" s="6">
        <v>0</v>
      </c>
    </row>
    <row r="388" spans="11:12" x14ac:dyDescent="0.2">
      <c r="K388" s="2">
        <v>373</v>
      </c>
      <c r="L388" s="6">
        <v>0</v>
      </c>
    </row>
    <row r="389" spans="11:12" x14ac:dyDescent="0.2">
      <c r="K389" s="2">
        <v>374</v>
      </c>
      <c r="L389" s="6">
        <v>2</v>
      </c>
    </row>
    <row r="390" spans="11:12" x14ac:dyDescent="0.2">
      <c r="K390" s="2">
        <v>375</v>
      </c>
      <c r="L390" s="6">
        <v>2</v>
      </c>
    </row>
    <row r="391" spans="11:12" x14ac:dyDescent="0.2">
      <c r="K391" s="2">
        <v>376</v>
      </c>
      <c r="L391" s="6">
        <v>1</v>
      </c>
    </row>
    <row r="392" spans="11:12" x14ac:dyDescent="0.2">
      <c r="K392" s="2">
        <v>377</v>
      </c>
      <c r="L392" s="6">
        <v>1</v>
      </c>
    </row>
    <row r="393" spans="11:12" x14ac:dyDescent="0.2">
      <c r="K393" s="2">
        <v>378</v>
      </c>
      <c r="L393" s="6">
        <v>2</v>
      </c>
    </row>
    <row r="394" spans="11:12" x14ac:dyDescent="0.2">
      <c r="K394" s="2">
        <v>379</v>
      </c>
      <c r="L394" s="6">
        <v>1</v>
      </c>
    </row>
    <row r="395" spans="11:12" x14ac:dyDescent="0.2">
      <c r="K395" s="2">
        <v>380</v>
      </c>
      <c r="L395" s="6">
        <v>2</v>
      </c>
    </row>
    <row r="396" spans="11:12" x14ac:dyDescent="0.2">
      <c r="K396" s="2">
        <v>381</v>
      </c>
      <c r="L396" s="6">
        <v>1</v>
      </c>
    </row>
    <row r="397" spans="11:12" x14ac:dyDescent="0.2">
      <c r="K397" s="2">
        <v>382</v>
      </c>
      <c r="L397" s="6">
        <v>2</v>
      </c>
    </row>
    <row r="398" spans="11:12" x14ac:dyDescent="0.2">
      <c r="K398" s="2">
        <v>383</v>
      </c>
      <c r="L398" s="6">
        <v>2</v>
      </c>
    </row>
    <row r="399" spans="11:12" x14ac:dyDescent="0.2">
      <c r="K399" s="2">
        <v>384</v>
      </c>
      <c r="L399" s="6">
        <v>1</v>
      </c>
    </row>
    <row r="400" spans="11:12" x14ac:dyDescent="0.2">
      <c r="K400" s="2">
        <v>385</v>
      </c>
      <c r="L400" s="6">
        <v>1</v>
      </c>
    </row>
    <row r="401" spans="11:12" x14ac:dyDescent="0.2">
      <c r="K401" s="2">
        <v>386</v>
      </c>
      <c r="L401" s="6">
        <v>1</v>
      </c>
    </row>
    <row r="402" spans="11:12" x14ac:dyDescent="0.2">
      <c r="K402" s="2">
        <v>387</v>
      </c>
      <c r="L402" s="6">
        <v>2</v>
      </c>
    </row>
    <row r="403" spans="11:12" x14ac:dyDescent="0.2">
      <c r="K403" s="2">
        <v>388</v>
      </c>
      <c r="L403" s="6">
        <v>2</v>
      </c>
    </row>
    <row r="404" spans="11:12" x14ac:dyDescent="0.2">
      <c r="K404" s="2">
        <v>389</v>
      </c>
      <c r="L404" s="6">
        <v>0</v>
      </c>
    </row>
    <row r="405" spans="11:12" x14ac:dyDescent="0.2">
      <c r="K405" s="2">
        <v>390</v>
      </c>
      <c r="L405" s="6">
        <v>1</v>
      </c>
    </row>
    <row r="406" spans="11:12" x14ac:dyDescent="0.2">
      <c r="K406" s="2">
        <v>391</v>
      </c>
      <c r="L406" s="6">
        <v>2</v>
      </c>
    </row>
    <row r="407" spans="11:12" x14ac:dyDescent="0.2">
      <c r="K407" s="2">
        <v>392</v>
      </c>
      <c r="L407" s="6">
        <v>3</v>
      </c>
    </row>
    <row r="408" spans="11:12" x14ac:dyDescent="0.2">
      <c r="K408" s="2">
        <v>393</v>
      </c>
      <c r="L408" s="6">
        <v>3</v>
      </c>
    </row>
    <row r="409" spans="11:12" x14ac:dyDescent="0.2">
      <c r="K409" s="2">
        <v>394</v>
      </c>
      <c r="L409" s="6">
        <v>1</v>
      </c>
    </row>
    <row r="410" spans="11:12" x14ac:dyDescent="0.2">
      <c r="K410" s="2">
        <v>395</v>
      </c>
      <c r="L410" s="6">
        <v>3</v>
      </c>
    </row>
    <row r="411" spans="11:12" x14ac:dyDescent="0.2">
      <c r="K411" s="2">
        <v>396</v>
      </c>
      <c r="L411" s="6">
        <v>2</v>
      </c>
    </row>
    <row r="412" spans="11:12" x14ac:dyDescent="0.2">
      <c r="K412" s="2">
        <v>397</v>
      </c>
      <c r="L412" s="6">
        <v>3</v>
      </c>
    </row>
    <row r="413" spans="11:12" x14ac:dyDescent="0.2">
      <c r="K413" s="2">
        <v>398</v>
      </c>
      <c r="L413" s="6">
        <v>2</v>
      </c>
    </row>
    <row r="414" spans="11:12" x14ac:dyDescent="0.2">
      <c r="K414" s="2">
        <v>399</v>
      </c>
      <c r="L414" s="6">
        <v>1</v>
      </c>
    </row>
    <row r="415" spans="11:12" x14ac:dyDescent="0.2">
      <c r="K415" s="2">
        <v>400</v>
      </c>
      <c r="L415" s="6">
        <v>1</v>
      </c>
    </row>
    <row r="416" spans="11:12" x14ac:dyDescent="0.2">
      <c r="K416" s="2">
        <v>401</v>
      </c>
      <c r="L416" s="6">
        <v>1</v>
      </c>
    </row>
    <row r="417" spans="11:12" x14ac:dyDescent="0.2">
      <c r="K417" s="2">
        <v>402</v>
      </c>
      <c r="L417" s="6">
        <v>1</v>
      </c>
    </row>
    <row r="418" spans="11:12" x14ac:dyDescent="0.2">
      <c r="K418" s="2">
        <v>403</v>
      </c>
      <c r="L418" s="6">
        <v>1</v>
      </c>
    </row>
    <row r="419" spans="11:12" x14ac:dyDescent="0.2">
      <c r="K419" s="2">
        <v>404</v>
      </c>
      <c r="L419" s="6">
        <v>2</v>
      </c>
    </row>
    <row r="420" spans="11:12" x14ac:dyDescent="0.2">
      <c r="K420" s="2">
        <v>405</v>
      </c>
      <c r="L420" s="6">
        <v>1</v>
      </c>
    </row>
    <row r="421" spans="11:12" x14ac:dyDescent="0.2">
      <c r="K421" s="2">
        <v>406</v>
      </c>
      <c r="L421" s="6">
        <v>1</v>
      </c>
    </row>
    <row r="422" spans="11:12" x14ac:dyDescent="0.2">
      <c r="K422" s="2">
        <v>407</v>
      </c>
      <c r="L422" s="6">
        <v>3</v>
      </c>
    </row>
    <row r="423" spans="11:12" x14ac:dyDescent="0.2">
      <c r="K423" s="2">
        <v>408</v>
      </c>
      <c r="L423" s="6">
        <v>2</v>
      </c>
    </row>
    <row r="424" spans="11:12" x14ac:dyDescent="0.2">
      <c r="K424" s="2">
        <v>409</v>
      </c>
      <c r="L424" s="6">
        <v>3</v>
      </c>
    </row>
    <row r="425" spans="11:12" x14ac:dyDescent="0.2">
      <c r="K425" s="2">
        <v>410</v>
      </c>
      <c r="L425" s="6">
        <v>1</v>
      </c>
    </row>
    <row r="426" spans="11:12" x14ac:dyDescent="0.2">
      <c r="K426" s="2">
        <v>411</v>
      </c>
      <c r="L426" s="6">
        <v>1</v>
      </c>
    </row>
    <row r="427" spans="11:12" x14ac:dyDescent="0.2">
      <c r="K427" s="2">
        <v>412</v>
      </c>
      <c r="L427" s="6">
        <v>1</v>
      </c>
    </row>
    <row r="428" spans="11:12" x14ac:dyDescent="0.2">
      <c r="K428" s="2">
        <v>413</v>
      </c>
      <c r="L428" s="6">
        <v>2</v>
      </c>
    </row>
    <row r="429" spans="11:12" x14ac:dyDescent="0.2">
      <c r="K429" s="2">
        <v>414</v>
      </c>
      <c r="L429" s="6">
        <v>2</v>
      </c>
    </row>
    <row r="430" spans="11:12" x14ac:dyDescent="0.2">
      <c r="K430" s="2">
        <v>415</v>
      </c>
      <c r="L430" s="6">
        <v>3</v>
      </c>
    </row>
    <row r="431" spans="11:12" x14ac:dyDescent="0.2">
      <c r="K431" s="2">
        <v>416</v>
      </c>
      <c r="L431" s="6">
        <v>2</v>
      </c>
    </row>
    <row r="432" spans="11:12" x14ac:dyDescent="0.2">
      <c r="K432" s="2">
        <v>417</v>
      </c>
      <c r="L432" s="6">
        <v>1</v>
      </c>
    </row>
    <row r="433" spans="11:12" x14ac:dyDescent="0.2">
      <c r="K433" s="2">
        <v>418</v>
      </c>
      <c r="L433" s="6">
        <v>2</v>
      </c>
    </row>
    <row r="434" spans="11:12" x14ac:dyDescent="0.2">
      <c r="K434" s="2">
        <v>419</v>
      </c>
      <c r="L434" s="6">
        <v>1</v>
      </c>
    </row>
    <row r="435" spans="11:12" x14ac:dyDescent="0.2">
      <c r="K435" s="2">
        <v>420</v>
      </c>
      <c r="L435" s="6">
        <v>2</v>
      </c>
    </row>
    <row r="436" spans="11:12" x14ac:dyDescent="0.2">
      <c r="K436" s="2">
        <v>421</v>
      </c>
      <c r="L436" s="6">
        <v>1</v>
      </c>
    </row>
    <row r="437" spans="11:12" x14ac:dyDescent="0.2">
      <c r="K437" s="2">
        <v>422</v>
      </c>
      <c r="L437" s="6">
        <v>1</v>
      </c>
    </row>
    <row r="438" spans="11:12" x14ac:dyDescent="0.2">
      <c r="K438" s="2">
        <v>423</v>
      </c>
      <c r="L438" s="6">
        <v>0</v>
      </c>
    </row>
    <row r="439" spans="11:12" x14ac:dyDescent="0.2">
      <c r="K439" s="2">
        <v>424</v>
      </c>
      <c r="L439" s="6">
        <v>1</v>
      </c>
    </row>
    <row r="440" spans="11:12" x14ac:dyDescent="0.2">
      <c r="K440" s="2">
        <v>425</v>
      </c>
      <c r="L440" s="6">
        <v>2</v>
      </c>
    </row>
    <row r="441" spans="11:12" x14ac:dyDescent="0.2">
      <c r="K441" s="2">
        <v>426</v>
      </c>
      <c r="L441" s="6">
        <v>1</v>
      </c>
    </row>
    <row r="442" spans="11:12" x14ac:dyDescent="0.2">
      <c r="K442" s="2">
        <v>427</v>
      </c>
      <c r="L442" s="6">
        <v>2</v>
      </c>
    </row>
    <row r="443" spans="11:12" x14ac:dyDescent="0.2">
      <c r="K443" s="2">
        <v>428</v>
      </c>
      <c r="L443" s="6">
        <v>2</v>
      </c>
    </row>
    <row r="444" spans="11:12" x14ac:dyDescent="0.2">
      <c r="K444" s="2">
        <v>429</v>
      </c>
      <c r="L444" s="6">
        <v>1</v>
      </c>
    </row>
    <row r="445" spans="11:12" x14ac:dyDescent="0.2">
      <c r="K445" s="2">
        <v>430</v>
      </c>
      <c r="L445" s="6">
        <v>3</v>
      </c>
    </row>
    <row r="446" spans="11:12" x14ac:dyDescent="0.2">
      <c r="K446" s="2">
        <v>431</v>
      </c>
      <c r="L446" s="6">
        <v>3</v>
      </c>
    </row>
    <row r="447" spans="11:12" x14ac:dyDescent="0.2">
      <c r="K447" s="2">
        <v>432</v>
      </c>
      <c r="L447" s="6">
        <v>0</v>
      </c>
    </row>
    <row r="448" spans="11:12" x14ac:dyDescent="0.2">
      <c r="K448" s="2">
        <v>433</v>
      </c>
      <c r="L448" s="6">
        <v>1</v>
      </c>
    </row>
    <row r="449" spans="11:12" x14ac:dyDescent="0.2">
      <c r="K449" s="2">
        <v>434</v>
      </c>
      <c r="L449" s="6">
        <v>2</v>
      </c>
    </row>
    <row r="450" spans="11:12" x14ac:dyDescent="0.2">
      <c r="K450" s="2">
        <v>435</v>
      </c>
      <c r="L450" s="6">
        <v>2</v>
      </c>
    </row>
    <row r="451" spans="11:12" x14ac:dyDescent="0.2">
      <c r="K451" s="2">
        <v>436</v>
      </c>
      <c r="L451" s="6">
        <v>2</v>
      </c>
    </row>
    <row r="452" spans="11:12" x14ac:dyDescent="0.2">
      <c r="K452" s="2">
        <v>437</v>
      </c>
      <c r="L452" s="6">
        <v>1</v>
      </c>
    </row>
    <row r="453" spans="11:12" x14ac:dyDescent="0.2">
      <c r="K453" s="2">
        <v>438</v>
      </c>
      <c r="L453" s="6">
        <v>2</v>
      </c>
    </row>
    <row r="454" spans="11:12" x14ac:dyDescent="0.2">
      <c r="K454" s="2">
        <v>439</v>
      </c>
      <c r="L454" s="6">
        <v>1</v>
      </c>
    </row>
    <row r="455" spans="11:12" x14ac:dyDescent="0.2">
      <c r="K455" s="2">
        <v>440</v>
      </c>
      <c r="L455" s="6">
        <v>1</v>
      </c>
    </row>
    <row r="456" spans="11:12" x14ac:dyDescent="0.2">
      <c r="K456" s="2">
        <v>441</v>
      </c>
      <c r="L456" s="6">
        <v>0</v>
      </c>
    </row>
    <row r="457" spans="11:12" x14ac:dyDescent="0.2">
      <c r="K457" s="2">
        <v>442</v>
      </c>
      <c r="L457" s="6">
        <v>1</v>
      </c>
    </row>
    <row r="458" spans="11:12" x14ac:dyDescent="0.2">
      <c r="K458" s="2">
        <v>443</v>
      </c>
      <c r="L458" s="6">
        <v>2</v>
      </c>
    </row>
    <row r="459" spans="11:12" x14ac:dyDescent="0.2">
      <c r="K459" s="2">
        <v>444</v>
      </c>
      <c r="L459" s="6">
        <v>0</v>
      </c>
    </row>
    <row r="460" spans="11:12" x14ac:dyDescent="0.2">
      <c r="K460" s="2">
        <v>445</v>
      </c>
      <c r="L460" s="6">
        <v>2</v>
      </c>
    </row>
    <row r="461" spans="11:12" x14ac:dyDescent="0.2">
      <c r="K461" s="2">
        <v>446</v>
      </c>
      <c r="L461" s="6">
        <v>0</v>
      </c>
    </row>
    <row r="462" spans="11:12" x14ac:dyDescent="0.2">
      <c r="K462" s="2">
        <v>447</v>
      </c>
      <c r="L462" s="6">
        <v>0</v>
      </c>
    </row>
    <row r="463" spans="11:12" x14ac:dyDescent="0.2">
      <c r="K463" s="2">
        <v>448</v>
      </c>
      <c r="L463" s="6">
        <v>1</v>
      </c>
    </row>
    <row r="464" spans="11:12" x14ac:dyDescent="0.2">
      <c r="K464" s="2">
        <v>449</v>
      </c>
      <c r="L464" s="6">
        <v>0</v>
      </c>
    </row>
    <row r="465" spans="11:12" x14ac:dyDescent="0.2">
      <c r="K465" s="2">
        <v>450</v>
      </c>
      <c r="L465" s="6">
        <v>2</v>
      </c>
    </row>
    <row r="466" spans="11:12" x14ac:dyDescent="0.2">
      <c r="K466" s="2">
        <v>451</v>
      </c>
      <c r="L466" s="6">
        <v>1</v>
      </c>
    </row>
    <row r="467" spans="11:12" x14ac:dyDescent="0.2">
      <c r="K467" s="2">
        <v>452</v>
      </c>
      <c r="L467" s="6">
        <v>1</v>
      </c>
    </row>
    <row r="468" spans="11:12" x14ac:dyDescent="0.2">
      <c r="K468" s="2">
        <v>453</v>
      </c>
      <c r="L468" s="6">
        <v>2</v>
      </c>
    </row>
    <row r="469" spans="11:12" x14ac:dyDescent="0.2">
      <c r="K469" s="2">
        <v>454</v>
      </c>
      <c r="L469" s="6">
        <v>2</v>
      </c>
    </row>
    <row r="470" spans="11:12" x14ac:dyDescent="0.2">
      <c r="K470" s="2">
        <v>455</v>
      </c>
      <c r="L470" s="6">
        <v>1</v>
      </c>
    </row>
    <row r="471" spans="11:12" x14ac:dyDescent="0.2">
      <c r="K471" s="2">
        <v>456</v>
      </c>
      <c r="L471" s="6">
        <v>3</v>
      </c>
    </row>
    <row r="472" spans="11:12" x14ac:dyDescent="0.2">
      <c r="K472" s="2">
        <v>457</v>
      </c>
      <c r="L472" s="6">
        <v>2</v>
      </c>
    </row>
    <row r="473" spans="11:12" x14ac:dyDescent="0.2">
      <c r="K473" s="2">
        <v>458</v>
      </c>
      <c r="L473" s="6">
        <v>2</v>
      </c>
    </row>
    <row r="474" spans="11:12" x14ac:dyDescent="0.2">
      <c r="K474" s="2">
        <v>459</v>
      </c>
      <c r="L474" s="6">
        <v>1</v>
      </c>
    </row>
    <row r="475" spans="11:12" x14ac:dyDescent="0.2">
      <c r="K475" s="2">
        <v>460</v>
      </c>
      <c r="L475" s="6">
        <v>2</v>
      </c>
    </row>
    <row r="476" spans="11:12" x14ac:dyDescent="0.2">
      <c r="K476" s="2">
        <v>461</v>
      </c>
      <c r="L476" s="6">
        <v>3</v>
      </c>
    </row>
    <row r="477" spans="11:12" x14ac:dyDescent="0.2">
      <c r="K477" s="2">
        <v>462</v>
      </c>
      <c r="L477" s="6">
        <v>1</v>
      </c>
    </row>
    <row r="478" spans="11:12" x14ac:dyDescent="0.2">
      <c r="K478" s="2">
        <v>463</v>
      </c>
      <c r="L478" s="6">
        <v>2</v>
      </c>
    </row>
    <row r="479" spans="11:12" x14ac:dyDescent="0.2">
      <c r="K479" s="2">
        <v>464</v>
      </c>
      <c r="L479" s="6">
        <v>3</v>
      </c>
    </row>
    <row r="480" spans="11:12" x14ac:dyDescent="0.2">
      <c r="K480" s="2">
        <v>465</v>
      </c>
      <c r="L480" s="6">
        <v>1</v>
      </c>
    </row>
    <row r="481" spans="11:12" x14ac:dyDescent="0.2">
      <c r="K481" s="2">
        <v>466</v>
      </c>
      <c r="L481" s="6">
        <v>3</v>
      </c>
    </row>
    <row r="482" spans="11:12" x14ac:dyDescent="0.2">
      <c r="K482" s="2">
        <v>467</v>
      </c>
      <c r="L482" s="6">
        <v>1</v>
      </c>
    </row>
    <row r="483" spans="11:12" x14ac:dyDescent="0.2">
      <c r="K483" s="2">
        <v>468</v>
      </c>
      <c r="L483" s="6">
        <v>1</v>
      </c>
    </row>
    <row r="484" spans="11:12" x14ac:dyDescent="0.2">
      <c r="K484" s="2">
        <v>469</v>
      </c>
      <c r="L484" s="6">
        <v>2</v>
      </c>
    </row>
    <row r="485" spans="11:12" x14ac:dyDescent="0.2">
      <c r="K485" s="2">
        <v>470</v>
      </c>
      <c r="L485" s="6">
        <v>2</v>
      </c>
    </row>
    <row r="486" spans="11:12" x14ac:dyDescent="0.2">
      <c r="K486" s="2">
        <v>471</v>
      </c>
      <c r="L486" s="6">
        <v>1</v>
      </c>
    </row>
    <row r="487" spans="11:12" x14ac:dyDescent="0.2">
      <c r="K487" s="2">
        <v>472</v>
      </c>
      <c r="L487" s="6">
        <v>1</v>
      </c>
    </row>
    <row r="488" spans="11:12" x14ac:dyDescent="0.2">
      <c r="K488" s="2">
        <v>473</v>
      </c>
      <c r="L488" s="6">
        <v>2</v>
      </c>
    </row>
    <row r="489" spans="11:12" x14ac:dyDescent="0.2">
      <c r="K489" s="2">
        <v>474</v>
      </c>
      <c r="L489" s="6">
        <v>0</v>
      </c>
    </row>
    <row r="490" spans="11:12" x14ac:dyDescent="0.2">
      <c r="K490" s="2">
        <v>475</v>
      </c>
      <c r="L490" s="6">
        <v>2</v>
      </c>
    </row>
    <row r="491" spans="11:12" x14ac:dyDescent="0.2">
      <c r="K491" s="2">
        <v>476</v>
      </c>
      <c r="L491" s="6">
        <v>2</v>
      </c>
    </row>
    <row r="492" spans="11:12" x14ac:dyDescent="0.2">
      <c r="K492" s="2">
        <v>477</v>
      </c>
      <c r="L492" s="6">
        <v>3</v>
      </c>
    </row>
    <row r="493" spans="11:12" x14ac:dyDescent="0.2">
      <c r="K493" s="2">
        <v>478</v>
      </c>
      <c r="L493" s="6">
        <v>2</v>
      </c>
    </row>
    <row r="494" spans="11:12" x14ac:dyDescent="0.2">
      <c r="K494" s="2">
        <v>479</v>
      </c>
      <c r="L494" s="6">
        <v>1</v>
      </c>
    </row>
    <row r="495" spans="11:12" x14ac:dyDescent="0.2">
      <c r="K495" s="2">
        <v>480</v>
      </c>
      <c r="L495" s="6">
        <v>3</v>
      </c>
    </row>
    <row r="496" spans="11:12" x14ac:dyDescent="0.2">
      <c r="K496" s="2">
        <v>481</v>
      </c>
      <c r="L496" s="6">
        <v>3</v>
      </c>
    </row>
    <row r="497" spans="11:12" x14ac:dyDescent="0.2">
      <c r="K497" s="2">
        <v>482</v>
      </c>
      <c r="L497" s="6">
        <v>1</v>
      </c>
    </row>
    <row r="498" spans="11:12" x14ac:dyDescent="0.2">
      <c r="K498" s="2">
        <v>483</v>
      </c>
      <c r="L498" s="6">
        <v>2</v>
      </c>
    </row>
    <row r="499" spans="11:12" x14ac:dyDescent="0.2">
      <c r="K499" s="2">
        <v>484</v>
      </c>
      <c r="L499" s="6">
        <v>1</v>
      </c>
    </row>
    <row r="500" spans="11:12" x14ac:dyDescent="0.2">
      <c r="K500" s="2">
        <v>485</v>
      </c>
      <c r="L500" s="6">
        <v>0</v>
      </c>
    </row>
    <row r="501" spans="11:12" x14ac:dyDescent="0.2">
      <c r="K501" s="2">
        <v>486</v>
      </c>
      <c r="L501" s="6">
        <v>0</v>
      </c>
    </row>
    <row r="502" spans="11:12" x14ac:dyDescent="0.2">
      <c r="K502" s="2">
        <v>487</v>
      </c>
      <c r="L502" s="6">
        <v>1</v>
      </c>
    </row>
    <row r="503" spans="11:12" x14ac:dyDescent="0.2">
      <c r="K503" s="2">
        <v>488</v>
      </c>
      <c r="L503" s="6">
        <v>2</v>
      </c>
    </row>
    <row r="504" spans="11:12" x14ac:dyDescent="0.2">
      <c r="K504" s="2">
        <v>489</v>
      </c>
      <c r="L504" s="6">
        <v>1</v>
      </c>
    </row>
    <row r="505" spans="11:12" x14ac:dyDescent="0.2">
      <c r="K505" s="2">
        <v>490</v>
      </c>
      <c r="L505" s="6">
        <v>2</v>
      </c>
    </row>
    <row r="506" spans="11:12" x14ac:dyDescent="0.2">
      <c r="K506" s="2">
        <v>491</v>
      </c>
      <c r="L506" s="6">
        <v>1</v>
      </c>
    </row>
    <row r="507" spans="11:12" x14ac:dyDescent="0.2">
      <c r="K507" s="2">
        <v>492</v>
      </c>
      <c r="L507" s="6">
        <v>1</v>
      </c>
    </row>
    <row r="508" spans="11:12" x14ac:dyDescent="0.2">
      <c r="K508" s="2">
        <v>493</v>
      </c>
      <c r="L508" s="6">
        <v>2</v>
      </c>
    </row>
    <row r="509" spans="11:12" x14ac:dyDescent="0.2">
      <c r="K509" s="2">
        <v>494</v>
      </c>
      <c r="L509" s="6">
        <v>3</v>
      </c>
    </row>
    <row r="510" spans="11:12" x14ac:dyDescent="0.2">
      <c r="K510" s="2">
        <v>495</v>
      </c>
      <c r="L510" s="6">
        <v>0</v>
      </c>
    </row>
    <row r="511" spans="11:12" x14ac:dyDescent="0.2">
      <c r="K511" s="2">
        <v>496</v>
      </c>
      <c r="L511" s="6">
        <v>3</v>
      </c>
    </row>
    <row r="512" spans="11:12" x14ac:dyDescent="0.2">
      <c r="K512" s="2">
        <v>497</v>
      </c>
      <c r="L512" s="6">
        <v>2</v>
      </c>
    </row>
    <row r="513" spans="11:12" x14ac:dyDescent="0.2">
      <c r="K513" s="2">
        <v>498</v>
      </c>
      <c r="L513" s="6">
        <v>2</v>
      </c>
    </row>
    <row r="514" spans="11:12" x14ac:dyDescent="0.2">
      <c r="K514" s="2">
        <v>499</v>
      </c>
      <c r="L514" s="6">
        <v>2</v>
      </c>
    </row>
    <row r="515" spans="11:12" x14ac:dyDescent="0.2">
      <c r="K515" s="2">
        <v>500</v>
      </c>
      <c r="L515" s="6">
        <v>0</v>
      </c>
    </row>
    <row r="516" spans="11:12" x14ac:dyDescent="0.2">
      <c r="K516" s="2">
        <v>501</v>
      </c>
      <c r="L516" s="6">
        <v>2</v>
      </c>
    </row>
    <row r="517" spans="11:12" x14ac:dyDescent="0.2">
      <c r="K517" s="2">
        <v>502</v>
      </c>
      <c r="L517" s="6">
        <v>1</v>
      </c>
    </row>
    <row r="518" spans="11:12" x14ac:dyDescent="0.2">
      <c r="K518" s="2">
        <v>503</v>
      </c>
      <c r="L518" s="6">
        <v>3</v>
      </c>
    </row>
    <row r="519" spans="11:12" x14ac:dyDescent="0.2">
      <c r="K519" s="2">
        <v>504</v>
      </c>
      <c r="L519" s="6">
        <v>3</v>
      </c>
    </row>
    <row r="520" spans="11:12" x14ac:dyDescent="0.2">
      <c r="K520" s="2">
        <v>505</v>
      </c>
      <c r="L520" s="6">
        <v>1</v>
      </c>
    </row>
    <row r="521" spans="11:12" x14ac:dyDescent="0.2">
      <c r="K521" s="2">
        <v>506</v>
      </c>
      <c r="L521" s="6">
        <v>1</v>
      </c>
    </row>
    <row r="522" spans="11:12" x14ac:dyDescent="0.2">
      <c r="K522" s="2">
        <v>507</v>
      </c>
      <c r="L522" s="6">
        <v>1</v>
      </c>
    </row>
    <row r="523" spans="11:12" x14ac:dyDescent="0.2">
      <c r="K523" s="2">
        <v>508</v>
      </c>
      <c r="L523" s="6">
        <v>3</v>
      </c>
    </row>
    <row r="524" spans="11:12" x14ac:dyDescent="0.2">
      <c r="K524" s="2">
        <v>509</v>
      </c>
      <c r="L524" s="6">
        <v>2</v>
      </c>
    </row>
    <row r="525" spans="11:12" x14ac:dyDescent="0.2">
      <c r="K525" s="2">
        <v>510</v>
      </c>
      <c r="L525" s="6">
        <v>0</v>
      </c>
    </row>
    <row r="526" spans="11:12" x14ac:dyDescent="0.2">
      <c r="K526" s="2">
        <v>511</v>
      </c>
      <c r="L526" s="6">
        <v>2</v>
      </c>
    </row>
    <row r="527" spans="11:12" x14ac:dyDescent="0.2">
      <c r="K527" s="2">
        <v>512</v>
      </c>
      <c r="L527" s="6">
        <v>1</v>
      </c>
    </row>
    <row r="528" spans="11:12" x14ac:dyDescent="0.2">
      <c r="K528" s="2">
        <v>513</v>
      </c>
      <c r="L528" s="6">
        <v>0</v>
      </c>
    </row>
    <row r="529" spans="11:12" x14ac:dyDescent="0.2">
      <c r="K529" s="2">
        <v>514</v>
      </c>
      <c r="L529" s="6">
        <v>2</v>
      </c>
    </row>
    <row r="530" spans="11:12" x14ac:dyDescent="0.2">
      <c r="K530" s="2">
        <v>515</v>
      </c>
      <c r="L530" s="6">
        <v>1</v>
      </c>
    </row>
    <row r="531" spans="11:12" x14ac:dyDescent="0.2">
      <c r="K531" s="2">
        <v>516</v>
      </c>
      <c r="L531" s="6">
        <v>1</v>
      </c>
    </row>
    <row r="532" spans="11:12" x14ac:dyDescent="0.2">
      <c r="K532" s="2">
        <v>517</v>
      </c>
      <c r="L532" s="6">
        <v>0</v>
      </c>
    </row>
    <row r="533" spans="11:12" x14ac:dyDescent="0.2">
      <c r="K533" s="2">
        <v>518</v>
      </c>
      <c r="L533" s="6">
        <v>2</v>
      </c>
    </row>
    <row r="534" spans="11:12" x14ac:dyDescent="0.2">
      <c r="K534" s="2">
        <v>519</v>
      </c>
      <c r="L534" s="6">
        <v>1</v>
      </c>
    </row>
    <row r="535" spans="11:12" x14ac:dyDescent="0.2">
      <c r="K535" s="2">
        <v>520</v>
      </c>
      <c r="L535" s="6">
        <v>2</v>
      </c>
    </row>
    <row r="536" spans="11:12" x14ac:dyDescent="0.2">
      <c r="K536" s="2">
        <v>521</v>
      </c>
      <c r="L536" s="6">
        <v>2</v>
      </c>
    </row>
    <row r="537" spans="11:12" x14ac:dyDescent="0.2">
      <c r="K537" s="2">
        <v>522</v>
      </c>
      <c r="L537" s="6">
        <v>0</v>
      </c>
    </row>
    <row r="538" spans="11:12" x14ac:dyDescent="0.2">
      <c r="K538" s="2">
        <v>523</v>
      </c>
      <c r="L538" s="6">
        <v>1</v>
      </c>
    </row>
    <row r="539" spans="11:12" x14ac:dyDescent="0.2">
      <c r="K539" s="2">
        <v>524</v>
      </c>
      <c r="L539" s="6">
        <v>1</v>
      </c>
    </row>
    <row r="540" spans="11:12" x14ac:dyDescent="0.2">
      <c r="K540" s="2">
        <v>525</v>
      </c>
      <c r="L540" s="6">
        <v>3</v>
      </c>
    </row>
    <row r="541" spans="11:12" x14ac:dyDescent="0.2">
      <c r="K541" s="2">
        <v>526</v>
      </c>
      <c r="L541" s="6">
        <v>1</v>
      </c>
    </row>
    <row r="542" spans="11:12" x14ac:dyDescent="0.2">
      <c r="K542" s="2">
        <v>527</v>
      </c>
      <c r="L542" s="6">
        <v>0</v>
      </c>
    </row>
    <row r="543" spans="11:12" x14ac:dyDescent="0.2">
      <c r="K543" s="2">
        <v>528</v>
      </c>
      <c r="L543" s="6">
        <v>1</v>
      </c>
    </row>
    <row r="544" spans="11:12" x14ac:dyDescent="0.2">
      <c r="K544" s="2">
        <v>529</v>
      </c>
      <c r="L544" s="6">
        <v>0</v>
      </c>
    </row>
    <row r="545" spans="11:12" x14ac:dyDescent="0.2">
      <c r="K545" s="2">
        <v>530</v>
      </c>
      <c r="L545" s="6">
        <v>2</v>
      </c>
    </row>
    <row r="546" spans="11:12" x14ac:dyDescent="0.2">
      <c r="K546" s="2">
        <v>531</v>
      </c>
      <c r="L546" s="6">
        <v>2</v>
      </c>
    </row>
    <row r="547" spans="11:12" x14ac:dyDescent="0.2">
      <c r="K547" s="2">
        <v>532</v>
      </c>
      <c r="L547" s="6">
        <v>3</v>
      </c>
    </row>
    <row r="548" spans="11:12" x14ac:dyDescent="0.2">
      <c r="K548" s="2">
        <v>533</v>
      </c>
      <c r="L548" s="6">
        <v>1</v>
      </c>
    </row>
    <row r="549" spans="11:12" x14ac:dyDescent="0.2">
      <c r="K549" s="2">
        <v>534</v>
      </c>
      <c r="L549" s="6">
        <v>1</v>
      </c>
    </row>
    <row r="550" spans="11:12" x14ac:dyDescent="0.2">
      <c r="K550" s="2">
        <v>535</v>
      </c>
      <c r="L550" s="6">
        <v>1</v>
      </c>
    </row>
    <row r="551" spans="11:12" x14ac:dyDescent="0.2">
      <c r="K551" s="2">
        <v>536</v>
      </c>
      <c r="L551" s="6">
        <v>2</v>
      </c>
    </row>
    <row r="552" spans="11:12" x14ac:dyDescent="0.2">
      <c r="K552" s="2">
        <v>537</v>
      </c>
      <c r="L552" s="6">
        <v>2</v>
      </c>
    </row>
    <row r="553" spans="11:12" x14ac:dyDescent="0.2">
      <c r="K553" s="2">
        <v>538</v>
      </c>
      <c r="L553" s="6">
        <v>3</v>
      </c>
    </row>
    <row r="554" spans="11:12" x14ac:dyDescent="0.2">
      <c r="K554" s="2">
        <v>539</v>
      </c>
      <c r="L554" s="6">
        <v>1</v>
      </c>
    </row>
    <row r="555" spans="11:12" x14ac:dyDescent="0.2">
      <c r="K555" s="2">
        <v>540</v>
      </c>
      <c r="L555" s="6">
        <v>2</v>
      </c>
    </row>
    <row r="556" spans="11:12" x14ac:dyDescent="0.2">
      <c r="K556" s="2">
        <v>541</v>
      </c>
      <c r="L556" s="6">
        <v>1</v>
      </c>
    </row>
    <row r="557" spans="11:12" x14ac:dyDescent="0.2">
      <c r="K557" s="2">
        <v>542</v>
      </c>
      <c r="L557" s="6">
        <v>0</v>
      </c>
    </row>
    <row r="558" spans="11:12" x14ac:dyDescent="0.2">
      <c r="K558" s="2">
        <v>543</v>
      </c>
      <c r="L558" s="6">
        <v>1</v>
      </c>
    </row>
    <row r="559" spans="11:12" x14ac:dyDescent="0.2">
      <c r="K559" s="2">
        <v>544</v>
      </c>
      <c r="L559" s="6">
        <v>1</v>
      </c>
    </row>
    <row r="560" spans="11:12" x14ac:dyDescent="0.2">
      <c r="K560" s="2">
        <v>545</v>
      </c>
      <c r="L560" s="6">
        <v>2</v>
      </c>
    </row>
    <row r="561" spans="11:12" x14ac:dyDescent="0.2">
      <c r="K561" s="2">
        <v>546</v>
      </c>
      <c r="L561" s="6">
        <v>1</v>
      </c>
    </row>
    <row r="562" spans="11:12" x14ac:dyDescent="0.2">
      <c r="K562" s="2">
        <v>547</v>
      </c>
      <c r="L562" s="6">
        <v>2</v>
      </c>
    </row>
    <row r="563" spans="11:12" x14ac:dyDescent="0.2">
      <c r="K563" s="2">
        <v>548</v>
      </c>
      <c r="L563" s="6">
        <v>2</v>
      </c>
    </row>
    <row r="564" spans="11:12" x14ac:dyDescent="0.2">
      <c r="K564" s="2">
        <v>549</v>
      </c>
      <c r="L564" s="6">
        <v>2</v>
      </c>
    </row>
    <row r="565" spans="11:12" x14ac:dyDescent="0.2">
      <c r="K565" s="2">
        <v>550</v>
      </c>
      <c r="L565" s="6">
        <v>0</v>
      </c>
    </row>
    <row r="566" spans="11:12" x14ac:dyDescent="0.2">
      <c r="K566" s="2">
        <v>551</v>
      </c>
      <c r="L566" s="6">
        <v>1</v>
      </c>
    </row>
    <row r="567" spans="11:12" x14ac:dyDescent="0.2">
      <c r="K567" s="2">
        <v>552</v>
      </c>
      <c r="L567" s="6">
        <v>2</v>
      </c>
    </row>
    <row r="568" spans="11:12" x14ac:dyDescent="0.2">
      <c r="K568" s="2">
        <v>553</v>
      </c>
      <c r="L568" s="6">
        <v>1</v>
      </c>
    </row>
    <row r="569" spans="11:12" x14ac:dyDescent="0.2">
      <c r="K569" s="2">
        <v>554</v>
      </c>
      <c r="L569" s="6">
        <v>3</v>
      </c>
    </row>
    <row r="570" spans="11:12" x14ac:dyDescent="0.2">
      <c r="K570" s="2">
        <v>555</v>
      </c>
      <c r="L570" s="6">
        <v>1</v>
      </c>
    </row>
    <row r="571" spans="11:12" x14ac:dyDescent="0.2">
      <c r="K571" s="2">
        <v>556</v>
      </c>
      <c r="L571" s="6">
        <v>1</v>
      </c>
    </row>
    <row r="572" spans="11:12" x14ac:dyDescent="0.2">
      <c r="K572" s="2">
        <v>557</v>
      </c>
      <c r="L572" s="6">
        <v>2</v>
      </c>
    </row>
    <row r="573" spans="11:12" x14ac:dyDescent="0.2">
      <c r="K573" s="2">
        <v>558</v>
      </c>
      <c r="L573" s="6">
        <v>2</v>
      </c>
    </row>
    <row r="574" spans="11:12" x14ac:dyDescent="0.2">
      <c r="K574" s="2">
        <v>559</v>
      </c>
      <c r="L574" s="6">
        <v>3</v>
      </c>
    </row>
    <row r="575" spans="11:12" x14ac:dyDescent="0.2">
      <c r="K575" s="2">
        <v>560</v>
      </c>
      <c r="L575" s="6">
        <v>2</v>
      </c>
    </row>
    <row r="576" spans="11:12" x14ac:dyDescent="0.2">
      <c r="K576" s="2">
        <v>561</v>
      </c>
      <c r="L576" s="6">
        <v>2</v>
      </c>
    </row>
    <row r="577" spans="11:12" x14ac:dyDescent="0.2">
      <c r="K577" s="2">
        <v>562</v>
      </c>
      <c r="L577" s="6">
        <v>1</v>
      </c>
    </row>
    <row r="578" spans="11:12" x14ac:dyDescent="0.2">
      <c r="K578" s="2">
        <v>563</v>
      </c>
      <c r="L578" s="6">
        <v>1</v>
      </c>
    </row>
    <row r="579" spans="11:12" x14ac:dyDescent="0.2">
      <c r="K579" s="2">
        <v>564</v>
      </c>
      <c r="L579" s="6">
        <v>2</v>
      </c>
    </row>
    <row r="580" spans="11:12" x14ac:dyDescent="0.2">
      <c r="K580" s="2">
        <v>565</v>
      </c>
      <c r="L580" s="6">
        <v>2</v>
      </c>
    </row>
    <row r="581" spans="11:12" x14ac:dyDescent="0.2">
      <c r="K581" s="2">
        <v>566</v>
      </c>
      <c r="L581" s="6">
        <v>1</v>
      </c>
    </row>
    <row r="582" spans="11:12" x14ac:dyDescent="0.2">
      <c r="K582" s="2">
        <v>567</v>
      </c>
      <c r="L582" s="6">
        <v>2</v>
      </c>
    </row>
    <row r="583" spans="11:12" x14ac:dyDescent="0.2">
      <c r="K583" s="2">
        <v>568</v>
      </c>
      <c r="L583" s="6">
        <v>2</v>
      </c>
    </row>
    <row r="584" spans="11:12" x14ac:dyDescent="0.2">
      <c r="K584" s="2">
        <v>569</v>
      </c>
      <c r="L584" s="6">
        <v>0</v>
      </c>
    </row>
    <row r="585" spans="11:12" x14ac:dyDescent="0.2">
      <c r="K585" s="2">
        <v>570</v>
      </c>
      <c r="L585" s="6">
        <v>1</v>
      </c>
    </row>
    <row r="586" spans="11:12" x14ac:dyDescent="0.2">
      <c r="K586" s="2">
        <v>571</v>
      </c>
      <c r="L586" s="6">
        <v>1</v>
      </c>
    </row>
    <row r="587" spans="11:12" x14ac:dyDescent="0.2">
      <c r="K587" s="2">
        <v>572</v>
      </c>
      <c r="L587" s="6">
        <v>1</v>
      </c>
    </row>
    <row r="588" spans="11:12" x14ac:dyDescent="0.2">
      <c r="K588" s="2">
        <v>573</v>
      </c>
      <c r="L588" s="6">
        <v>1</v>
      </c>
    </row>
    <row r="589" spans="11:12" x14ac:dyDescent="0.2">
      <c r="K589" s="2">
        <v>574</v>
      </c>
      <c r="L589" s="6">
        <v>3</v>
      </c>
    </row>
    <row r="590" spans="11:12" x14ac:dyDescent="0.2">
      <c r="K590" s="2">
        <v>575</v>
      </c>
      <c r="L590" s="6">
        <v>2</v>
      </c>
    </row>
    <row r="591" spans="11:12" x14ac:dyDescent="0.2">
      <c r="K591" s="2">
        <v>576</v>
      </c>
      <c r="L591" s="6">
        <v>1</v>
      </c>
    </row>
    <row r="592" spans="11:12" x14ac:dyDescent="0.2">
      <c r="K592" s="2">
        <v>577</v>
      </c>
      <c r="L592" s="6">
        <v>3</v>
      </c>
    </row>
    <row r="593" spans="11:12" x14ac:dyDescent="0.2">
      <c r="K593" s="2">
        <v>578</v>
      </c>
      <c r="L593" s="6">
        <v>2</v>
      </c>
    </row>
    <row r="594" spans="11:12" x14ac:dyDescent="0.2">
      <c r="K594" s="2">
        <v>579</v>
      </c>
      <c r="L594" s="6">
        <v>0</v>
      </c>
    </row>
    <row r="595" spans="11:12" x14ac:dyDescent="0.2">
      <c r="K595" s="2">
        <v>580</v>
      </c>
      <c r="L595" s="6">
        <v>2</v>
      </c>
    </row>
    <row r="596" spans="11:12" x14ac:dyDescent="0.2">
      <c r="K596" s="2">
        <v>581</v>
      </c>
      <c r="L596" s="6">
        <v>2</v>
      </c>
    </row>
    <row r="597" spans="11:12" x14ac:dyDescent="0.2">
      <c r="K597" s="2">
        <v>582</v>
      </c>
      <c r="L597" s="6">
        <v>1</v>
      </c>
    </row>
    <row r="598" spans="11:12" x14ac:dyDescent="0.2">
      <c r="K598" s="2">
        <v>583</v>
      </c>
      <c r="L598" s="6">
        <v>1</v>
      </c>
    </row>
    <row r="599" spans="11:12" x14ac:dyDescent="0.2">
      <c r="K599" s="2">
        <v>584</v>
      </c>
      <c r="L599" s="6">
        <v>2</v>
      </c>
    </row>
    <row r="600" spans="11:12" x14ac:dyDescent="0.2">
      <c r="K600" s="2">
        <v>585</v>
      </c>
      <c r="L600" s="6">
        <v>1</v>
      </c>
    </row>
    <row r="601" spans="11:12" x14ac:dyDescent="0.2">
      <c r="K601" s="2">
        <v>586</v>
      </c>
      <c r="L601" s="6">
        <v>1</v>
      </c>
    </row>
    <row r="602" spans="11:12" x14ac:dyDescent="0.2">
      <c r="K602" s="2">
        <v>587</v>
      </c>
      <c r="L602" s="6">
        <v>0</v>
      </c>
    </row>
    <row r="603" spans="11:12" x14ac:dyDescent="0.2">
      <c r="K603" s="2">
        <v>588</v>
      </c>
      <c r="L603" s="6">
        <v>2</v>
      </c>
    </row>
    <row r="604" spans="11:12" x14ac:dyDescent="0.2">
      <c r="K604" s="2">
        <v>589</v>
      </c>
      <c r="L604" s="6">
        <v>1</v>
      </c>
    </row>
    <row r="605" spans="11:12" x14ac:dyDescent="0.2">
      <c r="K605" s="2">
        <v>590</v>
      </c>
      <c r="L605" s="6">
        <v>3</v>
      </c>
    </row>
    <row r="606" spans="11:12" x14ac:dyDescent="0.2">
      <c r="K606" s="2">
        <v>591</v>
      </c>
      <c r="L606" s="6">
        <v>1</v>
      </c>
    </row>
    <row r="607" spans="11:12" x14ac:dyDescent="0.2">
      <c r="K607" s="2">
        <v>592</v>
      </c>
      <c r="L607" s="6">
        <v>1</v>
      </c>
    </row>
    <row r="608" spans="11:12" x14ac:dyDescent="0.2">
      <c r="K608" s="2">
        <v>593</v>
      </c>
      <c r="L608" s="6">
        <v>1</v>
      </c>
    </row>
    <row r="609" spans="11:12" x14ac:dyDescent="0.2">
      <c r="K609" s="2">
        <v>594</v>
      </c>
      <c r="L609" s="6">
        <v>0</v>
      </c>
    </row>
    <row r="610" spans="11:12" x14ac:dyDescent="0.2">
      <c r="K610" s="2">
        <v>595</v>
      </c>
      <c r="L610" s="6">
        <v>2</v>
      </c>
    </row>
    <row r="611" spans="11:12" x14ac:dyDescent="0.2">
      <c r="K611" s="2">
        <v>596</v>
      </c>
      <c r="L611" s="6">
        <v>1</v>
      </c>
    </row>
    <row r="612" spans="11:12" x14ac:dyDescent="0.2">
      <c r="K612" s="2">
        <v>597</v>
      </c>
      <c r="L612" s="6">
        <v>1</v>
      </c>
    </row>
    <row r="613" spans="11:12" x14ac:dyDescent="0.2">
      <c r="K613" s="2">
        <v>598</v>
      </c>
      <c r="L613" s="6">
        <v>3</v>
      </c>
    </row>
    <row r="614" spans="11:12" x14ac:dyDescent="0.2">
      <c r="K614" s="2">
        <v>599</v>
      </c>
      <c r="L614" s="6">
        <v>3</v>
      </c>
    </row>
    <row r="615" spans="11:12" x14ac:dyDescent="0.2">
      <c r="K615" s="2">
        <v>600</v>
      </c>
      <c r="L615" s="6">
        <v>2</v>
      </c>
    </row>
    <row r="616" spans="11:12" x14ac:dyDescent="0.2">
      <c r="K616" s="2">
        <v>601</v>
      </c>
      <c r="L616" s="6">
        <v>2</v>
      </c>
    </row>
    <row r="617" spans="11:12" x14ac:dyDescent="0.2">
      <c r="K617" s="2">
        <v>602</v>
      </c>
      <c r="L617" s="6">
        <v>2</v>
      </c>
    </row>
    <row r="618" spans="11:12" x14ac:dyDescent="0.2">
      <c r="K618" s="2">
        <v>603</v>
      </c>
      <c r="L618" s="6">
        <v>1</v>
      </c>
    </row>
    <row r="619" spans="11:12" x14ac:dyDescent="0.2">
      <c r="K619" s="2">
        <v>604</v>
      </c>
      <c r="L619" s="6">
        <v>0</v>
      </c>
    </row>
    <row r="620" spans="11:12" x14ac:dyDescent="0.2">
      <c r="K620" s="2">
        <v>605</v>
      </c>
      <c r="L620" s="6">
        <v>0</v>
      </c>
    </row>
    <row r="621" spans="11:12" x14ac:dyDescent="0.2">
      <c r="K621" s="2">
        <v>606</v>
      </c>
      <c r="L621" s="6">
        <v>2</v>
      </c>
    </row>
    <row r="622" spans="11:12" x14ac:dyDescent="0.2">
      <c r="K622" s="2">
        <v>607</v>
      </c>
      <c r="L622" s="6">
        <v>2</v>
      </c>
    </row>
    <row r="623" spans="11:12" x14ac:dyDescent="0.2">
      <c r="K623" s="2">
        <v>608</v>
      </c>
      <c r="L623" s="6">
        <v>0</v>
      </c>
    </row>
    <row r="624" spans="11:12" x14ac:dyDescent="0.2">
      <c r="K624" s="2">
        <v>609</v>
      </c>
      <c r="L624" s="6">
        <v>1</v>
      </c>
    </row>
    <row r="625" spans="11:12" x14ac:dyDescent="0.2">
      <c r="K625" s="2">
        <v>610</v>
      </c>
      <c r="L625" s="6">
        <v>0</v>
      </c>
    </row>
    <row r="626" spans="11:12" x14ac:dyDescent="0.2">
      <c r="K626" s="2">
        <v>611</v>
      </c>
      <c r="L626" s="6">
        <v>2</v>
      </c>
    </row>
    <row r="627" spans="11:12" x14ac:dyDescent="0.2">
      <c r="K627" s="2">
        <v>612</v>
      </c>
      <c r="L627" s="6">
        <v>1</v>
      </c>
    </row>
    <row r="628" spans="11:12" x14ac:dyDescent="0.2">
      <c r="K628" s="2">
        <v>613</v>
      </c>
      <c r="L628" s="6">
        <v>3</v>
      </c>
    </row>
    <row r="629" spans="11:12" x14ac:dyDescent="0.2">
      <c r="K629" s="2">
        <v>614</v>
      </c>
      <c r="L629" s="6">
        <v>2</v>
      </c>
    </row>
    <row r="630" spans="11:12" x14ac:dyDescent="0.2">
      <c r="K630" s="2">
        <v>615</v>
      </c>
      <c r="L630" s="6">
        <v>1</v>
      </c>
    </row>
    <row r="631" spans="11:12" x14ac:dyDescent="0.2">
      <c r="K631" s="2">
        <v>616</v>
      </c>
      <c r="L631" s="6">
        <v>2</v>
      </c>
    </row>
    <row r="632" spans="11:12" x14ac:dyDescent="0.2">
      <c r="K632" s="2">
        <v>617</v>
      </c>
      <c r="L632" s="6">
        <v>1</v>
      </c>
    </row>
    <row r="633" spans="11:12" x14ac:dyDescent="0.2">
      <c r="K633" s="2">
        <v>618</v>
      </c>
      <c r="L633" s="6">
        <v>1</v>
      </c>
    </row>
    <row r="634" spans="11:12" x14ac:dyDescent="0.2">
      <c r="K634" s="2">
        <v>619</v>
      </c>
      <c r="L634" s="6">
        <v>1</v>
      </c>
    </row>
    <row r="635" spans="11:12" x14ac:dyDescent="0.2">
      <c r="K635" s="2">
        <v>620</v>
      </c>
      <c r="L635" s="6">
        <v>2</v>
      </c>
    </row>
    <row r="636" spans="11:12" x14ac:dyDescent="0.2">
      <c r="K636" s="2">
        <v>621</v>
      </c>
      <c r="L636" s="6">
        <v>2</v>
      </c>
    </row>
    <row r="637" spans="11:12" x14ac:dyDescent="0.2">
      <c r="K637" s="2">
        <v>622</v>
      </c>
      <c r="L637" s="6">
        <v>1</v>
      </c>
    </row>
    <row r="638" spans="11:12" x14ac:dyDescent="0.2">
      <c r="K638" s="2">
        <v>623</v>
      </c>
      <c r="L638" s="6">
        <v>2</v>
      </c>
    </row>
    <row r="639" spans="11:12" x14ac:dyDescent="0.2">
      <c r="K639" s="2">
        <v>624</v>
      </c>
      <c r="L639" s="6">
        <v>0</v>
      </c>
    </row>
    <row r="640" spans="11:12" x14ac:dyDescent="0.2">
      <c r="K640" s="2">
        <v>625</v>
      </c>
      <c r="L640" s="6">
        <v>2</v>
      </c>
    </row>
    <row r="641" spans="11:12" x14ac:dyDescent="0.2">
      <c r="K641" s="2">
        <v>626</v>
      </c>
      <c r="L641" s="6">
        <v>1</v>
      </c>
    </row>
    <row r="642" spans="11:12" x14ac:dyDescent="0.2">
      <c r="K642" s="2">
        <v>627</v>
      </c>
      <c r="L642" s="6">
        <v>2</v>
      </c>
    </row>
    <row r="643" spans="11:12" x14ac:dyDescent="0.2">
      <c r="K643" s="2">
        <v>628</v>
      </c>
      <c r="L643" s="6">
        <v>1</v>
      </c>
    </row>
    <row r="644" spans="11:12" x14ac:dyDescent="0.2">
      <c r="K644" s="2">
        <v>629</v>
      </c>
      <c r="L644" s="6">
        <v>2</v>
      </c>
    </row>
    <row r="645" spans="11:12" x14ac:dyDescent="0.2">
      <c r="K645" s="2">
        <v>630</v>
      </c>
      <c r="L645" s="6">
        <v>1</v>
      </c>
    </row>
    <row r="646" spans="11:12" x14ac:dyDescent="0.2">
      <c r="K646" s="2">
        <v>631</v>
      </c>
      <c r="L646" s="6">
        <v>2</v>
      </c>
    </row>
    <row r="647" spans="11:12" x14ac:dyDescent="0.2">
      <c r="K647" s="2">
        <v>632</v>
      </c>
      <c r="L647" s="6">
        <v>1</v>
      </c>
    </row>
    <row r="648" spans="11:12" x14ac:dyDescent="0.2">
      <c r="K648" s="2">
        <v>633</v>
      </c>
      <c r="L648" s="6">
        <v>1</v>
      </c>
    </row>
    <row r="649" spans="11:12" x14ac:dyDescent="0.2">
      <c r="K649" s="2">
        <v>634</v>
      </c>
      <c r="L649" s="6">
        <v>1</v>
      </c>
    </row>
    <row r="650" spans="11:12" x14ac:dyDescent="0.2">
      <c r="K650" s="2">
        <v>635</v>
      </c>
      <c r="L650" s="6">
        <v>2</v>
      </c>
    </row>
    <row r="651" spans="11:12" x14ac:dyDescent="0.2">
      <c r="K651" s="2">
        <v>636</v>
      </c>
      <c r="L651" s="6">
        <v>2</v>
      </c>
    </row>
    <row r="652" spans="11:12" x14ac:dyDescent="0.2">
      <c r="K652" s="2">
        <v>637</v>
      </c>
      <c r="L652" s="6">
        <v>1</v>
      </c>
    </row>
    <row r="653" spans="11:12" x14ac:dyDescent="0.2">
      <c r="K653" s="2">
        <v>638</v>
      </c>
      <c r="L653" s="6">
        <v>3</v>
      </c>
    </row>
    <row r="654" spans="11:12" x14ac:dyDescent="0.2">
      <c r="K654" s="2">
        <v>639</v>
      </c>
      <c r="L654" s="6">
        <v>2</v>
      </c>
    </row>
    <row r="655" spans="11:12" x14ac:dyDescent="0.2">
      <c r="K655" s="2">
        <v>640</v>
      </c>
      <c r="L655" s="6">
        <v>3</v>
      </c>
    </row>
    <row r="656" spans="11:12" x14ac:dyDescent="0.2">
      <c r="K656" s="2">
        <v>641</v>
      </c>
      <c r="L656" s="6">
        <v>2</v>
      </c>
    </row>
    <row r="657" spans="11:12" x14ac:dyDescent="0.2">
      <c r="K657" s="2">
        <v>642</v>
      </c>
      <c r="L657" s="6">
        <v>1</v>
      </c>
    </row>
    <row r="658" spans="11:12" x14ac:dyDescent="0.2">
      <c r="K658" s="2">
        <v>643</v>
      </c>
      <c r="L658" s="6">
        <v>1</v>
      </c>
    </row>
    <row r="659" spans="11:12" x14ac:dyDescent="0.2">
      <c r="K659" s="2">
        <v>644</v>
      </c>
      <c r="L659" s="6">
        <v>1</v>
      </c>
    </row>
    <row r="660" spans="11:12" x14ac:dyDescent="0.2">
      <c r="K660" s="2">
        <v>645</v>
      </c>
      <c r="L660" s="6">
        <v>0</v>
      </c>
    </row>
    <row r="661" spans="11:12" x14ac:dyDescent="0.2">
      <c r="K661" s="2">
        <v>646</v>
      </c>
      <c r="L661" s="6">
        <v>2</v>
      </c>
    </row>
    <row r="662" spans="11:12" x14ac:dyDescent="0.2">
      <c r="K662" s="2">
        <v>647</v>
      </c>
      <c r="L662" s="6">
        <v>3</v>
      </c>
    </row>
    <row r="663" spans="11:12" x14ac:dyDescent="0.2">
      <c r="K663" s="2">
        <v>648</v>
      </c>
      <c r="L663" s="6">
        <v>1</v>
      </c>
    </row>
    <row r="664" spans="11:12" x14ac:dyDescent="0.2">
      <c r="K664" s="2">
        <v>649</v>
      </c>
      <c r="L664" s="6">
        <v>2</v>
      </c>
    </row>
    <row r="665" spans="11:12" x14ac:dyDescent="0.2">
      <c r="K665" s="2">
        <v>650</v>
      </c>
      <c r="L665" s="6">
        <v>0</v>
      </c>
    </row>
    <row r="666" spans="11:12" x14ac:dyDescent="0.2">
      <c r="K666" s="2">
        <v>651</v>
      </c>
      <c r="L666" s="6">
        <v>1</v>
      </c>
    </row>
    <row r="667" spans="11:12" x14ac:dyDescent="0.2">
      <c r="K667" s="2">
        <v>652</v>
      </c>
      <c r="L667" s="6">
        <v>0</v>
      </c>
    </row>
    <row r="668" spans="11:12" x14ac:dyDescent="0.2">
      <c r="K668" s="2">
        <v>653</v>
      </c>
      <c r="L668" s="6">
        <v>1</v>
      </c>
    </row>
    <row r="669" spans="11:12" x14ac:dyDescent="0.2">
      <c r="K669" s="2">
        <v>654</v>
      </c>
      <c r="L669" s="6">
        <v>2</v>
      </c>
    </row>
    <row r="670" spans="11:12" x14ac:dyDescent="0.2">
      <c r="K670" s="2">
        <v>655</v>
      </c>
      <c r="L670" s="6">
        <v>1</v>
      </c>
    </row>
    <row r="671" spans="11:12" x14ac:dyDescent="0.2">
      <c r="K671" s="2">
        <v>656</v>
      </c>
      <c r="L671" s="6">
        <v>3</v>
      </c>
    </row>
    <row r="672" spans="11:12" x14ac:dyDescent="0.2">
      <c r="K672" s="2">
        <v>657</v>
      </c>
      <c r="L672" s="6">
        <v>2</v>
      </c>
    </row>
    <row r="673" spans="11:12" x14ac:dyDescent="0.2">
      <c r="K673" s="2">
        <v>658</v>
      </c>
      <c r="L673" s="6">
        <v>1</v>
      </c>
    </row>
    <row r="674" spans="11:12" x14ac:dyDescent="0.2">
      <c r="K674" s="2">
        <v>659</v>
      </c>
      <c r="L674" s="6">
        <v>1</v>
      </c>
    </row>
    <row r="675" spans="11:12" x14ac:dyDescent="0.2">
      <c r="K675" s="2">
        <v>660</v>
      </c>
      <c r="L675" s="6">
        <v>1</v>
      </c>
    </row>
    <row r="676" spans="11:12" x14ac:dyDescent="0.2">
      <c r="K676" s="2">
        <v>661</v>
      </c>
      <c r="L676" s="6">
        <v>1</v>
      </c>
    </row>
    <row r="677" spans="11:12" x14ac:dyDescent="0.2">
      <c r="K677" s="2">
        <v>662</v>
      </c>
      <c r="L677" s="6">
        <v>1</v>
      </c>
    </row>
    <row r="678" spans="11:12" x14ac:dyDescent="0.2">
      <c r="K678" s="2">
        <v>663</v>
      </c>
      <c r="L678" s="6">
        <v>3</v>
      </c>
    </row>
    <row r="679" spans="11:12" x14ac:dyDescent="0.2">
      <c r="K679" s="2">
        <v>664</v>
      </c>
      <c r="L679" s="6">
        <v>1</v>
      </c>
    </row>
    <row r="680" spans="11:12" x14ac:dyDescent="0.2">
      <c r="K680" s="2">
        <v>665</v>
      </c>
      <c r="L680" s="6">
        <v>0</v>
      </c>
    </row>
    <row r="681" spans="11:12" x14ac:dyDescent="0.2">
      <c r="K681" s="2">
        <v>666</v>
      </c>
      <c r="L681" s="6">
        <v>1</v>
      </c>
    </row>
    <row r="682" spans="11:12" x14ac:dyDescent="0.2">
      <c r="K682" s="2">
        <v>667</v>
      </c>
      <c r="L682" s="6">
        <v>2</v>
      </c>
    </row>
    <row r="683" spans="11:12" x14ac:dyDescent="0.2">
      <c r="K683" s="2">
        <v>668</v>
      </c>
      <c r="L683" s="6">
        <v>2</v>
      </c>
    </row>
    <row r="684" spans="11:12" x14ac:dyDescent="0.2">
      <c r="K684" s="2">
        <v>669</v>
      </c>
      <c r="L684" s="6">
        <v>1</v>
      </c>
    </row>
    <row r="685" spans="11:12" x14ac:dyDescent="0.2">
      <c r="K685" s="2">
        <v>670</v>
      </c>
      <c r="L685" s="6">
        <v>2</v>
      </c>
    </row>
    <row r="686" spans="11:12" x14ac:dyDescent="0.2">
      <c r="K686" s="2">
        <v>671</v>
      </c>
      <c r="L686" s="6">
        <v>2</v>
      </c>
    </row>
    <row r="687" spans="11:12" x14ac:dyDescent="0.2">
      <c r="K687" s="2">
        <v>672</v>
      </c>
      <c r="L687" s="6">
        <v>2</v>
      </c>
    </row>
    <row r="688" spans="11:12" x14ac:dyDescent="0.2">
      <c r="K688" s="2">
        <v>673</v>
      </c>
      <c r="L688" s="6">
        <v>0</v>
      </c>
    </row>
    <row r="689" spans="11:12" x14ac:dyDescent="0.2">
      <c r="K689" s="2">
        <v>674</v>
      </c>
      <c r="L689" s="6">
        <v>1</v>
      </c>
    </row>
    <row r="690" spans="11:12" x14ac:dyDescent="0.2">
      <c r="K690" s="2">
        <v>675</v>
      </c>
      <c r="L690" s="6">
        <v>1</v>
      </c>
    </row>
    <row r="691" spans="11:12" x14ac:dyDescent="0.2">
      <c r="K691" s="2">
        <v>676</v>
      </c>
      <c r="L691" s="6">
        <v>2</v>
      </c>
    </row>
    <row r="692" spans="11:12" x14ac:dyDescent="0.2">
      <c r="K692" s="2">
        <v>677</v>
      </c>
      <c r="L692" s="6">
        <v>2</v>
      </c>
    </row>
    <row r="693" spans="11:12" x14ac:dyDescent="0.2">
      <c r="K693" s="2">
        <v>678</v>
      </c>
      <c r="L693" s="6">
        <v>3</v>
      </c>
    </row>
    <row r="694" spans="11:12" x14ac:dyDescent="0.2">
      <c r="K694" s="2">
        <v>679</v>
      </c>
      <c r="L694" s="6">
        <v>0</v>
      </c>
    </row>
    <row r="695" spans="11:12" x14ac:dyDescent="0.2">
      <c r="K695" s="2">
        <v>680</v>
      </c>
      <c r="L695" s="6">
        <v>1</v>
      </c>
    </row>
    <row r="696" spans="11:12" x14ac:dyDescent="0.2">
      <c r="K696" s="2">
        <v>681</v>
      </c>
      <c r="L696" s="6">
        <v>0</v>
      </c>
    </row>
    <row r="697" spans="11:12" x14ac:dyDescent="0.2">
      <c r="K697" s="2">
        <v>682</v>
      </c>
      <c r="L697" s="6">
        <v>1</v>
      </c>
    </row>
    <row r="698" spans="11:12" x14ac:dyDescent="0.2">
      <c r="K698" s="2">
        <v>683</v>
      </c>
      <c r="L698" s="6">
        <v>2</v>
      </c>
    </row>
    <row r="699" spans="11:12" x14ac:dyDescent="0.2">
      <c r="K699" s="2">
        <v>684</v>
      </c>
      <c r="L699" s="6">
        <v>2</v>
      </c>
    </row>
    <row r="700" spans="11:12" x14ac:dyDescent="0.2">
      <c r="K700" s="2">
        <v>685</v>
      </c>
      <c r="L700" s="6">
        <v>2</v>
      </c>
    </row>
    <row r="701" spans="11:12" x14ac:dyDescent="0.2">
      <c r="K701" s="2">
        <v>686</v>
      </c>
      <c r="L701" s="6">
        <v>2</v>
      </c>
    </row>
    <row r="702" spans="11:12" x14ac:dyDescent="0.2">
      <c r="K702" s="2">
        <v>687</v>
      </c>
      <c r="L702" s="6">
        <v>1</v>
      </c>
    </row>
    <row r="703" spans="11:12" x14ac:dyDescent="0.2">
      <c r="K703" s="2">
        <v>688</v>
      </c>
      <c r="L703" s="6">
        <v>3</v>
      </c>
    </row>
    <row r="704" spans="11:12" x14ac:dyDescent="0.2">
      <c r="K704" s="2">
        <v>689</v>
      </c>
      <c r="L704" s="6">
        <v>3</v>
      </c>
    </row>
    <row r="705" spans="11:12" x14ac:dyDescent="0.2">
      <c r="K705" s="2">
        <v>690</v>
      </c>
      <c r="L705" s="6">
        <v>2</v>
      </c>
    </row>
    <row r="706" spans="11:12" x14ac:dyDescent="0.2">
      <c r="K706" s="2">
        <v>691</v>
      </c>
      <c r="L706" s="6">
        <v>1</v>
      </c>
    </row>
    <row r="707" spans="11:12" x14ac:dyDescent="0.2">
      <c r="K707" s="2">
        <v>692</v>
      </c>
      <c r="L707" s="6">
        <v>3</v>
      </c>
    </row>
    <row r="708" spans="11:12" x14ac:dyDescent="0.2">
      <c r="K708" s="2">
        <v>693</v>
      </c>
      <c r="L708" s="6">
        <v>1</v>
      </c>
    </row>
    <row r="709" spans="11:12" x14ac:dyDescent="0.2">
      <c r="K709" s="2">
        <v>694</v>
      </c>
      <c r="L709" s="6">
        <v>3</v>
      </c>
    </row>
    <row r="710" spans="11:12" x14ac:dyDescent="0.2">
      <c r="K710" s="2">
        <v>695</v>
      </c>
      <c r="L710" s="6">
        <v>2</v>
      </c>
    </row>
    <row r="711" spans="11:12" x14ac:dyDescent="0.2">
      <c r="K711" s="2">
        <v>696</v>
      </c>
      <c r="L711" s="6">
        <v>1</v>
      </c>
    </row>
    <row r="712" spans="11:12" x14ac:dyDescent="0.2">
      <c r="K712" s="2">
        <v>697</v>
      </c>
      <c r="L712" s="6">
        <v>1</v>
      </c>
    </row>
    <row r="713" spans="11:12" x14ac:dyDescent="0.2">
      <c r="K713" s="2">
        <v>698</v>
      </c>
      <c r="L713" s="6">
        <v>2</v>
      </c>
    </row>
    <row r="714" spans="11:12" x14ac:dyDescent="0.2">
      <c r="K714" s="2">
        <v>699</v>
      </c>
      <c r="L714" s="6">
        <v>1</v>
      </c>
    </row>
    <row r="715" spans="11:12" x14ac:dyDescent="0.2">
      <c r="K715" s="2">
        <v>700</v>
      </c>
      <c r="L715" s="6">
        <v>2</v>
      </c>
    </row>
    <row r="716" spans="11:12" x14ac:dyDescent="0.2">
      <c r="K716" s="2">
        <v>701</v>
      </c>
      <c r="L716" s="6">
        <v>2</v>
      </c>
    </row>
    <row r="717" spans="11:12" x14ac:dyDescent="0.2">
      <c r="K717" s="2">
        <v>702</v>
      </c>
      <c r="L717" s="6">
        <v>2</v>
      </c>
    </row>
    <row r="718" spans="11:12" x14ac:dyDescent="0.2">
      <c r="K718" s="2">
        <v>703</v>
      </c>
      <c r="L718" s="6">
        <v>0</v>
      </c>
    </row>
    <row r="719" spans="11:12" x14ac:dyDescent="0.2">
      <c r="K719" s="2">
        <v>704</v>
      </c>
      <c r="L719" s="6">
        <v>2</v>
      </c>
    </row>
    <row r="720" spans="11:12" x14ac:dyDescent="0.2">
      <c r="K720" s="2">
        <v>705</v>
      </c>
      <c r="L720" s="6">
        <v>1</v>
      </c>
    </row>
    <row r="721" spans="11:12" x14ac:dyDescent="0.2">
      <c r="K721" s="2">
        <v>706</v>
      </c>
      <c r="L721" s="6">
        <v>3</v>
      </c>
    </row>
    <row r="722" spans="11:12" x14ac:dyDescent="0.2">
      <c r="K722" s="2">
        <v>707</v>
      </c>
      <c r="L722" s="6">
        <v>1</v>
      </c>
    </row>
    <row r="723" spans="11:12" x14ac:dyDescent="0.2">
      <c r="K723" s="2">
        <v>708</v>
      </c>
      <c r="L723" s="6">
        <v>2</v>
      </c>
    </row>
    <row r="724" spans="11:12" x14ac:dyDescent="0.2">
      <c r="K724" s="2">
        <v>709</v>
      </c>
      <c r="L724" s="6">
        <v>2</v>
      </c>
    </row>
    <row r="725" spans="11:12" x14ac:dyDescent="0.2">
      <c r="K725" s="2">
        <v>710</v>
      </c>
      <c r="L725" s="6">
        <v>0</v>
      </c>
    </row>
    <row r="726" spans="11:12" x14ac:dyDescent="0.2">
      <c r="K726" s="2">
        <v>711</v>
      </c>
      <c r="L726" s="6">
        <v>2</v>
      </c>
    </row>
    <row r="727" spans="11:12" x14ac:dyDescent="0.2">
      <c r="K727" s="2">
        <v>712</v>
      </c>
      <c r="L727" s="6">
        <v>1</v>
      </c>
    </row>
    <row r="728" spans="11:12" x14ac:dyDescent="0.2">
      <c r="K728" s="2">
        <v>713</v>
      </c>
      <c r="L728" s="6">
        <v>2</v>
      </c>
    </row>
    <row r="729" spans="11:12" x14ac:dyDescent="0.2">
      <c r="K729" s="2">
        <v>714</v>
      </c>
      <c r="L729" s="6">
        <v>1</v>
      </c>
    </row>
    <row r="730" spans="11:12" x14ac:dyDescent="0.2">
      <c r="K730" s="2">
        <v>715</v>
      </c>
      <c r="L730" s="6">
        <v>1</v>
      </c>
    </row>
    <row r="731" spans="11:12" x14ac:dyDescent="0.2">
      <c r="K731" s="2">
        <v>716</v>
      </c>
      <c r="L731" s="6">
        <v>1</v>
      </c>
    </row>
    <row r="732" spans="11:12" x14ac:dyDescent="0.2">
      <c r="K732" s="2">
        <v>717</v>
      </c>
      <c r="L732" s="6">
        <v>0</v>
      </c>
    </row>
    <row r="733" spans="11:12" x14ac:dyDescent="0.2">
      <c r="K733" s="2">
        <v>718</v>
      </c>
      <c r="L733" s="6">
        <v>2</v>
      </c>
    </row>
    <row r="734" spans="11:12" x14ac:dyDescent="0.2">
      <c r="K734" s="2">
        <v>719</v>
      </c>
      <c r="L734" s="6">
        <v>0</v>
      </c>
    </row>
    <row r="735" spans="11:12" x14ac:dyDescent="0.2">
      <c r="K735" s="2">
        <v>720</v>
      </c>
      <c r="L735" s="6">
        <v>1</v>
      </c>
    </row>
    <row r="736" spans="11:12" x14ac:dyDescent="0.2">
      <c r="K736" s="2">
        <v>721</v>
      </c>
      <c r="L736" s="6">
        <v>3</v>
      </c>
    </row>
    <row r="737" spans="11:12" x14ac:dyDescent="0.2">
      <c r="K737" s="2">
        <v>722</v>
      </c>
      <c r="L737" s="6">
        <v>2</v>
      </c>
    </row>
    <row r="738" spans="11:12" x14ac:dyDescent="0.2">
      <c r="K738" s="2">
        <v>723</v>
      </c>
      <c r="L738" s="6">
        <v>2</v>
      </c>
    </row>
    <row r="739" spans="11:12" x14ac:dyDescent="0.2">
      <c r="K739" s="2">
        <v>724</v>
      </c>
      <c r="L739" s="6">
        <v>3</v>
      </c>
    </row>
    <row r="740" spans="11:12" x14ac:dyDescent="0.2">
      <c r="K740" s="2">
        <v>725</v>
      </c>
      <c r="L740" s="6">
        <v>2</v>
      </c>
    </row>
    <row r="741" spans="11:12" x14ac:dyDescent="0.2">
      <c r="K741" s="2">
        <v>726</v>
      </c>
      <c r="L741" s="6">
        <v>1</v>
      </c>
    </row>
    <row r="742" spans="11:12" x14ac:dyDescent="0.2">
      <c r="K742" s="2">
        <v>727</v>
      </c>
      <c r="L742" s="6">
        <v>2</v>
      </c>
    </row>
    <row r="743" spans="11:12" x14ac:dyDescent="0.2">
      <c r="K743" s="2">
        <v>728</v>
      </c>
      <c r="L743" s="6">
        <v>1</v>
      </c>
    </row>
    <row r="744" spans="11:12" x14ac:dyDescent="0.2">
      <c r="K744" s="2">
        <v>729</v>
      </c>
      <c r="L744" s="6">
        <v>3</v>
      </c>
    </row>
    <row r="745" spans="11:12" x14ac:dyDescent="0.2">
      <c r="K745" s="2">
        <v>730</v>
      </c>
      <c r="L745" s="6">
        <v>2</v>
      </c>
    </row>
    <row r="746" spans="11:12" x14ac:dyDescent="0.2">
      <c r="K746" s="2">
        <v>731</v>
      </c>
      <c r="L746" s="6">
        <v>1</v>
      </c>
    </row>
    <row r="747" spans="11:12" x14ac:dyDescent="0.2">
      <c r="K747" s="2">
        <v>732</v>
      </c>
      <c r="L747" s="6">
        <v>2</v>
      </c>
    </row>
    <row r="748" spans="11:12" x14ac:dyDescent="0.2">
      <c r="K748" s="2">
        <v>733</v>
      </c>
      <c r="L748" s="6">
        <v>2</v>
      </c>
    </row>
    <row r="749" spans="11:12" x14ac:dyDescent="0.2">
      <c r="K749" s="2">
        <v>734</v>
      </c>
      <c r="L749" s="6">
        <v>2</v>
      </c>
    </row>
    <row r="750" spans="11:12" x14ac:dyDescent="0.2">
      <c r="K750" s="2">
        <v>735</v>
      </c>
      <c r="L750" s="6">
        <v>1</v>
      </c>
    </row>
    <row r="751" spans="11:12" x14ac:dyDescent="0.2">
      <c r="K751" s="2">
        <v>736</v>
      </c>
      <c r="L751" s="6">
        <v>2</v>
      </c>
    </row>
    <row r="752" spans="11:12" x14ac:dyDescent="0.2">
      <c r="K752" s="2">
        <v>737</v>
      </c>
      <c r="L752" s="6">
        <v>2</v>
      </c>
    </row>
    <row r="753" spans="11:12" x14ac:dyDescent="0.2">
      <c r="K753" s="2">
        <v>738</v>
      </c>
      <c r="L753" s="6">
        <v>1</v>
      </c>
    </row>
    <row r="754" spans="11:12" x14ac:dyDescent="0.2">
      <c r="K754" s="2">
        <v>739</v>
      </c>
      <c r="L754" s="6">
        <v>1</v>
      </c>
    </row>
    <row r="755" spans="11:12" x14ac:dyDescent="0.2">
      <c r="K755" s="2">
        <v>740</v>
      </c>
      <c r="L755" s="6">
        <v>2</v>
      </c>
    </row>
    <row r="756" spans="11:12" x14ac:dyDescent="0.2">
      <c r="K756" s="2">
        <v>741</v>
      </c>
      <c r="L756" s="6">
        <v>3</v>
      </c>
    </row>
    <row r="757" spans="11:12" x14ac:dyDescent="0.2">
      <c r="K757" s="2">
        <v>742</v>
      </c>
      <c r="L757" s="6">
        <v>1</v>
      </c>
    </row>
    <row r="758" spans="11:12" x14ac:dyDescent="0.2">
      <c r="K758" s="2">
        <v>743</v>
      </c>
      <c r="L758" s="6">
        <v>2</v>
      </c>
    </row>
    <row r="759" spans="11:12" x14ac:dyDescent="0.2">
      <c r="K759" s="2">
        <v>744</v>
      </c>
      <c r="L759" s="6">
        <v>3</v>
      </c>
    </row>
    <row r="760" spans="11:12" x14ac:dyDescent="0.2">
      <c r="K760" s="2">
        <v>745</v>
      </c>
      <c r="L760" s="6">
        <v>2</v>
      </c>
    </row>
    <row r="761" spans="11:12" x14ac:dyDescent="0.2">
      <c r="K761" s="2">
        <v>746</v>
      </c>
      <c r="L761" s="6">
        <v>1</v>
      </c>
    </row>
    <row r="762" spans="11:12" x14ac:dyDescent="0.2">
      <c r="K762" s="2">
        <v>747</v>
      </c>
      <c r="L762" s="6">
        <v>0</v>
      </c>
    </row>
    <row r="763" spans="11:12" x14ac:dyDescent="0.2">
      <c r="K763" s="2">
        <v>748</v>
      </c>
      <c r="L763" s="6">
        <v>0</v>
      </c>
    </row>
    <row r="764" spans="11:12" x14ac:dyDescent="0.2">
      <c r="K764" s="2">
        <v>749</v>
      </c>
      <c r="L764" s="6">
        <v>2</v>
      </c>
    </row>
    <row r="765" spans="11:12" x14ac:dyDescent="0.2">
      <c r="K765" s="2">
        <v>750</v>
      </c>
      <c r="L765" s="6">
        <v>1</v>
      </c>
    </row>
    <row r="766" spans="11:12" x14ac:dyDescent="0.2">
      <c r="K766" s="2">
        <v>751</v>
      </c>
      <c r="L766" s="6">
        <v>2</v>
      </c>
    </row>
    <row r="767" spans="11:12" x14ac:dyDescent="0.2">
      <c r="K767" s="2">
        <v>752</v>
      </c>
      <c r="L767" s="6">
        <v>2</v>
      </c>
    </row>
    <row r="768" spans="11:12" x14ac:dyDescent="0.2">
      <c r="K768" s="2">
        <v>753</v>
      </c>
      <c r="L768" s="6">
        <v>1</v>
      </c>
    </row>
    <row r="769" spans="11:12" x14ac:dyDescent="0.2">
      <c r="K769" s="2">
        <v>754</v>
      </c>
      <c r="L769" s="6">
        <v>2</v>
      </c>
    </row>
    <row r="770" spans="11:12" x14ac:dyDescent="0.2">
      <c r="K770" s="2">
        <v>755</v>
      </c>
      <c r="L770" s="6">
        <v>2</v>
      </c>
    </row>
    <row r="771" spans="11:12" x14ac:dyDescent="0.2">
      <c r="K771" s="2">
        <v>756</v>
      </c>
      <c r="L771" s="6">
        <v>1</v>
      </c>
    </row>
    <row r="772" spans="11:12" x14ac:dyDescent="0.2">
      <c r="K772" s="2">
        <v>757</v>
      </c>
      <c r="L772" s="6">
        <v>3</v>
      </c>
    </row>
    <row r="773" spans="11:12" x14ac:dyDescent="0.2">
      <c r="K773" s="2">
        <v>758</v>
      </c>
      <c r="L773" s="6">
        <v>1</v>
      </c>
    </row>
    <row r="774" spans="11:12" x14ac:dyDescent="0.2">
      <c r="K774" s="2">
        <v>759</v>
      </c>
      <c r="L774" s="6">
        <v>2</v>
      </c>
    </row>
    <row r="775" spans="11:12" x14ac:dyDescent="0.2">
      <c r="K775" s="2">
        <v>760</v>
      </c>
      <c r="L775" s="6">
        <v>2</v>
      </c>
    </row>
    <row r="776" spans="11:12" x14ac:dyDescent="0.2">
      <c r="K776" s="2">
        <v>761</v>
      </c>
      <c r="L776" s="6">
        <v>2</v>
      </c>
    </row>
    <row r="777" spans="11:12" x14ac:dyDescent="0.2">
      <c r="K777" s="2">
        <v>762</v>
      </c>
      <c r="L777" s="6">
        <v>1</v>
      </c>
    </row>
    <row r="778" spans="11:12" x14ac:dyDescent="0.2">
      <c r="K778" s="2">
        <v>763</v>
      </c>
      <c r="L778" s="6">
        <v>1</v>
      </c>
    </row>
    <row r="779" spans="11:12" x14ac:dyDescent="0.2">
      <c r="K779" s="2">
        <v>764</v>
      </c>
      <c r="L779" s="6">
        <v>2</v>
      </c>
    </row>
    <row r="780" spans="11:12" x14ac:dyDescent="0.2">
      <c r="K780" s="2">
        <v>765</v>
      </c>
      <c r="L780" s="6">
        <v>1</v>
      </c>
    </row>
    <row r="781" spans="11:12" x14ac:dyDescent="0.2">
      <c r="K781" s="2">
        <v>766</v>
      </c>
      <c r="L781" s="6">
        <v>1</v>
      </c>
    </row>
    <row r="782" spans="11:12" x14ac:dyDescent="0.2">
      <c r="K782" s="2">
        <v>767</v>
      </c>
      <c r="L782" s="6">
        <v>2</v>
      </c>
    </row>
    <row r="783" spans="11:12" x14ac:dyDescent="0.2">
      <c r="K783" s="2">
        <v>768</v>
      </c>
      <c r="L783" s="6">
        <v>3</v>
      </c>
    </row>
    <row r="784" spans="11:12" x14ac:dyDescent="0.2">
      <c r="K784" s="2">
        <v>769</v>
      </c>
      <c r="L784" s="6">
        <v>3</v>
      </c>
    </row>
    <row r="785" spans="11:12" x14ac:dyDescent="0.2">
      <c r="K785" s="2">
        <v>770</v>
      </c>
      <c r="L785" s="6">
        <v>0</v>
      </c>
    </row>
    <row r="786" spans="11:12" x14ac:dyDescent="0.2">
      <c r="K786" s="2">
        <v>771</v>
      </c>
      <c r="L786" s="6">
        <v>2</v>
      </c>
    </row>
    <row r="787" spans="11:12" x14ac:dyDescent="0.2">
      <c r="K787" s="2">
        <v>772</v>
      </c>
      <c r="L787" s="6">
        <v>2</v>
      </c>
    </row>
    <row r="788" spans="11:12" x14ac:dyDescent="0.2">
      <c r="K788" s="2">
        <v>773</v>
      </c>
      <c r="L788" s="6">
        <v>1</v>
      </c>
    </row>
    <row r="789" spans="11:12" x14ac:dyDescent="0.2">
      <c r="K789" s="2">
        <v>774</v>
      </c>
      <c r="L789" s="6">
        <v>3</v>
      </c>
    </row>
    <row r="790" spans="11:12" x14ac:dyDescent="0.2">
      <c r="K790" s="2">
        <v>775</v>
      </c>
      <c r="L790" s="6">
        <v>3</v>
      </c>
    </row>
    <row r="791" spans="11:12" x14ac:dyDescent="0.2">
      <c r="K791" s="2">
        <v>776</v>
      </c>
      <c r="L791" s="6">
        <v>1</v>
      </c>
    </row>
    <row r="792" spans="11:12" x14ac:dyDescent="0.2">
      <c r="K792" s="2">
        <v>777</v>
      </c>
      <c r="L792" s="6">
        <v>3</v>
      </c>
    </row>
    <row r="793" spans="11:12" x14ac:dyDescent="0.2">
      <c r="K793" s="2">
        <v>778</v>
      </c>
      <c r="L793" s="6">
        <v>2</v>
      </c>
    </row>
    <row r="794" spans="11:12" x14ac:dyDescent="0.2">
      <c r="K794" s="2">
        <v>779</v>
      </c>
      <c r="L794" s="6">
        <v>2</v>
      </c>
    </row>
    <row r="795" spans="11:12" x14ac:dyDescent="0.2">
      <c r="K795" s="2">
        <v>780</v>
      </c>
      <c r="L795" s="6">
        <v>3</v>
      </c>
    </row>
    <row r="796" spans="11:12" x14ac:dyDescent="0.2">
      <c r="K796" s="2">
        <v>781</v>
      </c>
      <c r="L796" s="6">
        <v>1</v>
      </c>
    </row>
    <row r="797" spans="11:12" x14ac:dyDescent="0.2">
      <c r="K797" s="2">
        <v>782</v>
      </c>
      <c r="L797" s="6">
        <v>1</v>
      </c>
    </row>
    <row r="798" spans="11:12" x14ac:dyDescent="0.2">
      <c r="K798" s="2">
        <v>783</v>
      </c>
      <c r="L798" s="6">
        <v>1</v>
      </c>
    </row>
    <row r="799" spans="11:12" x14ac:dyDescent="0.2">
      <c r="K799" s="2">
        <v>784</v>
      </c>
      <c r="L799" s="6">
        <v>3</v>
      </c>
    </row>
    <row r="800" spans="11:12" x14ac:dyDescent="0.2">
      <c r="K800" s="2">
        <v>785</v>
      </c>
      <c r="L800" s="6">
        <v>2</v>
      </c>
    </row>
    <row r="801" spans="11:12" x14ac:dyDescent="0.2">
      <c r="K801" s="2">
        <v>786</v>
      </c>
      <c r="L801" s="6">
        <v>1</v>
      </c>
    </row>
    <row r="802" spans="11:12" x14ac:dyDescent="0.2">
      <c r="K802" s="2">
        <v>787</v>
      </c>
      <c r="L802" s="6">
        <v>0</v>
      </c>
    </row>
    <row r="803" spans="11:12" x14ac:dyDescent="0.2">
      <c r="K803" s="2">
        <v>788</v>
      </c>
      <c r="L803" s="6">
        <v>1</v>
      </c>
    </row>
    <row r="804" spans="11:12" x14ac:dyDescent="0.2">
      <c r="K804" s="2">
        <v>789</v>
      </c>
      <c r="L804" s="6">
        <v>1</v>
      </c>
    </row>
    <row r="805" spans="11:12" x14ac:dyDescent="0.2">
      <c r="K805" s="2">
        <v>790</v>
      </c>
      <c r="L805" s="6">
        <v>2</v>
      </c>
    </row>
    <row r="806" spans="11:12" x14ac:dyDescent="0.2">
      <c r="K806" s="2">
        <v>791</v>
      </c>
      <c r="L806" s="6">
        <v>1</v>
      </c>
    </row>
    <row r="807" spans="11:12" x14ac:dyDescent="0.2">
      <c r="K807" s="2">
        <v>792</v>
      </c>
      <c r="L807" s="6">
        <v>2</v>
      </c>
    </row>
    <row r="808" spans="11:12" x14ac:dyDescent="0.2">
      <c r="K808" s="2">
        <v>793</v>
      </c>
      <c r="L808" s="6">
        <v>2</v>
      </c>
    </row>
    <row r="809" spans="11:12" x14ac:dyDescent="0.2">
      <c r="K809" s="2">
        <v>794</v>
      </c>
      <c r="L809" s="6">
        <v>1</v>
      </c>
    </row>
    <row r="810" spans="11:12" x14ac:dyDescent="0.2">
      <c r="K810" s="2">
        <v>795</v>
      </c>
      <c r="L810" s="6">
        <v>2</v>
      </c>
    </row>
    <row r="811" spans="11:12" x14ac:dyDescent="0.2">
      <c r="K811" s="2">
        <v>796</v>
      </c>
      <c r="L811" s="6">
        <v>2</v>
      </c>
    </row>
    <row r="812" spans="11:12" x14ac:dyDescent="0.2">
      <c r="K812" s="2">
        <v>797</v>
      </c>
      <c r="L812" s="6">
        <v>0</v>
      </c>
    </row>
    <row r="813" spans="11:12" x14ac:dyDescent="0.2">
      <c r="K813" s="2">
        <v>798</v>
      </c>
      <c r="L813" s="6">
        <v>1</v>
      </c>
    </row>
    <row r="814" spans="11:12" x14ac:dyDescent="0.2">
      <c r="K814" s="2">
        <v>799</v>
      </c>
      <c r="L814" s="6">
        <v>2</v>
      </c>
    </row>
    <row r="815" spans="11:12" ht="15" thickBot="1" x14ac:dyDescent="0.25">
      <c r="K815" s="4">
        <v>800</v>
      </c>
      <c r="L815" s="7">
        <v>1</v>
      </c>
    </row>
  </sheetData>
  <phoneticPr fontId="1"/>
  <printOptions headings="1" gridLines="1"/>
  <pageMargins left="0.75" right="0.75" top="1" bottom="1" header="0.5" footer="0.5"/>
  <pageSetup paperSize="0" orientation="portrait" horizontalDpi="4294967292" verticalDpi="4294967292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1"/>
  <dimension ref="A10:G514"/>
  <sheetViews>
    <sheetView zoomScale="200" workbookViewId="0">
      <selection activeCell="G14" sqref="G14"/>
    </sheetView>
  </sheetViews>
  <sheetFormatPr baseColWidth="10" defaultColWidth="10.83203125" defaultRowHeight="11" x14ac:dyDescent="0.15"/>
  <cols>
    <col min="1" max="1" width="15.1640625" style="9" bestFit="1" customWidth="1"/>
    <col min="2" max="2" width="12.33203125" style="9" customWidth="1"/>
    <col min="3" max="3" width="13.6640625" style="9" customWidth="1"/>
    <col min="4" max="4" width="10.83203125" style="9" customWidth="1"/>
    <col min="5" max="5" width="16.33203125" style="9" customWidth="1"/>
    <col min="6" max="7" width="10.83203125" style="9" customWidth="1"/>
    <col min="8" max="16384" width="10.83203125" style="8"/>
  </cols>
  <sheetData>
    <row r="10" spans="1:7" x14ac:dyDescent="0.15">
      <c r="A10" s="87"/>
      <c r="E10" s="8"/>
    </row>
    <row r="11" spans="1:7" x14ac:dyDescent="0.15">
      <c r="A11" s="88" t="s">
        <v>53</v>
      </c>
      <c r="E11" s="8" t="s">
        <v>52</v>
      </c>
    </row>
    <row r="12" spans="1:7" x14ac:dyDescent="0.15">
      <c r="A12" s="33"/>
      <c r="B12" s="9" t="s">
        <v>22</v>
      </c>
      <c r="C12" s="9" t="s">
        <v>27</v>
      </c>
      <c r="E12" s="8"/>
      <c r="F12" s="8"/>
      <c r="G12" s="8"/>
    </row>
    <row r="13" spans="1:7" ht="12" thickBot="1" x14ac:dyDescent="0.2">
      <c r="A13" s="35" t="s">
        <v>25</v>
      </c>
      <c r="B13" s="12" t="s">
        <v>21</v>
      </c>
      <c r="C13" s="12" t="s">
        <v>28</v>
      </c>
      <c r="E13" s="8"/>
      <c r="F13" s="8"/>
      <c r="G13" s="8"/>
    </row>
    <row r="14" spans="1:7" ht="12" thickBot="1" x14ac:dyDescent="0.2">
      <c r="A14" s="33">
        <v>1</v>
      </c>
      <c r="B14" s="89">
        <f t="shared" ref="B14:B77" ca="1" si="0">RAND()</f>
        <v>0.62350590350768365</v>
      </c>
      <c r="C14" s="90">
        <f ca="1">3+5*B14</f>
        <v>6.1175295175384186</v>
      </c>
      <c r="D14" s="9" t="s">
        <v>26</v>
      </c>
      <c r="E14" s="91">
        <f ca="1">AVERAGE(C14:C513)</f>
        <v>5.6610067380417322</v>
      </c>
      <c r="F14" s="8"/>
      <c r="G14" s="8"/>
    </row>
    <row r="15" spans="1:7" x14ac:dyDescent="0.15">
      <c r="A15" s="33">
        <v>2</v>
      </c>
      <c r="B15" s="89">
        <f t="shared" ca="1" si="0"/>
        <v>0.10351506398396071</v>
      </c>
      <c r="C15" s="90">
        <f t="shared" ref="C15:C77" ca="1" si="1">3+5*B15</f>
        <v>3.5175753199198034</v>
      </c>
      <c r="E15" s="10" t="s">
        <v>89</v>
      </c>
      <c r="F15" s="8"/>
      <c r="G15" s="8"/>
    </row>
    <row r="16" spans="1:7" x14ac:dyDescent="0.15">
      <c r="A16" s="33">
        <v>3</v>
      </c>
      <c r="B16" s="89">
        <f t="shared" ca="1" si="0"/>
        <v>0.85755810797379761</v>
      </c>
      <c r="C16" s="90">
        <f t="shared" ca="1" si="1"/>
        <v>7.2877905398689879</v>
      </c>
      <c r="F16" s="8"/>
      <c r="G16" s="8"/>
    </row>
    <row r="17" spans="1:7" x14ac:dyDescent="0.15">
      <c r="A17" s="33">
        <v>4</v>
      </c>
      <c r="B17" s="89">
        <f t="shared" ca="1" si="0"/>
        <v>0.80275064998530687</v>
      </c>
      <c r="C17" s="90">
        <f t="shared" ca="1" si="1"/>
        <v>7.013753249926534</v>
      </c>
      <c r="F17" s="8"/>
      <c r="G17" s="8"/>
    </row>
    <row r="18" spans="1:7" x14ac:dyDescent="0.15">
      <c r="A18" s="33">
        <v>5</v>
      </c>
      <c r="B18" s="89">
        <f t="shared" ca="1" si="0"/>
        <v>0.85436335183761558</v>
      </c>
      <c r="C18" s="90">
        <f t="shared" ca="1" si="1"/>
        <v>7.271816759188078</v>
      </c>
      <c r="E18" s="8"/>
      <c r="F18" s="8"/>
      <c r="G18" s="8"/>
    </row>
    <row r="19" spans="1:7" x14ac:dyDescent="0.15">
      <c r="A19" s="33">
        <v>6</v>
      </c>
      <c r="B19" s="89">
        <f t="shared" ca="1" si="0"/>
        <v>0.35512370217655509</v>
      </c>
      <c r="C19" s="90">
        <f t="shared" ca="1" si="1"/>
        <v>4.7756185108827758</v>
      </c>
      <c r="E19" s="8"/>
      <c r="F19" s="8"/>
      <c r="G19" s="8"/>
    </row>
    <row r="20" spans="1:7" x14ac:dyDescent="0.15">
      <c r="A20" s="33">
        <v>7</v>
      </c>
      <c r="B20" s="89">
        <f t="shared" ca="1" si="0"/>
        <v>0.95323131819107532</v>
      </c>
      <c r="C20" s="90">
        <f t="shared" ca="1" si="1"/>
        <v>7.7661565909553767</v>
      </c>
    </row>
    <row r="21" spans="1:7" x14ac:dyDescent="0.15">
      <c r="A21" s="33">
        <v>8</v>
      </c>
      <c r="B21" s="89">
        <f t="shared" ca="1" si="0"/>
        <v>0.81151851365614713</v>
      </c>
      <c r="C21" s="90">
        <f t="shared" ca="1" si="1"/>
        <v>7.0575925682807359</v>
      </c>
    </row>
    <row r="22" spans="1:7" x14ac:dyDescent="0.15">
      <c r="A22" s="33">
        <v>9</v>
      </c>
      <c r="B22" s="89">
        <f t="shared" ca="1" si="0"/>
        <v>0.69897459962272623</v>
      </c>
      <c r="C22" s="90">
        <f t="shared" ca="1" si="1"/>
        <v>6.4948729981136317</v>
      </c>
    </row>
    <row r="23" spans="1:7" x14ac:dyDescent="0.15">
      <c r="A23" s="33">
        <v>10</v>
      </c>
      <c r="B23" s="89">
        <f t="shared" ca="1" si="0"/>
        <v>0.71101560352409165</v>
      </c>
      <c r="C23" s="90">
        <f t="shared" ca="1" si="1"/>
        <v>6.5550780176204579</v>
      </c>
    </row>
    <row r="24" spans="1:7" x14ac:dyDescent="0.15">
      <c r="A24" s="33">
        <v>11</v>
      </c>
      <c r="B24" s="89">
        <f t="shared" ca="1" si="0"/>
        <v>0.37979955319913561</v>
      </c>
      <c r="C24" s="90">
        <f t="shared" ca="1" si="1"/>
        <v>4.898997765995678</v>
      </c>
    </row>
    <row r="25" spans="1:7" x14ac:dyDescent="0.15">
      <c r="A25" s="33">
        <v>12</v>
      </c>
      <c r="B25" s="89">
        <f t="shared" ca="1" si="0"/>
        <v>0.84425305913971915</v>
      </c>
      <c r="C25" s="90">
        <f t="shared" ca="1" si="1"/>
        <v>7.2212652956985961</v>
      </c>
    </row>
    <row r="26" spans="1:7" x14ac:dyDescent="0.15">
      <c r="A26" s="33">
        <v>13</v>
      </c>
      <c r="B26" s="89">
        <f t="shared" ca="1" si="0"/>
        <v>0.61426814237031691</v>
      </c>
      <c r="C26" s="90">
        <f t="shared" ca="1" si="1"/>
        <v>6.071340711851585</v>
      </c>
    </row>
    <row r="27" spans="1:7" x14ac:dyDescent="0.15">
      <c r="A27" s="33">
        <v>14</v>
      </c>
      <c r="B27" s="89">
        <f t="shared" ca="1" si="0"/>
        <v>0.94372931228442059</v>
      </c>
      <c r="C27" s="90">
        <f t="shared" ca="1" si="1"/>
        <v>7.7186465614221031</v>
      </c>
    </row>
    <row r="28" spans="1:7" x14ac:dyDescent="0.15">
      <c r="A28" s="33">
        <v>15</v>
      </c>
      <c r="B28" s="89">
        <f t="shared" ca="1" si="0"/>
        <v>0.36080778634339417</v>
      </c>
      <c r="C28" s="90">
        <f t="shared" ca="1" si="1"/>
        <v>4.8040389317169705</v>
      </c>
    </row>
    <row r="29" spans="1:7" x14ac:dyDescent="0.15">
      <c r="A29" s="33">
        <v>16</v>
      </c>
      <c r="B29" s="89">
        <f t="shared" ca="1" si="0"/>
        <v>0.9063946072678718</v>
      </c>
      <c r="C29" s="90">
        <f t="shared" ca="1" si="1"/>
        <v>7.5319730363393589</v>
      </c>
    </row>
    <row r="30" spans="1:7" x14ac:dyDescent="0.15">
      <c r="A30" s="33">
        <v>17</v>
      </c>
      <c r="B30" s="89">
        <f t="shared" ca="1" si="0"/>
        <v>0.97285855388585518</v>
      </c>
      <c r="C30" s="90">
        <f t="shared" ca="1" si="1"/>
        <v>7.8642927694292757</v>
      </c>
    </row>
    <row r="31" spans="1:7" x14ac:dyDescent="0.15">
      <c r="A31" s="33">
        <v>18</v>
      </c>
      <c r="B31" s="89">
        <f t="shared" ca="1" si="0"/>
        <v>0.49586289155306851</v>
      </c>
      <c r="C31" s="90">
        <f t="shared" ca="1" si="1"/>
        <v>5.4793144577653425</v>
      </c>
    </row>
    <row r="32" spans="1:7" x14ac:dyDescent="0.15">
      <c r="A32" s="33">
        <v>19</v>
      </c>
      <c r="B32" s="89">
        <f t="shared" ca="1" si="0"/>
        <v>0.44601735331577608</v>
      </c>
      <c r="C32" s="90">
        <f t="shared" ca="1" si="1"/>
        <v>5.2300867665788804</v>
      </c>
    </row>
    <row r="33" spans="1:3" x14ac:dyDescent="0.15">
      <c r="A33" s="33">
        <v>20</v>
      </c>
      <c r="B33" s="89">
        <f t="shared" ca="1" si="0"/>
        <v>0.72613448444080386</v>
      </c>
      <c r="C33" s="90">
        <f t="shared" ca="1" si="1"/>
        <v>6.6306724222040199</v>
      </c>
    </row>
    <row r="34" spans="1:3" x14ac:dyDescent="0.15">
      <c r="A34" s="33">
        <v>21</v>
      </c>
      <c r="B34" s="89">
        <f t="shared" ca="1" si="0"/>
        <v>0.63092280962795111</v>
      </c>
      <c r="C34" s="90">
        <f t="shared" ca="1" si="1"/>
        <v>6.1546140481397558</v>
      </c>
    </row>
    <row r="35" spans="1:3" x14ac:dyDescent="0.15">
      <c r="A35" s="33">
        <v>22</v>
      </c>
      <c r="B35" s="89">
        <f t="shared" ca="1" si="0"/>
        <v>0.67934877010521544</v>
      </c>
      <c r="C35" s="90">
        <f t="shared" ca="1" si="1"/>
        <v>6.396743850526077</v>
      </c>
    </row>
    <row r="36" spans="1:3" x14ac:dyDescent="0.15">
      <c r="A36" s="33">
        <v>23</v>
      </c>
      <c r="B36" s="89">
        <f t="shared" ca="1" si="0"/>
        <v>0.90015949158443742</v>
      </c>
      <c r="C36" s="90">
        <f t="shared" ca="1" si="1"/>
        <v>7.5007974579221868</v>
      </c>
    </row>
    <row r="37" spans="1:3" x14ac:dyDescent="0.15">
      <c r="A37" s="33">
        <v>24</v>
      </c>
      <c r="B37" s="89">
        <f t="shared" ca="1" si="0"/>
        <v>8.4688630279992627E-2</v>
      </c>
      <c r="C37" s="90">
        <f t="shared" ca="1" si="1"/>
        <v>3.423443151399963</v>
      </c>
    </row>
    <row r="38" spans="1:3" x14ac:dyDescent="0.15">
      <c r="A38" s="33">
        <v>25</v>
      </c>
      <c r="B38" s="89">
        <f t="shared" ca="1" si="0"/>
        <v>0.27517747676964577</v>
      </c>
      <c r="C38" s="90">
        <f t="shared" ca="1" si="1"/>
        <v>4.3758873838482284</v>
      </c>
    </row>
    <row r="39" spans="1:3" x14ac:dyDescent="0.15">
      <c r="A39" s="33">
        <v>26</v>
      </c>
      <c r="B39" s="89">
        <f t="shared" ca="1" si="0"/>
        <v>0.31013479076952377</v>
      </c>
      <c r="C39" s="90">
        <f t="shared" ca="1" si="1"/>
        <v>4.5506739538476193</v>
      </c>
    </row>
    <row r="40" spans="1:3" x14ac:dyDescent="0.15">
      <c r="A40" s="33">
        <v>27</v>
      </c>
      <c r="B40" s="89">
        <f t="shared" ca="1" si="0"/>
        <v>0.65381496134178096</v>
      </c>
      <c r="C40" s="90">
        <f t="shared" ca="1" si="1"/>
        <v>6.2690748067089048</v>
      </c>
    </row>
    <row r="41" spans="1:3" x14ac:dyDescent="0.15">
      <c r="A41" s="33">
        <v>28</v>
      </c>
      <c r="B41" s="89">
        <f t="shared" ca="1" si="0"/>
        <v>0.13496524745252769</v>
      </c>
      <c r="C41" s="90">
        <f t="shared" ca="1" si="1"/>
        <v>3.6748262372626384</v>
      </c>
    </row>
    <row r="42" spans="1:3" x14ac:dyDescent="0.15">
      <c r="A42" s="33">
        <v>29</v>
      </c>
      <c r="B42" s="89">
        <f t="shared" ca="1" si="0"/>
        <v>0.76257573916076993</v>
      </c>
      <c r="C42" s="90">
        <f t="shared" ca="1" si="1"/>
        <v>6.8128786958038496</v>
      </c>
    </row>
    <row r="43" spans="1:3" x14ac:dyDescent="0.15">
      <c r="A43" s="33">
        <v>30</v>
      </c>
      <c r="B43" s="89">
        <f t="shared" ca="1" si="0"/>
        <v>0.16206622841764262</v>
      </c>
      <c r="C43" s="90">
        <f t="shared" ca="1" si="1"/>
        <v>3.8103311420882129</v>
      </c>
    </row>
    <row r="44" spans="1:3" x14ac:dyDescent="0.15">
      <c r="A44" s="33">
        <v>31</v>
      </c>
      <c r="B44" s="89">
        <f t="shared" ca="1" si="0"/>
        <v>0.30900430229007836</v>
      </c>
      <c r="C44" s="90">
        <f t="shared" ca="1" si="1"/>
        <v>4.5450215114503916</v>
      </c>
    </row>
    <row r="45" spans="1:3" x14ac:dyDescent="0.15">
      <c r="A45" s="33">
        <v>32</v>
      </c>
      <c r="B45" s="89">
        <f t="shared" ca="1" si="0"/>
        <v>0.53202519962069283</v>
      </c>
      <c r="C45" s="90">
        <f t="shared" ca="1" si="1"/>
        <v>5.6601259981034637</v>
      </c>
    </row>
    <row r="46" spans="1:3" x14ac:dyDescent="0.15">
      <c r="A46" s="33">
        <v>33</v>
      </c>
      <c r="B46" s="89">
        <f t="shared" ca="1" si="0"/>
        <v>0.84093081421892835</v>
      </c>
      <c r="C46" s="90">
        <f t="shared" ca="1" si="1"/>
        <v>7.2046540710946418</v>
      </c>
    </row>
    <row r="47" spans="1:3" x14ac:dyDescent="0.15">
      <c r="A47" s="33">
        <v>34</v>
      </c>
      <c r="B47" s="89">
        <f t="shared" ca="1" si="0"/>
        <v>0.49913336705101929</v>
      </c>
      <c r="C47" s="90">
        <f t="shared" ca="1" si="1"/>
        <v>5.495666835255097</v>
      </c>
    </row>
    <row r="48" spans="1:3" x14ac:dyDescent="0.15">
      <c r="A48" s="33">
        <v>35</v>
      </c>
      <c r="B48" s="89">
        <f t="shared" ca="1" si="0"/>
        <v>0.9973768993363844</v>
      </c>
      <c r="C48" s="90">
        <f t="shared" ca="1" si="1"/>
        <v>7.9868844966819221</v>
      </c>
    </row>
    <row r="49" spans="1:3" x14ac:dyDescent="0.15">
      <c r="A49" s="33">
        <v>36</v>
      </c>
      <c r="B49" s="89">
        <f t="shared" ca="1" si="0"/>
        <v>0.23367736494540592</v>
      </c>
      <c r="C49" s="90">
        <f t="shared" ca="1" si="1"/>
        <v>4.1683868247270297</v>
      </c>
    </row>
    <row r="50" spans="1:3" x14ac:dyDescent="0.15">
      <c r="A50" s="33">
        <v>37</v>
      </c>
      <c r="B50" s="89">
        <f t="shared" ca="1" si="0"/>
        <v>0.11462830449810291</v>
      </c>
      <c r="C50" s="90">
        <f t="shared" ca="1" si="1"/>
        <v>3.5731415224905145</v>
      </c>
    </row>
    <row r="51" spans="1:3" x14ac:dyDescent="0.15">
      <c r="A51" s="33">
        <v>38</v>
      </c>
      <c r="B51" s="89">
        <f t="shared" ca="1" si="0"/>
        <v>0.7959880791533066</v>
      </c>
      <c r="C51" s="90">
        <f t="shared" ca="1" si="1"/>
        <v>6.9799403957665334</v>
      </c>
    </row>
    <row r="52" spans="1:3" x14ac:dyDescent="0.15">
      <c r="A52" s="33">
        <v>39</v>
      </c>
      <c r="B52" s="89">
        <f t="shared" ca="1" si="0"/>
        <v>0.46472919874171503</v>
      </c>
      <c r="C52" s="90">
        <f t="shared" ca="1" si="1"/>
        <v>5.3236459937085749</v>
      </c>
    </row>
    <row r="53" spans="1:3" x14ac:dyDescent="0.15">
      <c r="A53" s="33">
        <v>40</v>
      </c>
      <c r="B53" s="89">
        <f t="shared" ca="1" si="0"/>
        <v>0.4383660138440747</v>
      </c>
      <c r="C53" s="90">
        <f t="shared" ca="1" si="1"/>
        <v>5.1918300692203729</v>
      </c>
    </row>
    <row r="54" spans="1:3" x14ac:dyDescent="0.15">
      <c r="A54" s="33">
        <v>41</v>
      </c>
      <c r="B54" s="89">
        <f t="shared" ca="1" si="0"/>
        <v>0.55154142154111674</v>
      </c>
      <c r="C54" s="90">
        <f t="shared" ca="1" si="1"/>
        <v>5.7577071077055839</v>
      </c>
    </row>
    <row r="55" spans="1:3" x14ac:dyDescent="0.15">
      <c r="A55" s="33">
        <v>42</v>
      </c>
      <c r="B55" s="89">
        <f t="shared" ca="1" si="0"/>
        <v>0.87518966875717941</v>
      </c>
      <c r="C55" s="90">
        <f t="shared" ca="1" si="1"/>
        <v>7.3759483437858968</v>
      </c>
    </row>
    <row r="56" spans="1:3" x14ac:dyDescent="0.15">
      <c r="A56" s="33">
        <v>43</v>
      </c>
      <c r="B56" s="89">
        <f t="shared" ca="1" si="0"/>
        <v>0.46955469366893943</v>
      </c>
      <c r="C56" s="90">
        <f t="shared" ca="1" si="1"/>
        <v>5.3477734683446974</v>
      </c>
    </row>
    <row r="57" spans="1:3" x14ac:dyDescent="0.15">
      <c r="A57" s="33">
        <v>44</v>
      </c>
      <c r="B57" s="89">
        <f t="shared" ca="1" si="0"/>
        <v>8.5919103002323194E-2</v>
      </c>
      <c r="C57" s="90">
        <f t="shared" ca="1" si="1"/>
        <v>3.429595515011616</v>
      </c>
    </row>
    <row r="58" spans="1:3" x14ac:dyDescent="0.15">
      <c r="A58" s="33">
        <v>45</v>
      </c>
      <c r="B58" s="89">
        <f t="shared" ca="1" si="0"/>
        <v>0.6713053005508397</v>
      </c>
      <c r="C58" s="90">
        <f t="shared" ca="1" si="1"/>
        <v>6.3565265027541979</v>
      </c>
    </row>
    <row r="59" spans="1:3" x14ac:dyDescent="0.15">
      <c r="A59" s="33">
        <v>46</v>
      </c>
      <c r="B59" s="89">
        <f t="shared" ca="1" si="0"/>
        <v>0.83174733340641049</v>
      </c>
      <c r="C59" s="90">
        <f t="shared" ca="1" si="1"/>
        <v>7.158736667032052</v>
      </c>
    </row>
    <row r="60" spans="1:3" x14ac:dyDescent="0.15">
      <c r="A60" s="33">
        <v>47</v>
      </c>
      <c r="B60" s="89">
        <f t="shared" ca="1" si="0"/>
        <v>0.1639764678882335</v>
      </c>
      <c r="C60" s="90">
        <f t="shared" ca="1" si="1"/>
        <v>3.8198823394411674</v>
      </c>
    </row>
    <row r="61" spans="1:3" x14ac:dyDescent="0.15">
      <c r="A61" s="33">
        <v>48</v>
      </c>
      <c r="B61" s="89">
        <f t="shared" ca="1" si="0"/>
        <v>0.27370552811067128</v>
      </c>
      <c r="C61" s="90">
        <f t="shared" ca="1" si="1"/>
        <v>4.3685276405533564</v>
      </c>
    </row>
    <row r="62" spans="1:3" x14ac:dyDescent="0.15">
      <c r="A62" s="33">
        <v>49</v>
      </c>
      <c r="B62" s="89">
        <f t="shared" ca="1" si="0"/>
        <v>0.6907405595765358</v>
      </c>
      <c r="C62" s="90">
        <f t="shared" ca="1" si="1"/>
        <v>6.4537027978826789</v>
      </c>
    </row>
    <row r="63" spans="1:3" x14ac:dyDescent="0.15">
      <c r="A63" s="33">
        <v>50</v>
      </c>
      <c r="B63" s="89">
        <f t="shared" ca="1" si="0"/>
        <v>0.87318291532398395</v>
      </c>
      <c r="C63" s="90">
        <f t="shared" ca="1" si="1"/>
        <v>7.3659145766199199</v>
      </c>
    </row>
    <row r="64" spans="1:3" x14ac:dyDescent="0.15">
      <c r="A64" s="33">
        <v>51</v>
      </c>
      <c r="B64" s="89">
        <f t="shared" ca="1" si="0"/>
        <v>0.34176793366073666</v>
      </c>
      <c r="C64" s="90">
        <f t="shared" ca="1" si="1"/>
        <v>4.7088396683036837</v>
      </c>
    </row>
    <row r="65" spans="1:3" x14ac:dyDescent="0.15">
      <c r="A65" s="33">
        <v>52</v>
      </c>
      <c r="B65" s="89">
        <f t="shared" ca="1" si="0"/>
        <v>0.78589637879924612</v>
      </c>
      <c r="C65" s="90">
        <f t="shared" ca="1" si="1"/>
        <v>6.9294818939962308</v>
      </c>
    </row>
    <row r="66" spans="1:3" x14ac:dyDescent="0.15">
      <c r="A66" s="33">
        <v>53</v>
      </c>
      <c r="B66" s="89">
        <f t="shared" ca="1" si="0"/>
        <v>0.62652488734321832</v>
      </c>
      <c r="C66" s="90">
        <f t="shared" ca="1" si="1"/>
        <v>6.1326244367160916</v>
      </c>
    </row>
    <row r="67" spans="1:3" x14ac:dyDescent="0.15">
      <c r="A67" s="33">
        <v>54</v>
      </c>
      <c r="B67" s="89">
        <f t="shared" ca="1" si="0"/>
        <v>0.79177855419128274</v>
      </c>
      <c r="C67" s="90">
        <f t="shared" ca="1" si="1"/>
        <v>6.9588927709564139</v>
      </c>
    </row>
    <row r="68" spans="1:3" x14ac:dyDescent="0.15">
      <c r="A68" s="33">
        <v>55</v>
      </c>
      <c r="B68" s="89">
        <f t="shared" ca="1" si="0"/>
        <v>8.4330075806771099E-3</v>
      </c>
      <c r="C68" s="90">
        <f t="shared" ca="1" si="1"/>
        <v>3.0421650379033855</v>
      </c>
    </row>
    <row r="69" spans="1:3" x14ac:dyDescent="0.15">
      <c r="A69" s="33">
        <v>56</v>
      </c>
      <c r="B69" s="89">
        <f t="shared" ca="1" si="0"/>
        <v>0.56036775334826161</v>
      </c>
      <c r="C69" s="90">
        <f t="shared" ca="1" si="1"/>
        <v>5.8018387667413078</v>
      </c>
    </row>
    <row r="70" spans="1:3" x14ac:dyDescent="0.15">
      <c r="A70" s="33">
        <v>57</v>
      </c>
      <c r="B70" s="89">
        <f t="shared" ca="1" si="0"/>
        <v>0.36529716352952168</v>
      </c>
      <c r="C70" s="90">
        <f t="shared" ca="1" si="1"/>
        <v>4.8264858176476082</v>
      </c>
    </row>
    <row r="71" spans="1:3" x14ac:dyDescent="0.15">
      <c r="A71" s="33">
        <v>58</v>
      </c>
      <c r="B71" s="89">
        <f t="shared" ca="1" si="0"/>
        <v>0.97135898878502791</v>
      </c>
      <c r="C71" s="90">
        <f t="shared" ca="1" si="1"/>
        <v>7.8567949439251397</v>
      </c>
    </row>
    <row r="72" spans="1:3" x14ac:dyDescent="0.15">
      <c r="A72" s="33">
        <v>59</v>
      </c>
      <c r="B72" s="89">
        <f t="shared" ca="1" si="0"/>
        <v>0.92640522761973054</v>
      </c>
      <c r="C72" s="90">
        <f t="shared" ca="1" si="1"/>
        <v>7.6320261380986523</v>
      </c>
    </row>
    <row r="73" spans="1:3" x14ac:dyDescent="0.15">
      <c r="A73" s="33">
        <v>60</v>
      </c>
      <c r="B73" s="89">
        <f t="shared" ca="1" si="0"/>
        <v>0.93385451421655163</v>
      </c>
      <c r="C73" s="90">
        <f t="shared" ca="1" si="1"/>
        <v>7.6692725710827583</v>
      </c>
    </row>
    <row r="74" spans="1:3" x14ac:dyDescent="0.15">
      <c r="A74" s="33">
        <v>61</v>
      </c>
      <c r="B74" s="89">
        <f t="shared" ca="1" si="0"/>
        <v>0.1304614245546557</v>
      </c>
      <c r="C74" s="90">
        <f t="shared" ca="1" si="1"/>
        <v>3.6523071227732786</v>
      </c>
    </row>
    <row r="75" spans="1:3" x14ac:dyDescent="0.15">
      <c r="A75" s="33">
        <v>62</v>
      </c>
      <c r="B75" s="89">
        <f t="shared" ca="1" si="0"/>
        <v>0.69858838671929746</v>
      </c>
      <c r="C75" s="90">
        <f t="shared" ca="1" si="1"/>
        <v>6.4929419335964873</v>
      </c>
    </row>
    <row r="76" spans="1:3" x14ac:dyDescent="0.15">
      <c r="A76" s="33">
        <v>63</v>
      </c>
      <c r="B76" s="89">
        <f t="shared" ca="1" si="0"/>
        <v>0.30377644199571685</v>
      </c>
      <c r="C76" s="90">
        <f t="shared" ca="1" si="1"/>
        <v>4.5188822099785844</v>
      </c>
    </row>
    <row r="77" spans="1:3" x14ac:dyDescent="0.15">
      <c r="A77" s="33">
        <v>64</v>
      </c>
      <c r="B77" s="89">
        <f t="shared" ca="1" si="0"/>
        <v>0.44102799348431876</v>
      </c>
      <c r="C77" s="90">
        <f t="shared" ca="1" si="1"/>
        <v>5.2051399674215943</v>
      </c>
    </row>
    <row r="78" spans="1:3" x14ac:dyDescent="0.15">
      <c r="A78" s="33">
        <v>65</v>
      </c>
      <c r="B78" s="89">
        <f t="shared" ref="B78:B141" ca="1" si="2">RAND()</f>
        <v>0.33824049638834397</v>
      </c>
      <c r="C78" s="90">
        <f t="shared" ref="C78:C141" ca="1" si="3">3+5*B78</f>
        <v>4.69120248194172</v>
      </c>
    </row>
    <row r="79" spans="1:3" x14ac:dyDescent="0.15">
      <c r="A79" s="33">
        <v>66</v>
      </c>
      <c r="B79" s="89">
        <f t="shared" ca="1" si="2"/>
        <v>2.932397230169026E-3</v>
      </c>
      <c r="C79" s="90">
        <f t="shared" ca="1" si="3"/>
        <v>3.0146619861508452</v>
      </c>
    </row>
    <row r="80" spans="1:3" x14ac:dyDescent="0.15">
      <c r="A80" s="33">
        <v>67</v>
      </c>
      <c r="B80" s="89">
        <f t="shared" ca="1" si="2"/>
        <v>0.60563720304611135</v>
      </c>
      <c r="C80" s="90">
        <f t="shared" ca="1" si="3"/>
        <v>6.0281860152305562</v>
      </c>
    </row>
    <row r="81" spans="1:3" x14ac:dyDescent="0.15">
      <c r="A81" s="33">
        <v>68</v>
      </c>
      <c r="B81" s="89">
        <f t="shared" ca="1" si="2"/>
        <v>0.42313876991821986</v>
      </c>
      <c r="C81" s="90">
        <f t="shared" ca="1" si="3"/>
        <v>5.1156938495910991</v>
      </c>
    </row>
    <row r="82" spans="1:3" x14ac:dyDescent="0.15">
      <c r="A82" s="33">
        <v>69</v>
      </c>
      <c r="B82" s="89">
        <f t="shared" ca="1" si="2"/>
        <v>0.74435347878755587</v>
      </c>
      <c r="C82" s="90">
        <f t="shared" ca="1" si="3"/>
        <v>6.7217673939377791</v>
      </c>
    </row>
    <row r="83" spans="1:3" x14ac:dyDescent="0.15">
      <c r="A83" s="33">
        <v>70</v>
      </c>
      <c r="B83" s="89">
        <f t="shared" ca="1" si="2"/>
        <v>0.84752439523827861</v>
      </c>
      <c r="C83" s="90">
        <f t="shared" ca="1" si="3"/>
        <v>7.2376219761913934</v>
      </c>
    </row>
    <row r="84" spans="1:3" x14ac:dyDescent="0.15">
      <c r="A84" s="33">
        <v>71</v>
      </c>
      <c r="B84" s="89">
        <f t="shared" ca="1" si="2"/>
        <v>0.67373561260171333</v>
      </c>
      <c r="C84" s="90">
        <f t="shared" ca="1" si="3"/>
        <v>6.3686780630085664</v>
      </c>
    </row>
    <row r="85" spans="1:3" x14ac:dyDescent="0.15">
      <c r="A85" s="33">
        <v>72</v>
      </c>
      <c r="B85" s="89">
        <f t="shared" ca="1" si="2"/>
        <v>0.27921042549591257</v>
      </c>
      <c r="C85" s="90">
        <f t="shared" ca="1" si="3"/>
        <v>4.396052127479563</v>
      </c>
    </row>
    <row r="86" spans="1:3" x14ac:dyDescent="0.15">
      <c r="A86" s="33">
        <v>73</v>
      </c>
      <c r="B86" s="89">
        <f t="shared" ca="1" si="2"/>
        <v>0.29677981093546046</v>
      </c>
      <c r="C86" s="90">
        <f t="shared" ca="1" si="3"/>
        <v>4.4838990546773019</v>
      </c>
    </row>
    <row r="87" spans="1:3" x14ac:dyDescent="0.15">
      <c r="A87" s="33">
        <v>74</v>
      </c>
      <c r="B87" s="89">
        <f t="shared" ca="1" si="2"/>
        <v>0.9013740280662963</v>
      </c>
      <c r="C87" s="90">
        <f t="shared" ca="1" si="3"/>
        <v>7.5068701403314817</v>
      </c>
    </row>
    <row r="88" spans="1:3" x14ac:dyDescent="0.15">
      <c r="A88" s="33">
        <v>75</v>
      </c>
      <c r="B88" s="89">
        <f t="shared" ca="1" si="2"/>
        <v>0.91372467543602898</v>
      </c>
      <c r="C88" s="90">
        <f t="shared" ca="1" si="3"/>
        <v>7.5686233771801446</v>
      </c>
    </row>
    <row r="89" spans="1:3" x14ac:dyDescent="0.15">
      <c r="A89" s="33">
        <v>76</v>
      </c>
      <c r="B89" s="89">
        <f t="shared" ca="1" si="2"/>
        <v>0.99840267140780548</v>
      </c>
      <c r="C89" s="90">
        <f t="shared" ca="1" si="3"/>
        <v>7.9920133570390277</v>
      </c>
    </row>
    <row r="90" spans="1:3" x14ac:dyDescent="0.15">
      <c r="A90" s="33">
        <v>77</v>
      </c>
      <c r="B90" s="89">
        <f t="shared" ca="1" si="2"/>
        <v>0.95838681587450103</v>
      </c>
      <c r="C90" s="90">
        <f t="shared" ca="1" si="3"/>
        <v>7.7919340793725054</v>
      </c>
    </row>
    <row r="91" spans="1:3" x14ac:dyDescent="0.15">
      <c r="A91" s="33">
        <v>78</v>
      </c>
      <c r="B91" s="89">
        <f t="shared" ca="1" si="2"/>
        <v>1.1321940346450066E-2</v>
      </c>
      <c r="C91" s="90">
        <f t="shared" ca="1" si="3"/>
        <v>3.0566097017322504</v>
      </c>
    </row>
    <row r="92" spans="1:3" x14ac:dyDescent="0.15">
      <c r="A92" s="33">
        <v>79</v>
      </c>
      <c r="B92" s="89">
        <f t="shared" ca="1" si="2"/>
        <v>0.99322053958658096</v>
      </c>
      <c r="C92" s="90">
        <f t="shared" ca="1" si="3"/>
        <v>7.9661026979329046</v>
      </c>
    </row>
    <row r="93" spans="1:3" x14ac:dyDescent="0.15">
      <c r="A93" s="33">
        <v>80</v>
      </c>
      <c r="B93" s="89">
        <f t="shared" ca="1" si="2"/>
        <v>0.96256168494538841</v>
      </c>
      <c r="C93" s="90">
        <f t="shared" ca="1" si="3"/>
        <v>7.812808424726942</v>
      </c>
    </row>
    <row r="94" spans="1:3" x14ac:dyDescent="0.15">
      <c r="A94" s="33">
        <v>81</v>
      </c>
      <c r="B94" s="89">
        <f t="shared" ca="1" si="2"/>
        <v>2.8756779996527482E-2</v>
      </c>
      <c r="C94" s="90">
        <f t="shared" ca="1" si="3"/>
        <v>3.1437838999826373</v>
      </c>
    </row>
    <row r="95" spans="1:3" x14ac:dyDescent="0.15">
      <c r="A95" s="33">
        <v>82</v>
      </c>
      <c r="B95" s="89">
        <f t="shared" ca="1" si="2"/>
        <v>0.73373441112288573</v>
      </c>
      <c r="C95" s="90">
        <f t="shared" ca="1" si="3"/>
        <v>6.6686720556144286</v>
      </c>
    </row>
    <row r="96" spans="1:3" x14ac:dyDescent="0.15">
      <c r="A96" s="33">
        <v>83</v>
      </c>
      <c r="B96" s="89">
        <f t="shared" ca="1" si="2"/>
        <v>0.52377521389522874</v>
      </c>
      <c r="C96" s="90">
        <f t="shared" ca="1" si="3"/>
        <v>5.6188760694761442</v>
      </c>
    </row>
    <row r="97" spans="1:3" x14ac:dyDescent="0.15">
      <c r="A97" s="33">
        <v>84</v>
      </c>
      <c r="B97" s="89">
        <f t="shared" ca="1" si="2"/>
        <v>0.87952687524421791</v>
      </c>
      <c r="C97" s="90">
        <f t="shared" ca="1" si="3"/>
        <v>7.3976343762210899</v>
      </c>
    </row>
    <row r="98" spans="1:3" x14ac:dyDescent="0.15">
      <c r="A98" s="33">
        <v>85</v>
      </c>
      <c r="B98" s="89">
        <f t="shared" ca="1" si="2"/>
        <v>0.29095192646793933</v>
      </c>
      <c r="C98" s="90">
        <f t="shared" ca="1" si="3"/>
        <v>4.4547596323396963</v>
      </c>
    </row>
    <row r="99" spans="1:3" x14ac:dyDescent="0.15">
      <c r="A99" s="33">
        <v>86</v>
      </c>
      <c r="B99" s="89">
        <f t="shared" ca="1" si="2"/>
        <v>0.69379556059729763</v>
      </c>
      <c r="C99" s="90">
        <f t="shared" ca="1" si="3"/>
        <v>6.4689778029864886</v>
      </c>
    </row>
    <row r="100" spans="1:3" x14ac:dyDescent="0.15">
      <c r="A100" s="33">
        <v>87</v>
      </c>
      <c r="B100" s="89">
        <f t="shared" ca="1" si="2"/>
        <v>6.017900341784943E-2</v>
      </c>
      <c r="C100" s="90">
        <f t="shared" ca="1" si="3"/>
        <v>3.300895017089247</v>
      </c>
    </row>
    <row r="101" spans="1:3" x14ac:dyDescent="0.15">
      <c r="A101" s="33">
        <v>88</v>
      </c>
      <c r="B101" s="89">
        <f t="shared" ca="1" si="2"/>
        <v>0.26115338202845739</v>
      </c>
      <c r="C101" s="90">
        <f t="shared" ca="1" si="3"/>
        <v>4.3057669101422871</v>
      </c>
    </row>
    <row r="102" spans="1:3" x14ac:dyDescent="0.15">
      <c r="A102" s="33">
        <v>89</v>
      </c>
      <c r="B102" s="89">
        <f t="shared" ca="1" si="2"/>
        <v>0.84580320150621913</v>
      </c>
      <c r="C102" s="90">
        <f t="shared" ca="1" si="3"/>
        <v>7.2290160075310954</v>
      </c>
    </row>
    <row r="103" spans="1:3" x14ac:dyDescent="0.15">
      <c r="A103" s="33">
        <v>90</v>
      </c>
      <c r="B103" s="89">
        <f t="shared" ca="1" si="2"/>
        <v>0.4005961205361902</v>
      </c>
      <c r="C103" s="90">
        <f t="shared" ca="1" si="3"/>
        <v>5.0029806026809513</v>
      </c>
    </row>
    <row r="104" spans="1:3" x14ac:dyDescent="0.15">
      <c r="A104" s="33">
        <v>91</v>
      </c>
      <c r="B104" s="89">
        <f t="shared" ca="1" si="2"/>
        <v>0.87051779926719719</v>
      </c>
      <c r="C104" s="90">
        <f t="shared" ca="1" si="3"/>
        <v>7.3525889963359861</v>
      </c>
    </row>
    <row r="105" spans="1:3" x14ac:dyDescent="0.15">
      <c r="A105" s="33">
        <v>92</v>
      </c>
      <c r="B105" s="89">
        <f t="shared" ca="1" si="2"/>
        <v>0.13701929547121106</v>
      </c>
      <c r="C105" s="90">
        <f t="shared" ca="1" si="3"/>
        <v>3.6850964773560553</v>
      </c>
    </row>
    <row r="106" spans="1:3" x14ac:dyDescent="0.15">
      <c r="A106" s="33">
        <v>93</v>
      </c>
      <c r="B106" s="89">
        <f t="shared" ca="1" si="2"/>
        <v>0.82198008210482032</v>
      </c>
      <c r="C106" s="90">
        <f t="shared" ca="1" si="3"/>
        <v>7.1099004105241015</v>
      </c>
    </row>
    <row r="107" spans="1:3" x14ac:dyDescent="0.15">
      <c r="A107" s="33">
        <v>94</v>
      </c>
      <c r="B107" s="89">
        <f t="shared" ca="1" si="2"/>
        <v>6.1049606408463131E-3</v>
      </c>
      <c r="C107" s="90">
        <f t="shared" ca="1" si="3"/>
        <v>3.0305248032042318</v>
      </c>
    </row>
    <row r="108" spans="1:3" x14ac:dyDescent="0.15">
      <c r="A108" s="33">
        <v>95</v>
      </c>
      <c r="B108" s="89">
        <f t="shared" ca="1" si="2"/>
        <v>0.93664783552439446</v>
      </c>
      <c r="C108" s="90">
        <f t="shared" ca="1" si="3"/>
        <v>7.6832391776219726</v>
      </c>
    </row>
    <row r="109" spans="1:3" x14ac:dyDescent="0.15">
      <c r="A109" s="33">
        <v>96</v>
      </c>
      <c r="B109" s="89">
        <f t="shared" ca="1" si="2"/>
        <v>0.19365744567082688</v>
      </c>
      <c r="C109" s="90">
        <f t="shared" ca="1" si="3"/>
        <v>3.9682872283541344</v>
      </c>
    </row>
    <row r="110" spans="1:3" x14ac:dyDescent="0.15">
      <c r="A110" s="33">
        <v>97</v>
      </c>
      <c r="B110" s="89">
        <f t="shared" ca="1" si="2"/>
        <v>0.90738835326382938</v>
      </c>
      <c r="C110" s="90">
        <f t="shared" ca="1" si="3"/>
        <v>7.5369417663191474</v>
      </c>
    </row>
    <row r="111" spans="1:3" x14ac:dyDescent="0.15">
      <c r="A111" s="33">
        <v>98</v>
      </c>
      <c r="B111" s="89">
        <f t="shared" ca="1" si="2"/>
        <v>0.80657321898980061</v>
      </c>
      <c r="C111" s="90">
        <f t="shared" ca="1" si="3"/>
        <v>7.0328660949490027</v>
      </c>
    </row>
    <row r="112" spans="1:3" x14ac:dyDescent="0.15">
      <c r="A112" s="33">
        <v>99</v>
      </c>
      <c r="B112" s="89">
        <f t="shared" ca="1" si="2"/>
        <v>0.26988169699830356</v>
      </c>
      <c r="C112" s="90">
        <f t="shared" ca="1" si="3"/>
        <v>4.3494084849915176</v>
      </c>
    </row>
    <row r="113" spans="1:3" x14ac:dyDescent="0.15">
      <c r="A113" s="33">
        <v>100</v>
      </c>
      <c r="B113" s="89">
        <f t="shared" ca="1" si="2"/>
        <v>0.88254741977626106</v>
      </c>
      <c r="C113" s="90">
        <f t="shared" ca="1" si="3"/>
        <v>7.4127370988813048</v>
      </c>
    </row>
    <row r="114" spans="1:3" x14ac:dyDescent="0.15">
      <c r="A114" s="33">
        <v>101</v>
      </c>
      <c r="B114" s="89">
        <f t="shared" ca="1" si="2"/>
        <v>0.99080414439877795</v>
      </c>
      <c r="C114" s="90">
        <f t="shared" ca="1" si="3"/>
        <v>7.9540207219938894</v>
      </c>
    </row>
    <row r="115" spans="1:3" x14ac:dyDescent="0.15">
      <c r="A115" s="33">
        <v>102</v>
      </c>
      <c r="B115" s="89">
        <f t="shared" ca="1" si="2"/>
        <v>0.93690638406543159</v>
      </c>
      <c r="C115" s="90">
        <f t="shared" ca="1" si="3"/>
        <v>7.6845319203271583</v>
      </c>
    </row>
    <row r="116" spans="1:3" x14ac:dyDescent="0.15">
      <c r="A116" s="33">
        <v>103</v>
      </c>
      <c r="B116" s="89">
        <f t="shared" ca="1" si="2"/>
        <v>0.9776408527762952</v>
      </c>
      <c r="C116" s="90">
        <f t="shared" ca="1" si="3"/>
        <v>7.8882042638814758</v>
      </c>
    </row>
    <row r="117" spans="1:3" x14ac:dyDescent="0.15">
      <c r="A117" s="33">
        <v>104</v>
      </c>
      <c r="B117" s="89">
        <f t="shared" ca="1" si="2"/>
        <v>0.70830782750518939</v>
      </c>
      <c r="C117" s="90">
        <f t="shared" ca="1" si="3"/>
        <v>6.5415391375259464</v>
      </c>
    </row>
    <row r="118" spans="1:3" x14ac:dyDescent="0.15">
      <c r="A118" s="33">
        <v>105</v>
      </c>
      <c r="B118" s="89">
        <f t="shared" ca="1" si="2"/>
        <v>0.82922242599519291</v>
      </c>
      <c r="C118" s="90">
        <f t="shared" ca="1" si="3"/>
        <v>7.1461121299759647</v>
      </c>
    </row>
    <row r="119" spans="1:3" x14ac:dyDescent="0.15">
      <c r="A119" s="33">
        <v>106</v>
      </c>
      <c r="B119" s="89">
        <f t="shared" ca="1" si="2"/>
        <v>5.5036438430655643E-3</v>
      </c>
      <c r="C119" s="90">
        <f t="shared" ca="1" si="3"/>
        <v>3.0275182192153278</v>
      </c>
    </row>
    <row r="120" spans="1:3" x14ac:dyDescent="0.15">
      <c r="A120" s="33">
        <v>107</v>
      </c>
      <c r="B120" s="89">
        <f t="shared" ca="1" si="2"/>
        <v>0.90164348278611794</v>
      </c>
      <c r="C120" s="90">
        <f t="shared" ca="1" si="3"/>
        <v>7.5082174139305895</v>
      </c>
    </row>
    <row r="121" spans="1:3" x14ac:dyDescent="0.15">
      <c r="A121" s="33">
        <v>108</v>
      </c>
      <c r="B121" s="89">
        <f t="shared" ca="1" si="2"/>
        <v>0.49381655580915274</v>
      </c>
      <c r="C121" s="90">
        <f t="shared" ca="1" si="3"/>
        <v>5.4690827790457632</v>
      </c>
    </row>
    <row r="122" spans="1:3" x14ac:dyDescent="0.15">
      <c r="A122" s="33">
        <v>109</v>
      </c>
      <c r="B122" s="89">
        <f t="shared" ca="1" si="2"/>
        <v>0.67560522555104363</v>
      </c>
      <c r="C122" s="90">
        <f t="shared" ca="1" si="3"/>
        <v>6.3780261277552182</v>
      </c>
    </row>
    <row r="123" spans="1:3" x14ac:dyDescent="0.15">
      <c r="A123" s="33">
        <v>110</v>
      </c>
      <c r="B123" s="89">
        <f t="shared" ca="1" si="2"/>
        <v>0.7575964504163718</v>
      </c>
      <c r="C123" s="90">
        <f t="shared" ca="1" si="3"/>
        <v>6.7879822520818589</v>
      </c>
    </row>
    <row r="124" spans="1:3" x14ac:dyDescent="0.15">
      <c r="A124" s="33">
        <v>111</v>
      </c>
      <c r="B124" s="89">
        <f t="shared" ca="1" si="2"/>
        <v>0.53233196481370038</v>
      </c>
      <c r="C124" s="90">
        <f t="shared" ca="1" si="3"/>
        <v>5.6616598240685017</v>
      </c>
    </row>
    <row r="125" spans="1:3" x14ac:dyDescent="0.15">
      <c r="A125" s="33">
        <v>112</v>
      </c>
      <c r="B125" s="89">
        <f t="shared" ca="1" si="2"/>
        <v>0.9990428023314214</v>
      </c>
      <c r="C125" s="90">
        <f t="shared" ca="1" si="3"/>
        <v>7.9952140116571071</v>
      </c>
    </row>
    <row r="126" spans="1:3" x14ac:dyDescent="0.15">
      <c r="A126" s="33">
        <v>113</v>
      </c>
      <c r="B126" s="89">
        <f t="shared" ca="1" si="2"/>
        <v>0.73583177580073211</v>
      </c>
      <c r="C126" s="90">
        <f t="shared" ca="1" si="3"/>
        <v>6.6791588790036602</v>
      </c>
    </row>
    <row r="127" spans="1:3" x14ac:dyDescent="0.15">
      <c r="A127" s="33">
        <v>114</v>
      </c>
      <c r="B127" s="89">
        <f t="shared" ca="1" si="2"/>
        <v>0.38989173019854173</v>
      </c>
      <c r="C127" s="90">
        <f t="shared" ca="1" si="3"/>
        <v>4.9494586509927085</v>
      </c>
    </row>
    <row r="128" spans="1:3" x14ac:dyDescent="0.15">
      <c r="A128" s="33">
        <v>115</v>
      </c>
      <c r="B128" s="89">
        <f t="shared" ca="1" si="2"/>
        <v>0.25960035737181131</v>
      </c>
      <c r="C128" s="90">
        <f t="shared" ca="1" si="3"/>
        <v>4.2980017868590563</v>
      </c>
    </row>
    <row r="129" spans="1:3" x14ac:dyDescent="0.15">
      <c r="A129" s="33">
        <v>116</v>
      </c>
      <c r="B129" s="89">
        <f t="shared" ca="1" si="2"/>
        <v>4.5538430384467476E-2</v>
      </c>
      <c r="C129" s="90">
        <f t="shared" ca="1" si="3"/>
        <v>3.2276921519223372</v>
      </c>
    </row>
    <row r="130" spans="1:3" x14ac:dyDescent="0.15">
      <c r="A130" s="33">
        <v>117</v>
      </c>
      <c r="B130" s="89">
        <f t="shared" ca="1" si="2"/>
        <v>0.49605720733670566</v>
      </c>
      <c r="C130" s="90">
        <f t="shared" ca="1" si="3"/>
        <v>5.4802860366835286</v>
      </c>
    </row>
    <row r="131" spans="1:3" x14ac:dyDescent="0.15">
      <c r="A131" s="33">
        <v>118</v>
      </c>
      <c r="B131" s="89">
        <f t="shared" ca="1" si="2"/>
        <v>0.99368257855341491</v>
      </c>
      <c r="C131" s="90">
        <f t="shared" ca="1" si="3"/>
        <v>7.9684128927670743</v>
      </c>
    </row>
    <row r="132" spans="1:3" x14ac:dyDescent="0.15">
      <c r="A132" s="33">
        <v>119</v>
      </c>
      <c r="B132" s="89">
        <f t="shared" ca="1" si="2"/>
        <v>0.69035246525889704</v>
      </c>
      <c r="C132" s="90">
        <f t="shared" ca="1" si="3"/>
        <v>6.4517623262944852</v>
      </c>
    </row>
    <row r="133" spans="1:3" x14ac:dyDescent="0.15">
      <c r="A133" s="33">
        <v>120</v>
      </c>
      <c r="B133" s="89">
        <f t="shared" ca="1" si="2"/>
        <v>0.84273728316840368</v>
      </c>
      <c r="C133" s="90">
        <f t="shared" ca="1" si="3"/>
        <v>7.2136864158420186</v>
      </c>
    </row>
    <row r="134" spans="1:3" x14ac:dyDescent="0.15">
      <c r="A134" s="33">
        <v>121</v>
      </c>
      <c r="B134" s="89">
        <f t="shared" ca="1" si="2"/>
        <v>0.8095456598572891</v>
      </c>
      <c r="C134" s="90">
        <f t="shared" ca="1" si="3"/>
        <v>7.0477282992864456</v>
      </c>
    </row>
    <row r="135" spans="1:3" x14ac:dyDescent="0.15">
      <c r="A135" s="33">
        <v>122</v>
      </c>
      <c r="B135" s="89">
        <f t="shared" ca="1" si="2"/>
        <v>0.33199459250905627</v>
      </c>
      <c r="C135" s="90">
        <f t="shared" ca="1" si="3"/>
        <v>4.6599729625452815</v>
      </c>
    </row>
    <row r="136" spans="1:3" x14ac:dyDescent="0.15">
      <c r="A136" s="33">
        <v>123</v>
      </c>
      <c r="B136" s="89">
        <f t="shared" ca="1" si="2"/>
        <v>0.1265719471175395</v>
      </c>
      <c r="C136" s="90">
        <f t="shared" ca="1" si="3"/>
        <v>3.6328597355876973</v>
      </c>
    </row>
    <row r="137" spans="1:3" x14ac:dyDescent="0.15">
      <c r="A137" s="33">
        <v>124</v>
      </c>
      <c r="B137" s="89">
        <f t="shared" ca="1" si="2"/>
        <v>0.59860786459325954</v>
      </c>
      <c r="C137" s="90">
        <f t="shared" ca="1" si="3"/>
        <v>5.9930393229662977</v>
      </c>
    </row>
    <row r="138" spans="1:3" x14ac:dyDescent="0.15">
      <c r="A138" s="33">
        <v>125</v>
      </c>
      <c r="B138" s="89">
        <f t="shared" ca="1" si="2"/>
        <v>0.36597030144485754</v>
      </c>
      <c r="C138" s="90">
        <f t="shared" ca="1" si="3"/>
        <v>4.8298515072242871</v>
      </c>
    </row>
    <row r="139" spans="1:3" x14ac:dyDescent="0.15">
      <c r="A139" s="33">
        <v>126</v>
      </c>
      <c r="B139" s="89">
        <f t="shared" ca="1" si="2"/>
        <v>0.36045301378503014</v>
      </c>
      <c r="C139" s="90">
        <f t="shared" ca="1" si="3"/>
        <v>4.8022650689251503</v>
      </c>
    </row>
    <row r="140" spans="1:3" x14ac:dyDescent="0.15">
      <c r="A140" s="33">
        <v>127</v>
      </c>
      <c r="B140" s="89">
        <f t="shared" ca="1" si="2"/>
        <v>0.753296764102526</v>
      </c>
      <c r="C140" s="90">
        <f t="shared" ca="1" si="3"/>
        <v>6.7664838205126294</v>
      </c>
    </row>
    <row r="141" spans="1:3" x14ac:dyDescent="0.15">
      <c r="A141" s="33">
        <v>128</v>
      </c>
      <c r="B141" s="89">
        <f t="shared" ca="1" si="2"/>
        <v>0.92695736162626852</v>
      </c>
      <c r="C141" s="90">
        <f t="shared" ca="1" si="3"/>
        <v>7.6347868081313424</v>
      </c>
    </row>
    <row r="142" spans="1:3" x14ac:dyDescent="0.15">
      <c r="A142" s="33">
        <v>129</v>
      </c>
      <c r="B142" s="89">
        <f t="shared" ref="B142:B205" ca="1" si="4">RAND()</f>
        <v>0.92932506426609229</v>
      </c>
      <c r="C142" s="90">
        <f t="shared" ref="C142:C205" ca="1" si="5">3+5*B142</f>
        <v>7.6466253213304611</v>
      </c>
    </row>
    <row r="143" spans="1:3" x14ac:dyDescent="0.15">
      <c r="A143" s="33">
        <v>130</v>
      </c>
      <c r="B143" s="89">
        <f t="shared" ca="1" si="4"/>
        <v>0.24500909549546768</v>
      </c>
      <c r="C143" s="90">
        <f t="shared" ca="1" si="5"/>
        <v>4.2250454774773383</v>
      </c>
    </row>
    <row r="144" spans="1:3" x14ac:dyDescent="0.15">
      <c r="A144" s="33">
        <v>131</v>
      </c>
      <c r="B144" s="89">
        <f t="shared" ca="1" si="4"/>
        <v>0.94147975253163019</v>
      </c>
      <c r="C144" s="90">
        <f t="shared" ca="1" si="5"/>
        <v>7.7073987626581513</v>
      </c>
    </row>
    <row r="145" spans="1:3" x14ac:dyDescent="0.15">
      <c r="A145" s="33">
        <v>132</v>
      </c>
      <c r="B145" s="89">
        <f t="shared" ca="1" si="4"/>
        <v>0.79429030091531982</v>
      </c>
      <c r="C145" s="90">
        <f t="shared" ca="1" si="5"/>
        <v>6.9714515045765992</v>
      </c>
    </row>
    <row r="146" spans="1:3" x14ac:dyDescent="0.15">
      <c r="A146" s="33">
        <v>133</v>
      </c>
      <c r="B146" s="89">
        <f t="shared" ca="1" si="4"/>
        <v>0.27699360130073492</v>
      </c>
      <c r="C146" s="90">
        <f t="shared" ca="1" si="5"/>
        <v>4.3849680065036747</v>
      </c>
    </row>
    <row r="147" spans="1:3" x14ac:dyDescent="0.15">
      <c r="A147" s="33">
        <v>134</v>
      </c>
      <c r="B147" s="89">
        <f t="shared" ca="1" si="4"/>
        <v>0.48905177659411081</v>
      </c>
      <c r="C147" s="90">
        <f t="shared" ca="1" si="5"/>
        <v>5.4452588829705544</v>
      </c>
    </row>
    <row r="148" spans="1:3" x14ac:dyDescent="0.15">
      <c r="A148" s="33">
        <v>135</v>
      </c>
      <c r="B148" s="89">
        <f t="shared" ca="1" si="4"/>
        <v>0.53824833120930926</v>
      </c>
      <c r="C148" s="90">
        <f t="shared" ca="1" si="5"/>
        <v>5.6912416560465466</v>
      </c>
    </row>
    <row r="149" spans="1:3" x14ac:dyDescent="0.15">
      <c r="A149" s="33">
        <v>136</v>
      </c>
      <c r="B149" s="89">
        <f t="shared" ca="1" si="4"/>
        <v>0.96985710440071204</v>
      </c>
      <c r="C149" s="90">
        <f t="shared" ca="1" si="5"/>
        <v>7.8492855220035604</v>
      </c>
    </row>
    <row r="150" spans="1:3" x14ac:dyDescent="0.15">
      <c r="A150" s="33">
        <v>137</v>
      </c>
      <c r="B150" s="89">
        <f t="shared" ca="1" si="4"/>
        <v>0.69094781912115555</v>
      </c>
      <c r="C150" s="90">
        <f t="shared" ca="1" si="5"/>
        <v>6.4547390956057775</v>
      </c>
    </row>
    <row r="151" spans="1:3" x14ac:dyDescent="0.15">
      <c r="A151" s="33">
        <v>138</v>
      </c>
      <c r="B151" s="89">
        <f t="shared" ca="1" si="4"/>
        <v>0.12340894605163433</v>
      </c>
      <c r="C151" s="90">
        <f t="shared" ca="1" si="5"/>
        <v>3.6170447302581716</v>
      </c>
    </row>
    <row r="152" spans="1:3" x14ac:dyDescent="0.15">
      <c r="A152" s="33">
        <v>139</v>
      </c>
      <c r="B152" s="89">
        <f t="shared" ca="1" si="4"/>
        <v>0.97248453359649434</v>
      </c>
      <c r="C152" s="90">
        <f t="shared" ca="1" si="5"/>
        <v>7.8624226679824716</v>
      </c>
    </row>
    <row r="153" spans="1:3" x14ac:dyDescent="0.15">
      <c r="A153" s="33">
        <v>140</v>
      </c>
      <c r="B153" s="89">
        <f t="shared" ca="1" si="4"/>
        <v>0.89471889268465898</v>
      </c>
      <c r="C153" s="90">
        <f t="shared" ca="1" si="5"/>
        <v>7.4735944634232947</v>
      </c>
    </row>
    <row r="154" spans="1:3" x14ac:dyDescent="0.15">
      <c r="A154" s="33">
        <v>141</v>
      </c>
      <c r="B154" s="89">
        <f t="shared" ca="1" si="4"/>
        <v>0.43815100157302822</v>
      </c>
      <c r="C154" s="90">
        <f t="shared" ca="1" si="5"/>
        <v>5.1907550078651408</v>
      </c>
    </row>
    <row r="155" spans="1:3" x14ac:dyDescent="0.15">
      <c r="A155" s="33">
        <v>142</v>
      </c>
      <c r="B155" s="89">
        <f t="shared" ca="1" si="4"/>
        <v>0.87609800188141385</v>
      </c>
      <c r="C155" s="90">
        <f t="shared" ca="1" si="5"/>
        <v>7.3804900094070689</v>
      </c>
    </row>
    <row r="156" spans="1:3" x14ac:dyDescent="0.15">
      <c r="A156" s="33">
        <v>143</v>
      </c>
      <c r="B156" s="89">
        <f t="shared" ca="1" si="4"/>
        <v>0.70816586755262134</v>
      </c>
      <c r="C156" s="90">
        <f t="shared" ca="1" si="5"/>
        <v>6.5408293377631068</v>
      </c>
    </row>
    <row r="157" spans="1:3" x14ac:dyDescent="0.15">
      <c r="A157" s="33">
        <v>144</v>
      </c>
      <c r="B157" s="89">
        <f t="shared" ca="1" si="4"/>
        <v>0.58496819480631335</v>
      </c>
      <c r="C157" s="90">
        <f t="shared" ca="1" si="5"/>
        <v>5.9248409740315662</v>
      </c>
    </row>
    <row r="158" spans="1:3" x14ac:dyDescent="0.15">
      <c r="A158" s="33">
        <v>145</v>
      </c>
      <c r="B158" s="89">
        <f t="shared" ca="1" si="4"/>
        <v>0.98584796282193965</v>
      </c>
      <c r="C158" s="90">
        <f t="shared" ca="1" si="5"/>
        <v>7.9292398141096978</v>
      </c>
    </row>
    <row r="159" spans="1:3" x14ac:dyDescent="0.15">
      <c r="A159" s="33">
        <v>146</v>
      </c>
      <c r="B159" s="89">
        <f t="shared" ca="1" si="4"/>
        <v>0.83712071736973492</v>
      </c>
      <c r="C159" s="90">
        <f t="shared" ca="1" si="5"/>
        <v>7.185603586848675</v>
      </c>
    </row>
    <row r="160" spans="1:3" x14ac:dyDescent="0.15">
      <c r="A160" s="33">
        <v>147</v>
      </c>
      <c r="B160" s="89">
        <f t="shared" ca="1" si="4"/>
        <v>0.10583959525259157</v>
      </c>
      <c r="C160" s="90">
        <f t="shared" ca="1" si="5"/>
        <v>3.5291979762629579</v>
      </c>
    </row>
    <row r="161" spans="1:3" x14ac:dyDescent="0.15">
      <c r="A161" s="33">
        <v>148</v>
      </c>
      <c r="B161" s="89">
        <f t="shared" ca="1" si="4"/>
        <v>0.27527249133511522</v>
      </c>
      <c r="C161" s="90">
        <f t="shared" ca="1" si="5"/>
        <v>4.3763624566755759</v>
      </c>
    </row>
    <row r="162" spans="1:3" x14ac:dyDescent="0.15">
      <c r="A162" s="33">
        <v>149</v>
      </c>
      <c r="B162" s="89">
        <f t="shared" ca="1" si="4"/>
        <v>0.14251128130102786</v>
      </c>
      <c r="C162" s="90">
        <f t="shared" ca="1" si="5"/>
        <v>3.7125564065051391</v>
      </c>
    </row>
    <row r="163" spans="1:3" x14ac:dyDescent="0.15">
      <c r="A163" s="33">
        <v>150</v>
      </c>
      <c r="B163" s="89">
        <f t="shared" ca="1" si="4"/>
        <v>0.32053590920170549</v>
      </c>
      <c r="C163" s="90">
        <f t="shared" ca="1" si="5"/>
        <v>4.6026795460085275</v>
      </c>
    </row>
    <row r="164" spans="1:3" x14ac:dyDescent="0.15">
      <c r="A164" s="33">
        <v>151</v>
      </c>
      <c r="B164" s="89">
        <f t="shared" ca="1" si="4"/>
        <v>0.51719061636734331</v>
      </c>
      <c r="C164" s="90">
        <f t="shared" ca="1" si="5"/>
        <v>5.5859530818367169</v>
      </c>
    </row>
    <row r="165" spans="1:3" x14ac:dyDescent="0.15">
      <c r="A165" s="33">
        <v>152</v>
      </c>
      <c r="B165" s="89">
        <f t="shared" ca="1" si="4"/>
        <v>0.41389195359667963</v>
      </c>
      <c r="C165" s="90">
        <f t="shared" ca="1" si="5"/>
        <v>5.0694597679833979</v>
      </c>
    </row>
    <row r="166" spans="1:3" x14ac:dyDescent="0.15">
      <c r="A166" s="33">
        <v>153</v>
      </c>
      <c r="B166" s="89">
        <f t="shared" ca="1" si="4"/>
        <v>0.74784740784441972</v>
      </c>
      <c r="C166" s="90">
        <f t="shared" ca="1" si="5"/>
        <v>6.7392370392220986</v>
      </c>
    </row>
    <row r="167" spans="1:3" x14ac:dyDescent="0.15">
      <c r="A167" s="33">
        <v>154</v>
      </c>
      <c r="B167" s="89">
        <f t="shared" ca="1" si="4"/>
        <v>0.42136272892839743</v>
      </c>
      <c r="C167" s="90">
        <f t="shared" ca="1" si="5"/>
        <v>5.1068136446419867</v>
      </c>
    </row>
    <row r="168" spans="1:3" x14ac:dyDescent="0.15">
      <c r="A168" s="33">
        <v>155</v>
      </c>
      <c r="B168" s="89">
        <f t="shared" ca="1" si="4"/>
        <v>0.99537299897844622</v>
      </c>
      <c r="C168" s="90">
        <f t="shared" ca="1" si="5"/>
        <v>7.9768649948922308</v>
      </c>
    </row>
    <row r="169" spans="1:3" x14ac:dyDescent="0.15">
      <c r="A169" s="33">
        <v>156</v>
      </c>
      <c r="B169" s="89">
        <f t="shared" ca="1" si="4"/>
        <v>0.81327399693003699</v>
      </c>
      <c r="C169" s="90">
        <f t="shared" ca="1" si="5"/>
        <v>7.0663699846501853</v>
      </c>
    </row>
    <row r="170" spans="1:3" x14ac:dyDescent="0.15">
      <c r="A170" s="33">
        <v>157</v>
      </c>
      <c r="B170" s="89">
        <f t="shared" ca="1" si="4"/>
        <v>0.59745792407370468</v>
      </c>
      <c r="C170" s="90">
        <f t="shared" ca="1" si="5"/>
        <v>5.9872896203685233</v>
      </c>
    </row>
    <row r="171" spans="1:3" x14ac:dyDescent="0.15">
      <c r="A171" s="33">
        <v>158</v>
      </c>
      <c r="B171" s="89">
        <f t="shared" ca="1" si="4"/>
        <v>0.68235189994193179</v>
      </c>
      <c r="C171" s="90">
        <f t="shared" ca="1" si="5"/>
        <v>6.4117594997096585</v>
      </c>
    </row>
    <row r="172" spans="1:3" x14ac:dyDescent="0.15">
      <c r="A172" s="33">
        <v>159</v>
      </c>
      <c r="B172" s="89">
        <f t="shared" ca="1" si="4"/>
        <v>0.41321537190623137</v>
      </c>
      <c r="C172" s="90">
        <f t="shared" ca="1" si="5"/>
        <v>5.0660768595311563</v>
      </c>
    </row>
    <row r="173" spans="1:3" x14ac:dyDescent="0.15">
      <c r="A173" s="33">
        <v>160</v>
      </c>
      <c r="B173" s="89">
        <f t="shared" ca="1" si="4"/>
        <v>0.8677639753238513</v>
      </c>
      <c r="C173" s="90">
        <f t="shared" ca="1" si="5"/>
        <v>7.3388198766192563</v>
      </c>
    </row>
    <row r="174" spans="1:3" x14ac:dyDescent="0.15">
      <c r="A174" s="33">
        <v>161</v>
      </c>
      <c r="B174" s="89">
        <f t="shared" ca="1" si="4"/>
        <v>0.27811500766351505</v>
      </c>
      <c r="C174" s="90">
        <f t="shared" ca="1" si="5"/>
        <v>4.390575038317575</v>
      </c>
    </row>
    <row r="175" spans="1:3" x14ac:dyDescent="0.15">
      <c r="A175" s="33">
        <v>162</v>
      </c>
      <c r="B175" s="89">
        <f t="shared" ca="1" si="4"/>
        <v>0.67356745722609868</v>
      </c>
      <c r="C175" s="90">
        <f t="shared" ca="1" si="5"/>
        <v>6.3678372861304933</v>
      </c>
    </row>
    <row r="176" spans="1:3" x14ac:dyDescent="0.15">
      <c r="A176" s="33">
        <v>163</v>
      </c>
      <c r="B176" s="89">
        <f t="shared" ca="1" si="4"/>
        <v>0.71810213335738049</v>
      </c>
      <c r="C176" s="90">
        <f t="shared" ca="1" si="5"/>
        <v>6.5905106667869022</v>
      </c>
    </row>
    <row r="177" spans="1:3" x14ac:dyDescent="0.15">
      <c r="A177" s="33">
        <v>164</v>
      </c>
      <c r="B177" s="89">
        <f t="shared" ca="1" si="4"/>
        <v>0.21855340966267667</v>
      </c>
      <c r="C177" s="90">
        <f t="shared" ca="1" si="5"/>
        <v>4.0927670483133838</v>
      </c>
    </row>
    <row r="178" spans="1:3" x14ac:dyDescent="0.15">
      <c r="A178" s="33">
        <v>165</v>
      </c>
      <c r="B178" s="89">
        <f t="shared" ca="1" si="4"/>
        <v>0.76264176641772186</v>
      </c>
      <c r="C178" s="90">
        <f t="shared" ca="1" si="5"/>
        <v>6.8132088320886091</v>
      </c>
    </row>
    <row r="179" spans="1:3" x14ac:dyDescent="0.15">
      <c r="A179" s="33">
        <v>166</v>
      </c>
      <c r="B179" s="89">
        <f t="shared" ca="1" si="4"/>
        <v>0.34709460017349469</v>
      </c>
      <c r="C179" s="90">
        <f t="shared" ca="1" si="5"/>
        <v>4.7354730008674739</v>
      </c>
    </row>
    <row r="180" spans="1:3" x14ac:dyDescent="0.15">
      <c r="A180" s="33">
        <v>167</v>
      </c>
      <c r="B180" s="89">
        <f t="shared" ca="1" si="4"/>
        <v>0.40021520091567686</v>
      </c>
      <c r="C180" s="90">
        <f t="shared" ca="1" si="5"/>
        <v>5.0010760045783842</v>
      </c>
    </row>
    <row r="181" spans="1:3" x14ac:dyDescent="0.15">
      <c r="A181" s="33">
        <v>168</v>
      </c>
      <c r="B181" s="89">
        <f t="shared" ca="1" si="4"/>
        <v>0.55973739791089283</v>
      </c>
      <c r="C181" s="90">
        <f t="shared" ca="1" si="5"/>
        <v>5.7986869895544642</v>
      </c>
    </row>
    <row r="182" spans="1:3" x14ac:dyDescent="0.15">
      <c r="A182" s="33">
        <v>169</v>
      </c>
      <c r="B182" s="89">
        <f t="shared" ca="1" si="4"/>
        <v>0.12166103282664842</v>
      </c>
      <c r="C182" s="90">
        <f t="shared" ca="1" si="5"/>
        <v>3.6083051641332422</v>
      </c>
    </row>
    <row r="183" spans="1:3" x14ac:dyDescent="0.15">
      <c r="A183" s="33">
        <v>170</v>
      </c>
      <c r="B183" s="89">
        <f t="shared" ca="1" si="4"/>
        <v>0.26704956940860103</v>
      </c>
      <c r="C183" s="90">
        <f t="shared" ca="1" si="5"/>
        <v>4.3352478470430054</v>
      </c>
    </row>
    <row r="184" spans="1:3" x14ac:dyDescent="0.15">
      <c r="A184" s="33">
        <v>171</v>
      </c>
      <c r="B184" s="89">
        <f t="shared" ca="1" si="4"/>
        <v>6.4680798241626314E-2</v>
      </c>
      <c r="C184" s="90">
        <f t="shared" ca="1" si="5"/>
        <v>3.3234039912081315</v>
      </c>
    </row>
    <row r="185" spans="1:3" x14ac:dyDescent="0.15">
      <c r="A185" s="33">
        <v>172</v>
      </c>
      <c r="B185" s="89">
        <f t="shared" ca="1" si="4"/>
        <v>0.52195542310389187</v>
      </c>
      <c r="C185" s="90">
        <f t="shared" ca="1" si="5"/>
        <v>5.6097771155194591</v>
      </c>
    </row>
    <row r="186" spans="1:3" x14ac:dyDescent="0.15">
      <c r="A186" s="33">
        <v>173</v>
      </c>
      <c r="B186" s="89">
        <f t="shared" ca="1" si="4"/>
        <v>0.95319882614123508</v>
      </c>
      <c r="C186" s="90">
        <f t="shared" ca="1" si="5"/>
        <v>7.7659941307061757</v>
      </c>
    </row>
    <row r="187" spans="1:3" x14ac:dyDescent="0.15">
      <c r="A187" s="33">
        <v>174</v>
      </c>
      <c r="B187" s="89">
        <f t="shared" ca="1" si="4"/>
        <v>0.9978911463896154</v>
      </c>
      <c r="C187" s="90">
        <f t="shared" ca="1" si="5"/>
        <v>7.9894557319480768</v>
      </c>
    </row>
    <row r="188" spans="1:3" x14ac:dyDescent="0.15">
      <c r="A188" s="33">
        <v>175</v>
      </c>
      <c r="B188" s="89">
        <f t="shared" ca="1" si="4"/>
        <v>0.67399839683460216</v>
      </c>
      <c r="C188" s="90">
        <f t="shared" ca="1" si="5"/>
        <v>6.3699919841730104</v>
      </c>
    </row>
    <row r="189" spans="1:3" x14ac:dyDescent="0.15">
      <c r="A189" s="33">
        <v>176</v>
      </c>
      <c r="B189" s="89">
        <f t="shared" ca="1" si="4"/>
        <v>0.17720524641002455</v>
      </c>
      <c r="C189" s="90">
        <f t="shared" ca="1" si="5"/>
        <v>3.8860262320501229</v>
      </c>
    </row>
    <row r="190" spans="1:3" x14ac:dyDescent="0.15">
      <c r="A190" s="33">
        <v>177</v>
      </c>
      <c r="B190" s="89">
        <f t="shared" ca="1" si="4"/>
        <v>7.3288169006849202E-2</v>
      </c>
      <c r="C190" s="90">
        <f t="shared" ca="1" si="5"/>
        <v>3.366440845034246</v>
      </c>
    </row>
    <row r="191" spans="1:3" x14ac:dyDescent="0.15">
      <c r="A191" s="33">
        <v>178</v>
      </c>
      <c r="B191" s="89">
        <f t="shared" ca="1" si="4"/>
        <v>0.28036505117588018</v>
      </c>
      <c r="C191" s="90">
        <f t="shared" ca="1" si="5"/>
        <v>4.4018252558794009</v>
      </c>
    </row>
    <row r="192" spans="1:3" x14ac:dyDescent="0.15">
      <c r="A192" s="33">
        <v>179</v>
      </c>
      <c r="B192" s="89">
        <f t="shared" ca="1" si="4"/>
        <v>0.97283818917181242</v>
      </c>
      <c r="C192" s="90">
        <f t="shared" ca="1" si="5"/>
        <v>7.864190945859062</v>
      </c>
    </row>
    <row r="193" spans="1:3" x14ac:dyDescent="0.15">
      <c r="A193" s="33">
        <v>180</v>
      </c>
      <c r="B193" s="89">
        <f t="shared" ca="1" si="4"/>
        <v>0.86890711742841742</v>
      </c>
      <c r="C193" s="90">
        <f t="shared" ca="1" si="5"/>
        <v>7.3445355871420874</v>
      </c>
    </row>
    <row r="194" spans="1:3" x14ac:dyDescent="0.15">
      <c r="A194" s="33">
        <v>181</v>
      </c>
      <c r="B194" s="89">
        <f t="shared" ca="1" si="4"/>
        <v>0.69905110342187426</v>
      </c>
      <c r="C194" s="90">
        <f t="shared" ca="1" si="5"/>
        <v>6.4952555171093715</v>
      </c>
    </row>
    <row r="195" spans="1:3" x14ac:dyDescent="0.15">
      <c r="A195" s="33">
        <v>182</v>
      </c>
      <c r="B195" s="89">
        <f t="shared" ca="1" si="4"/>
        <v>0.22707158714037856</v>
      </c>
      <c r="C195" s="90">
        <f t="shared" ca="1" si="5"/>
        <v>4.1353579357018928</v>
      </c>
    </row>
    <row r="196" spans="1:3" x14ac:dyDescent="0.15">
      <c r="A196" s="33">
        <v>183</v>
      </c>
      <c r="B196" s="89">
        <f t="shared" ca="1" si="4"/>
        <v>0.99874252850044021</v>
      </c>
      <c r="C196" s="90">
        <f t="shared" ca="1" si="5"/>
        <v>7.9937126425022011</v>
      </c>
    </row>
    <row r="197" spans="1:3" x14ac:dyDescent="0.15">
      <c r="A197" s="33">
        <v>184</v>
      </c>
      <c r="B197" s="89">
        <f t="shared" ca="1" si="4"/>
        <v>0.59820119607630828</v>
      </c>
      <c r="C197" s="90">
        <f t="shared" ca="1" si="5"/>
        <v>5.9910059803815416</v>
      </c>
    </row>
    <row r="198" spans="1:3" x14ac:dyDescent="0.15">
      <c r="A198" s="33">
        <v>185</v>
      </c>
      <c r="B198" s="89">
        <f t="shared" ca="1" si="4"/>
        <v>0.64987025691347078</v>
      </c>
      <c r="C198" s="90">
        <f t="shared" ca="1" si="5"/>
        <v>6.2493512845673536</v>
      </c>
    </row>
    <row r="199" spans="1:3" x14ac:dyDescent="0.15">
      <c r="A199" s="33">
        <v>186</v>
      </c>
      <c r="B199" s="89">
        <f t="shared" ca="1" si="4"/>
        <v>0.90898713894298178</v>
      </c>
      <c r="C199" s="90">
        <f t="shared" ca="1" si="5"/>
        <v>7.5449356947149084</v>
      </c>
    </row>
    <row r="200" spans="1:3" x14ac:dyDescent="0.15">
      <c r="A200" s="33">
        <v>187</v>
      </c>
      <c r="B200" s="89">
        <f t="shared" ca="1" si="4"/>
        <v>0.50811151222856399</v>
      </c>
      <c r="C200" s="90">
        <f t="shared" ca="1" si="5"/>
        <v>5.5405575611428199</v>
      </c>
    </row>
    <row r="201" spans="1:3" x14ac:dyDescent="0.15">
      <c r="A201" s="33">
        <v>188</v>
      </c>
      <c r="B201" s="89">
        <f t="shared" ca="1" si="4"/>
        <v>0.72463310631522326</v>
      </c>
      <c r="C201" s="90">
        <f t="shared" ca="1" si="5"/>
        <v>6.6231655315761166</v>
      </c>
    </row>
    <row r="202" spans="1:3" x14ac:dyDescent="0.15">
      <c r="A202" s="33">
        <v>189</v>
      </c>
      <c r="B202" s="89">
        <f t="shared" ca="1" si="4"/>
        <v>0.81937320119546442</v>
      </c>
      <c r="C202" s="90">
        <f t="shared" ca="1" si="5"/>
        <v>7.0968660059773221</v>
      </c>
    </row>
    <row r="203" spans="1:3" x14ac:dyDescent="0.15">
      <c r="A203" s="33">
        <v>190</v>
      </c>
      <c r="B203" s="89">
        <f t="shared" ca="1" si="4"/>
        <v>0.58729558856739617</v>
      </c>
      <c r="C203" s="90">
        <f t="shared" ca="1" si="5"/>
        <v>5.9364779428369809</v>
      </c>
    </row>
    <row r="204" spans="1:3" x14ac:dyDescent="0.15">
      <c r="A204" s="33">
        <v>191</v>
      </c>
      <c r="B204" s="89">
        <f t="shared" ca="1" si="4"/>
        <v>0.88950016190071157</v>
      </c>
      <c r="C204" s="90">
        <f t="shared" ca="1" si="5"/>
        <v>7.4475008095035582</v>
      </c>
    </row>
    <row r="205" spans="1:3" x14ac:dyDescent="0.15">
      <c r="A205" s="33">
        <v>192</v>
      </c>
      <c r="B205" s="89">
        <f t="shared" ca="1" si="4"/>
        <v>0.40255586691972101</v>
      </c>
      <c r="C205" s="90">
        <f t="shared" ca="1" si="5"/>
        <v>5.0127793345986049</v>
      </c>
    </row>
    <row r="206" spans="1:3" x14ac:dyDescent="0.15">
      <c r="A206" s="33">
        <v>193</v>
      </c>
      <c r="B206" s="89">
        <f t="shared" ref="B206:B269" ca="1" si="6">RAND()</f>
        <v>0.52481437238639739</v>
      </c>
      <c r="C206" s="90">
        <f t="shared" ref="C206:C269" ca="1" si="7">3+5*B206</f>
        <v>5.6240718619319869</v>
      </c>
    </row>
    <row r="207" spans="1:3" x14ac:dyDescent="0.15">
      <c r="A207" s="33">
        <v>194</v>
      </c>
      <c r="B207" s="89">
        <f t="shared" ca="1" si="6"/>
        <v>4.1978055340829989E-3</v>
      </c>
      <c r="C207" s="90">
        <f t="shared" ca="1" si="7"/>
        <v>3.020989027670415</v>
      </c>
    </row>
    <row r="208" spans="1:3" x14ac:dyDescent="0.15">
      <c r="A208" s="33">
        <v>195</v>
      </c>
      <c r="B208" s="89">
        <f t="shared" ca="1" si="6"/>
        <v>0.48546914683877063</v>
      </c>
      <c r="C208" s="90">
        <f t="shared" ca="1" si="7"/>
        <v>5.4273457341938531</v>
      </c>
    </row>
    <row r="209" spans="1:3" x14ac:dyDescent="0.15">
      <c r="A209" s="33">
        <v>196</v>
      </c>
      <c r="B209" s="89">
        <f t="shared" ca="1" si="6"/>
        <v>0.49919373848645199</v>
      </c>
      <c r="C209" s="90">
        <f t="shared" ca="1" si="7"/>
        <v>5.4959686924322604</v>
      </c>
    </row>
    <row r="210" spans="1:3" x14ac:dyDescent="0.15">
      <c r="A210" s="33">
        <v>197</v>
      </c>
      <c r="B210" s="89">
        <f t="shared" ca="1" si="6"/>
        <v>5.6203013833561188E-3</v>
      </c>
      <c r="C210" s="90">
        <f t="shared" ca="1" si="7"/>
        <v>3.0281015069167805</v>
      </c>
    </row>
    <row r="211" spans="1:3" x14ac:dyDescent="0.15">
      <c r="A211" s="33">
        <v>198</v>
      </c>
      <c r="B211" s="89">
        <f t="shared" ca="1" si="6"/>
        <v>0.73050244947684784</v>
      </c>
      <c r="C211" s="90">
        <f t="shared" ca="1" si="7"/>
        <v>6.6525122473842391</v>
      </c>
    </row>
    <row r="212" spans="1:3" x14ac:dyDescent="0.15">
      <c r="A212" s="33">
        <v>199</v>
      </c>
      <c r="B212" s="89">
        <f t="shared" ca="1" si="6"/>
        <v>0.74565161272248281</v>
      </c>
      <c r="C212" s="90">
        <f t="shared" ca="1" si="7"/>
        <v>6.7282580636124143</v>
      </c>
    </row>
    <row r="213" spans="1:3" x14ac:dyDescent="0.15">
      <c r="A213" s="33">
        <v>200</v>
      </c>
      <c r="B213" s="89">
        <f t="shared" ca="1" si="6"/>
        <v>0.28915382737503215</v>
      </c>
      <c r="C213" s="90">
        <f t="shared" ca="1" si="7"/>
        <v>4.4457691368751604</v>
      </c>
    </row>
    <row r="214" spans="1:3" x14ac:dyDescent="0.15">
      <c r="A214" s="33">
        <v>201</v>
      </c>
      <c r="B214" s="89">
        <f t="shared" ca="1" si="6"/>
        <v>0.15501257740626939</v>
      </c>
      <c r="C214" s="90">
        <f t="shared" ca="1" si="7"/>
        <v>3.7750628870313472</v>
      </c>
    </row>
    <row r="215" spans="1:3" x14ac:dyDescent="0.15">
      <c r="A215" s="33">
        <v>202</v>
      </c>
      <c r="B215" s="89">
        <f t="shared" ca="1" si="6"/>
        <v>6.7526356108352781E-2</v>
      </c>
      <c r="C215" s="90">
        <f t="shared" ca="1" si="7"/>
        <v>3.3376317805417637</v>
      </c>
    </row>
    <row r="216" spans="1:3" x14ac:dyDescent="0.15">
      <c r="A216" s="33">
        <v>203</v>
      </c>
      <c r="B216" s="89">
        <f t="shared" ca="1" si="6"/>
        <v>0.2934287314592452</v>
      </c>
      <c r="C216" s="90">
        <f t="shared" ca="1" si="7"/>
        <v>4.4671436572962264</v>
      </c>
    </row>
    <row r="217" spans="1:3" x14ac:dyDescent="0.15">
      <c r="A217" s="33">
        <v>204</v>
      </c>
      <c r="B217" s="89">
        <f t="shared" ca="1" si="6"/>
        <v>0.60215972504147863</v>
      </c>
      <c r="C217" s="90">
        <f t="shared" ca="1" si="7"/>
        <v>6.0107986252073928</v>
      </c>
    </row>
    <row r="218" spans="1:3" x14ac:dyDescent="0.15">
      <c r="A218" s="33">
        <v>205</v>
      </c>
      <c r="B218" s="89">
        <f t="shared" ca="1" si="6"/>
        <v>0.83852427020054754</v>
      </c>
      <c r="C218" s="90">
        <f t="shared" ca="1" si="7"/>
        <v>7.1926213510027379</v>
      </c>
    </row>
    <row r="219" spans="1:3" x14ac:dyDescent="0.15">
      <c r="A219" s="33">
        <v>206</v>
      </c>
      <c r="B219" s="89">
        <f t="shared" ca="1" si="6"/>
        <v>0.93213299246910986</v>
      </c>
      <c r="C219" s="90">
        <f t="shared" ca="1" si="7"/>
        <v>7.6606649623455496</v>
      </c>
    </row>
    <row r="220" spans="1:3" x14ac:dyDescent="0.15">
      <c r="A220" s="33">
        <v>207</v>
      </c>
      <c r="B220" s="89">
        <f t="shared" ca="1" si="6"/>
        <v>0.43269197589256059</v>
      </c>
      <c r="C220" s="90">
        <f t="shared" ca="1" si="7"/>
        <v>5.1634598794628026</v>
      </c>
    </row>
    <row r="221" spans="1:3" x14ac:dyDescent="0.15">
      <c r="A221" s="33">
        <v>208</v>
      </c>
      <c r="B221" s="89">
        <f t="shared" ca="1" si="6"/>
        <v>0.81847678297947801</v>
      </c>
      <c r="C221" s="90">
        <f t="shared" ca="1" si="7"/>
        <v>7.0923839148973897</v>
      </c>
    </row>
    <row r="222" spans="1:3" x14ac:dyDescent="0.15">
      <c r="A222" s="33">
        <v>209</v>
      </c>
      <c r="B222" s="89">
        <f t="shared" ca="1" si="6"/>
        <v>0.66396237846519934</v>
      </c>
      <c r="C222" s="90">
        <f t="shared" ca="1" si="7"/>
        <v>6.3198118923259967</v>
      </c>
    </row>
    <row r="223" spans="1:3" x14ac:dyDescent="0.15">
      <c r="A223" s="33">
        <v>210</v>
      </c>
      <c r="B223" s="89">
        <f t="shared" ca="1" si="6"/>
        <v>0.23117517769838092</v>
      </c>
      <c r="C223" s="90">
        <f t="shared" ca="1" si="7"/>
        <v>4.155875888491904</v>
      </c>
    </row>
    <row r="224" spans="1:3" x14ac:dyDescent="0.15">
      <c r="A224" s="33">
        <v>211</v>
      </c>
      <c r="B224" s="89">
        <f t="shared" ca="1" si="6"/>
        <v>0.62911893646213135</v>
      </c>
      <c r="C224" s="90">
        <f t="shared" ca="1" si="7"/>
        <v>6.1455946823106569</v>
      </c>
    </row>
    <row r="225" spans="1:3" x14ac:dyDescent="0.15">
      <c r="A225" s="33">
        <v>212</v>
      </c>
      <c r="B225" s="89">
        <f t="shared" ca="1" si="6"/>
        <v>0.92722621033311392</v>
      </c>
      <c r="C225" s="90">
        <f t="shared" ca="1" si="7"/>
        <v>7.6361310516655694</v>
      </c>
    </row>
    <row r="226" spans="1:3" x14ac:dyDescent="0.15">
      <c r="A226" s="33">
        <v>213</v>
      </c>
      <c r="B226" s="89">
        <f t="shared" ca="1" si="6"/>
        <v>0.19226355611327717</v>
      </c>
      <c r="C226" s="90">
        <f t="shared" ca="1" si="7"/>
        <v>3.9613177805663859</v>
      </c>
    </row>
    <row r="227" spans="1:3" x14ac:dyDescent="0.15">
      <c r="A227" s="33">
        <v>214</v>
      </c>
      <c r="B227" s="89">
        <f t="shared" ca="1" si="6"/>
        <v>0.49195970290267954</v>
      </c>
      <c r="C227" s="90">
        <f t="shared" ca="1" si="7"/>
        <v>5.4597985145133983</v>
      </c>
    </row>
    <row r="228" spans="1:3" x14ac:dyDescent="0.15">
      <c r="A228" s="33">
        <v>215</v>
      </c>
      <c r="B228" s="89">
        <f t="shared" ca="1" si="6"/>
        <v>0.18837083977338454</v>
      </c>
      <c r="C228" s="90">
        <f t="shared" ca="1" si="7"/>
        <v>3.9418541988669227</v>
      </c>
    </row>
    <row r="229" spans="1:3" x14ac:dyDescent="0.15">
      <c r="A229" s="33">
        <v>216</v>
      </c>
      <c r="B229" s="89">
        <f t="shared" ca="1" si="6"/>
        <v>0.30376381276961106</v>
      </c>
      <c r="C229" s="90">
        <f t="shared" ca="1" si="7"/>
        <v>4.5188190638480554</v>
      </c>
    </row>
    <row r="230" spans="1:3" x14ac:dyDescent="0.15">
      <c r="A230" s="33">
        <v>217</v>
      </c>
      <c r="B230" s="89">
        <f t="shared" ca="1" si="6"/>
        <v>0.82542957444318177</v>
      </c>
      <c r="C230" s="90">
        <f t="shared" ca="1" si="7"/>
        <v>7.1271478722159092</v>
      </c>
    </row>
    <row r="231" spans="1:3" x14ac:dyDescent="0.15">
      <c r="A231" s="33">
        <v>218</v>
      </c>
      <c r="B231" s="89">
        <f t="shared" ca="1" si="6"/>
        <v>0.39337498524206149</v>
      </c>
      <c r="C231" s="90">
        <f t="shared" ca="1" si="7"/>
        <v>4.9668749262103074</v>
      </c>
    </row>
    <row r="232" spans="1:3" x14ac:dyDescent="0.15">
      <c r="A232" s="33">
        <v>219</v>
      </c>
      <c r="B232" s="89">
        <f t="shared" ca="1" si="6"/>
        <v>0.81168872300113115</v>
      </c>
      <c r="C232" s="90">
        <f t="shared" ca="1" si="7"/>
        <v>7.0584436150056558</v>
      </c>
    </row>
    <row r="233" spans="1:3" x14ac:dyDescent="0.15">
      <c r="A233" s="33">
        <v>220</v>
      </c>
      <c r="B233" s="89">
        <f t="shared" ca="1" si="6"/>
        <v>0.38185432719178192</v>
      </c>
      <c r="C233" s="90">
        <f t="shared" ca="1" si="7"/>
        <v>4.909271635958909</v>
      </c>
    </row>
    <row r="234" spans="1:3" x14ac:dyDescent="0.15">
      <c r="A234" s="33">
        <v>221</v>
      </c>
      <c r="B234" s="89">
        <f t="shared" ca="1" si="6"/>
        <v>0.14536544160710796</v>
      </c>
      <c r="C234" s="90">
        <f t="shared" ca="1" si="7"/>
        <v>3.72682720803554</v>
      </c>
    </row>
    <row r="235" spans="1:3" x14ac:dyDescent="0.15">
      <c r="A235" s="33">
        <v>222</v>
      </c>
      <c r="B235" s="89">
        <f t="shared" ca="1" si="6"/>
        <v>0.3829210176412422</v>
      </c>
      <c r="C235" s="90">
        <f t="shared" ca="1" si="7"/>
        <v>4.9146050882062111</v>
      </c>
    </row>
    <row r="236" spans="1:3" x14ac:dyDescent="0.15">
      <c r="A236" s="33">
        <v>223</v>
      </c>
      <c r="B236" s="89">
        <f t="shared" ca="1" si="6"/>
        <v>0.15282891807406163</v>
      </c>
      <c r="C236" s="90">
        <f t="shared" ca="1" si="7"/>
        <v>3.7641445903703081</v>
      </c>
    </row>
    <row r="237" spans="1:3" x14ac:dyDescent="0.15">
      <c r="A237" s="33">
        <v>224</v>
      </c>
      <c r="B237" s="89">
        <f t="shared" ca="1" si="6"/>
        <v>0.41985081086238396</v>
      </c>
      <c r="C237" s="90">
        <f t="shared" ca="1" si="7"/>
        <v>5.0992540543119196</v>
      </c>
    </row>
    <row r="238" spans="1:3" x14ac:dyDescent="0.15">
      <c r="A238" s="33">
        <v>225</v>
      </c>
      <c r="B238" s="89">
        <f t="shared" ca="1" si="6"/>
        <v>0.72303121716958518</v>
      </c>
      <c r="C238" s="90">
        <f t="shared" ca="1" si="7"/>
        <v>6.6151560858479259</v>
      </c>
    </row>
    <row r="239" spans="1:3" x14ac:dyDescent="0.15">
      <c r="A239" s="33">
        <v>226</v>
      </c>
      <c r="B239" s="89">
        <f t="shared" ca="1" si="6"/>
        <v>0.85297965566502398</v>
      </c>
      <c r="C239" s="90">
        <f t="shared" ca="1" si="7"/>
        <v>7.2648982783251199</v>
      </c>
    </row>
    <row r="240" spans="1:3" x14ac:dyDescent="0.15">
      <c r="A240" s="33">
        <v>227</v>
      </c>
      <c r="B240" s="89">
        <f t="shared" ca="1" si="6"/>
        <v>0.80092155394299169</v>
      </c>
      <c r="C240" s="90">
        <f t="shared" ca="1" si="7"/>
        <v>7.0046077697149585</v>
      </c>
    </row>
    <row r="241" spans="1:3" x14ac:dyDescent="0.15">
      <c r="A241" s="33">
        <v>228</v>
      </c>
      <c r="B241" s="89">
        <f t="shared" ca="1" si="6"/>
        <v>0.79289457058296819</v>
      </c>
      <c r="C241" s="90">
        <f t="shared" ca="1" si="7"/>
        <v>6.9644728529148408</v>
      </c>
    </row>
    <row r="242" spans="1:3" x14ac:dyDescent="0.15">
      <c r="A242" s="33">
        <v>229</v>
      </c>
      <c r="B242" s="89">
        <f t="shared" ca="1" si="6"/>
        <v>0.90836460105872152</v>
      </c>
      <c r="C242" s="90">
        <f t="shared" ca="1" si="7"/>
        <v>7.5418230052936073</v>
      </c>
    </row>
    <row r="243" spans="1:3" x14ac:dyDescent="0.15">
      <c r="A243" s="33">
        <v>230</v>
      </c>
      <c r="B243" s="89">
        <f t="shared" ca="1" si="6"/>
        <v>0.92512013251920433</v>
      </c>
      <c r="C243" s="90">
        <f t="shared" ca="1" si="7"/>
        <v>7.625600662596022</v>
      </c>
    </row>
    <row r="244" spans="1:3" x14ac:dyDescent="0.15">
      <c r="A244" s="33">
        <v>231</v>
      </c>
      <c r="B244" s="89">
        <f t="shared" ca="1" si="6"/>
        <v>0.30001728853467002</v>
      </c>
      <c r="C244" s="90">
        <f t="shared" ca="1" si="7"/>
        <v>4.50008644267335</v>
      </c>
    </row>
    <row r="245" spans="1:3" x14ac:dyDescent="0.15">
      <c r="A245" s="33">
        <v>232</v>
      </c>
      <c r="B245" s="89">
        <f t="shared" ca="1" si="6"/>
        <v>0.80437843622079197</v>
      </c>
      <c r="C245" s="90">
        <f t="shared" ca="1" si="7"/>
        <v>7.0218921811039596</v>
      </c>
    </row>
    <row r="246" spans="1:3" x14ac:dyDescent="0.15">
      <c r="A246" s="33">
        <v>233</v>
      </c>
      <c r="B246" s="89">
        <f t="shared" ca="1" si="6"/>
        <v>0.22103738573264897</v>
      </c>
      <c r="C246" s="90">
        <f t="shared" ca="1" si="7"/>
        <v>4.1051869286632447</v>
      </c>
    </row>
    <row r="247" spans="1:3" x14ac:dyDescent="0.15">
      <c r="A247" s="33">
        <v>234</v>
      </c>
      <c r="B247" s="89">
        <f t="shared" ca="1" si="6"/>
        <v>0.59379117321451957</v>
      </c>
      <c r="C247" s="90">
        <f t="shared" ca="1" si="7"/>
        <v>5.9689558660725979</v>
      </c>
    </row>
    <row r="248" spans="1:3" x14ac:dyDescent="0.15">
      <c r="A248" s="33">
        <v>235</v>
      </c>
      <c r="B248" s="89">
        <f t="shared" ca="1" si="6"/>
        <v>0.14623063264347047</v>
      </c>
      <c r="C248" s="90">
        <f t="shared" ca="1" si="7"/>
        <v>3.7311531632173525</v>
      </c>
    </row>
    <row r="249" spans="1:3" x14ac:dyDescent="0.15">
      <c r="A249" s="33">
        <v>236</v>
      </c>
      <c r="B249" s="89">
        <f t="shared" ca="1" si="6"/>
        <v>0.70187389132883493</v>
      </c>
      <c r="C249" s="90">
        <f t="shared" ca="1" si="7"/>
        <v>6.5093694566441744</v>
      </c>
    </row>
    <row r="250" spans="1:3" x14ac:dyDescent="0.15">
      <c r="A250" s="33">
        <v>237</v>
      </c>
      <c r="B250" s="89">
        <f t="shared" ca="1" si="6"/>
        <v>0.81003985393389888</v>
      </c>
      <c r="C250" s="90">
        <f t="shared" ca="1" si="7"/>
        <v>7.0501992696694948</v>
      </c>
    </row>
    <row r="251" spans="1:3" x14ac:dyDescent="0.15">
      <c r="A251" s="33">
        <v>238</v>
      </c>
      <c r="B251" s="89">
        <f t="shared" ca="1" si="6"/>
        <v>0.65579766274897133</v>
      </c>
      <c r="C251" s="90">
        <f t="shared" ca="1" si="7"/>
        <v>6.2789883137448568</v>
      </c>
    </row>
    <row r="252" spans="1:3" x14ac:dyDescent="0.15">
      <c r="A252" s="33">
        <v>239</v>
      </c>
      <c r="B252" s="89">
        <f t="shared" ca="1" si="6"/>
        <v>0.45053134978271148</v>
      </c>
      <c r="C252" s="90">
        <f t="shared" ca="1" si="7"/>
        <v>5.2526567489135569</v>
      </c>
    </row>
    <row r="253" spans="1:3" x14ac:dyDescent="0.15">
      <c r="A253" s="33">
        <v>240</v>
      </c>
      <c r="B253" s="89">
        <f t="shared" ca="1" si="6"/>
        <v>0.29700482383158189</v>
      </c>
      <c r="C253" s="90">
        <f t="shared" ca="1" si="7"/>
        <v>4.4850241191579094</v>
      </c>
    </row>
    <row r="254" spans="1:3" x14ac:dyDescent="0.15">
      <c r="A254" s="33">
        <v>241</v>
      </c>
      <c r="B254" s="89">
        <f t="shared" ca="1" si="6"/>
        <v>0.29985962590202253</v>
      </c>
      <c r="C254" s="90">
        <f t="shared" ca="1" si="7"/>
        <v>4.4992981295101124</v>
      </c>
    </row>
    <row r="255" spans="1:3" x14ac:dyDescent="0.15">
      <c r="A255" s="33">
        <v>242</v>
      </c>
      <c r="B255" s="89">
        <f t="shared" ca="1" si="6"/>
        <v>5.9818451140564055E-2</v>
      </c>
      <c r="C255" s="90">
        <f t="shared" ca="1" si="7"/>
        <v>3.2990922557028202</v>
      </c>
    </row>
    <row r="256" spans="1:3" x14ac:dyDescent="0.15">
      <c r="A256" s="33">
        <v>243</v>
      </c>
      <c r="B256" s="89">
        <f t="shared" ca="1" si="6"/>
        <v>0.4255824247045279</v>
      </c>
      <c r="C256" s="90">
        <f t="shared" ca="1" si="7"/>
        <v>5.1279121235226395</v>
      </c>
    </row>
    <row r="257" spans="1:3" x14ac:dyDescent="0.15">
      <c r="A257" s="33">
        <v>244</v>
      </c>
      <c r="B257" s="89">
        <f t="shared" ca="1" si="6"/>
        <v>0.16906304669122718</v>
      </c>
      <c r="C257" s="90">
        <f t="shared" ca="1" si="7"/>
        <v>3.845315233456136</v>
      </c>
    </row>
    <row r="258" spans="1:3" x14ac:dyDescent="0.15">
      <c r="A258" s="33">
        <v>245</v>
      </c>
      <c r="B258" s="89">
        <f t="shared" ca="1" si="6"/>
        <v>0.82363590314493584</v>
      </c>
      <c r="C258" s="90">
        <f t="shared" ca="1" si="7"/>
        <v>7.1181795157246794</v>
      </c>
    </row>
    <row r="259" spans="1:3" x14ac:dyDescent="0.15">
      <c r="A259" s="33">
        <v>246</v>
      </c>
      <c r="B259" s="89">
        <f t="shared" ca="1" si="6"/>
        <v>3.8712516161502397E-2</v>
      </c>
      <c r="C259" s="90">
        <f t="shared" ca="1" si="7"/>
        <v>3.1935625808075119</v>
      </c>
    </row>
    <row r="260" spans="1:3" x14ac:dyDescent="0.15">
      <c r="A260" s="33">
        <v>247</v>
      </c>
      <c r="B260" s="89">
        <f t="shared" ca="1" si="6"/>
        <v>0.42128096166056495</v>
      </c>
      <c r="C260" s="90">
        <f t="shared" ca="1" si="7"/>
        <v>5.1064048083028251</v>
      </c>
    </row>
    <row r="261" spans="1:3" x14ac:dyDescent="0.15">
      <c r="A261" s="33">
        <v>248</v>
      </c>
      <c r="B261" s="89">
        <f t="shared" ca="1" si="6"/>
        <v>0.10303357203797636</v>
      </c>
      <c r="C261" s="90">
        <f t="shared" ca="1" si="7"/>
        <v>3.5151678601898819</v>
      </c>
    </row>
    <row r="262" spans="1:3" x14ac:dyDescent="0.15">
      <c r="A262" s="33">
        <v>249</v>
      </c>
      <c r="B262" s="89">
        <f t="shared" ca="1" si="6"/>
        <v>0.73193000737382841</v>
      </c>
      <c r="C262" s="90">
        <f t="shared" ca="1" si="7"/>
        <v>6.6596500368691416</v>
      </c>
    </row>
    <row r="263" spans="1:3" x14ac:dyDescent="0.15">
      <c r="A263" s="33">
        <v>250</v>
      </c>
      <c r="B263" s="89">
        <f t="shared" ca="1" si="6"/>
        <v>0.99664023936705715</v>
      </c>
      <c r="C263" s="90">
        <f t="shared" ca="1" si="7"/>
        <v>7.9832011968352861</v>
      </c>
    </row>
    <row r="264" spans="1:3" x14ac:dyDescent="0.15">
      <c r="A264" s="33">
        <v>251</v>
      </c>
      <c r="B264" s="89">
        <f t="shared" ca="1" si="6"/>
        <v>0.96553221765980235</v>
      </c>
      <c r="C264" s="90">
        <f t="shared" ca="1" si="7"/>
        <v>7.8276610882990116</v>
      </c>
    </row>
    <row r="265" spans="1:3" x14ac:dyDescent="0.15">
      <c r="A265" s="33">
        <v>252</v>
      </c>
      <c r="B265" s="89">
        <f t="shared" ca="1" si="6"/>
        <v>0.73083574895907055</v>
      </c>
      <c r="C265" s="90">
        <f t="shared" ca="1" si="7"/>
        <v>6.6541787447953524</v>
      </c>
    </row>
    <row r="266" spans="1:3" x14ac:dyDescent="0.15">
      <c r="A266" s="33">
        <v>253</v>
      </c>
      <c r="B266" s="89">
        <f t="shared" ca="1" si="6"/>
        <v>0.17827053385685698</v>
      </c>
      <c r="C266" s="90">
        <f t="shared" ca="1" si="7"/>
        <v>3.8913526692842848</v>
      </c>
    </row>
    <row r="267" spans="1:3" x14ac:dyDescent="0.15">
      <c r="A267" s="33">
        <v>254</v>
      </c>
      <c r="B267" s="89">
        <f t="shared" ca="1" si="6"/>
        <v>0.35060674549043636</v>
      </c>
      <c r="C267" s="90">
        <f t="shared" ca="1" si="7"/>
        <v>4.7530337274521823</v>
      </c>
    </row>
    <row r="268" spans="1:3" x14ac:dyDescent="0.15">
      <c r="A268" s="33">
        <v>255</v>
      </c>
      <c r="B268" s="89">
        <f t="shared" ca="1" si="6"/>
        <v>0.27109866869536181</v>
      </c>
      <c r="C268" s="90">
        <f t="shared" ca="1" si="7"/>
        <v>4.3554933434768088</v>
      </c>
    </row>
    <row r="269" spans="1:3" x14ac:dyDescent="0.15">
      <c r="A269" s="33">
        <v>256</v>
      </c>
      <c r="B269" s="89">
        <f t="shared" ca="1" si="6"/>
        <v>0.89181094524920457</v>
      </c>
      <c r="C269" s="90">
        <f t="shared" ca="1" si="7"/>
        <v>7.4590547262460225</v>
      </c>
    </row>
    <row r="270" spans="1:3" x14ac:dyDescent="0.15">
      <c r="A270" s="33">
        <v>257</v>
      </c>
      <c r="B270" s="89">
        <f t="shared" ref="B270:B333" ca="1" si="8">RAND()</f>
        <v>0.33253576322624534</v>
      </c>
      <c r="C270" s="90">
        <f t="shared" ref="C270:C333" ca="1" si="9">3+5*B270</f>
        <v>4.6626788161312263</v>
      </c>
    </row>
    <row r="271" spans="1:3" x14ac:dyDescent="0.15">
      <c r="A271" s="33">
        <v>258</v>
      </c>
      <c r="B271" s="89">
        <f t="shared" ca="1" si="8"/>
        <v>0.51166683191773099</v>
      </c>
      <c r="C271" s="90">
        <f t="shared" ca="1" si="9"/>
        <v>5.5583341595886555</v>
      </c>
    </row>
    <row r="272" spans="1:3" x14ac:dyDescent="0.15">
      <c r="A272" s="33">
        <v>259</v>
      </c>
      <c r="B272" s="89">
        <f t="shared" ca="1" si="8"/>
        <v>0.28108803124289894</v>
      </c>
      <c r="C272" s="90">
        <f t="shared" ca="1" si="9"/>
        <v>4.4054401562144943</v>
      </c>
    </row>
    <row r="273" spans="1:3" x14ac:dyDescent="0.15">
      <c r="A273" s="33">
        <v>260</v>
      </c>
      <c r="B273" s="89">
        <f t="shared" ca="1" si="8"/>
        <v>0.60981723732516635</v>
      </c>
      <c r="C273" s="90">
        <f t="shared" ca="1" si="9"/>
        <v>6.0490861866258321</v>
      </c>
    </row>
    <row r="274" spans="1:3" x14ac:dyDescent="0.15">
      <c r="A274" s="33">
        <v>261</v>
      </c>
      <c r="B274" s="89">
        <f t="shared" ca="1" si="8"/>
        <v>0.67456963188465591</v>
      </c>
      <c r="C274" s="90">
        <f t="shared" ca="1" si="9"/>
        <v>6.3728481594232793</v>
      </c>
    </row>
    <row r="275" spans="1:3" x14ac:dyDescent="0.15">
      <c r="A275" s="33">
        <v>262</v>
      </c>
      <c r="B275" s="89">
        <f t="shared" ca="1" si="8"/>
        <v>0.39529937476858346</v>
      </c>
      <c r="C275" s="90">
        <f t="shared" ca="1" si="9"/>
        <v>4.9764968738429172</v>
      </c>
    </row>
    <row r="276" spans="1:3" x14ac:dyDescent="0.15">
      <c r="A276" s="33">
        <v>263</v>
      </c>
      <c r="B276" s="89">
        <f t="shared" ca="1" si="8"/>
        <v>0.73504896645082807</v>
      </c>
      <c r="C276" s="90">
        <f t="shared" ca="1" si="9"/>
        <v>6.6752448322541404</v>
      </c>
    </row>
    <row r="277" spans="1:3" x14ac:dyDescent="0.15">
      <c r="A277" s="33">
        <v>264</v>
      </c>
      <c r="B277" s="89">
        <f t="shared" ca="1" si="8"/>
        <v>0.7930274615665468</v>
      </c>
      <c r="C277" s="90">
        <f t="shared" ca="1" si="9"/>
        <v>6.9651373078327339</v>
      </c>
    </row>
    <row r="278" spans="1:3" x14ac:dyDescent="0.15">
      <c r="A278" s="33">
        <v>265</v>
      </c>
      <c r="B278" s="89">
        <f t="shared" ca="1" si="8"/>
        <v>0.57658435051293311</v>
      </c>
      <c r="C278" s="90">
        <f t="shared" ca="1" si="9"/>
        <v>5.8829217525646653</v>
      </c>
    </row>
    <row r="279" spans="1:3" x14ac:dyDescent="0.15">
      <c r="A279" s="33">
        <v>266</v>
      </c>
      <c r="B279" s="89">
        <f t="shared" ca="1" si="8"/>
        <v>0.49815470171238763</v>
      </c>
      <c r="C279" s="90">
        <f t="shared" ca="1" si="9"/>
        <v>5.4907735085619382</v>
      </c>
    </row>
    <row r="280" spans="1:3" x14ac:dyDescent="0.15">
      <c r="A280" s="33">
        <v>267</v>
      </c>
      <c r="B280" s="89">
        <f t="shared" ca="1" si="8"/>
        <v>0.97353688597397725</v>
      </c>
      <c r="C280" s="90">
        <f t="shared" ca="1" si="9"/>
        <v>7.867684429869886</v>
      </c>
    </row>
    <row r="281" spans="1:3" x14ac:dyDescent="0.15">
      <c r="A281" s="33">
        <v>268</v>
      </c>
      <c r="B281" s="89">
        <f t="shared" ca="1" si="8"/>
        <v>0.96315339195754823</v>
      </c>
      <c r="C281" s="90">
        <f t="shared" ca="1" si="9"/>
        <v>7.8157669597877408</v>
      </c>
    </row>
    <row r="282" spans="1:3" x14ac:dyDescent="0.15">
      <c r="A282" s="33">
        <v>269</v>
      </c>
      <c r="B282" s="89">
        <f t="shared" ca="1" si="8"/>
        <v>0.61268663474330398</v>
      </c>
      <c r="C282" s="90">
        <f t="shared" ca="1" si="9"/>
        <v>6.0634331737165201</v>
      </c>
    </row>
    <row r="283" spans="1:3" x14ac:dyDescent="0.15">
      <c r="A283" s="33">
        <v>270</v>
      </c>
      <c r="B283" s="89">
        <f t="shared" ca="1" si="8"/>
        <v>0.3428631569658418</v>
      </c>
      <c r="C283" s="90">
        <f t="shared" ca="1" si="9"/>
        <v>4.7143157848292088</v>
      </c>
    </row>
    <row r="284" spans="1:3" x14ac:dyDescent="0.15">
      <c r="A284" s="33">
        <v>271</v>
      </c>
      <c r="B284" s="89">
        <f t="shared" ca="1" si="8"/>
        <v>0.5651887739471898</v>
      </c>
      <c r="C284" s="90">
        <f t="shared" ca="1" si="9"/>
        <v>5.8259438697359496</v>
      </c>
    </row>
    <row r="285" spans="1:3" x14ac:dyDescent="0.15">
      <c r="A285" s="33">
        <v>272</v>
      </c>
      <c r="B285" s="89">
        <f t="shared" ca="1" si="8"/>
        <v>0.45767746791411945</v>
      </c>
      <c r="C285" s="90">
        <f t="shared" ca="1" si="9"/>
        <v>5.2883873395705976</v>
      </c>
    </row>
    <row r="286" spans="1:3" x14ac:dyDescent="0.15">
      <c r="A286" s="33">
        <v>273</v>
      </c>
      <c r="B286" s="89">
        <f t="shared" ca="1" si="8"/>
        <v>0.91018970584881309</v>
      </c>
      <c r="C286" s="90">
        <f t="shared" ca="1" si="9"/>
        <v>7.5509485292440655</v>
      </c>
    </row>
    <row r="287" spans="1:3" x14ac:dyDescent="0.15">
      <c r="A287" s="33">
        <v>274</v>
      </c>
      <c r="B287" s="89">
        <f t="shared" ca="1" si="8"/>
        <v>0.42657092340926128</v>
      </c>
      <c r="C287" s="90">
        <f t="shared" ca="1" si="9"/>
        <v>5.1328546170463065</v>
      </c>
    </row>
    <row r="288" spans="1:3" x14ac:dyDescent="0.15">
      <c r="A288" s="33">
        <v>275</v>
      </c>
      <c r="B288" s="89">
        <f t="shared" ca="1" si="8"/>
        <v>0.46964331101568568</v>
      </c>
      <c r="C288" s="90">
        <f t="shared" ca="1" si="9"/>
        <v>5.3482165550784284</v>
      </c>
    </row>
    <row r="289" spans="1:3" x14ac:dyDescent="0.15">
      <c r="A289" s="33">
        <v>276</v>
      </c>
      <c r="B289" s="89">
        <f t="shared" ca="1" si="8"/>
        <v>0.28174410022019258</v>
      </c>
      <c r="C289" s="90">
        <f t="shared" ca="1" si="9"/>
        <v>4.4087205011009631</v>
      </c>
    </row>
    <row r="290" spans="1:3" x14ac:dyDescent="0.15">
      <c r="A290" s="33">
        <v>277</v>
      </c>
      <c r="B290" s="89">
        <f t="shared" ca="1" si="8"/>
        <v>0.22205204563443059</v>
      </c>
      <c r="C290" s="90">
        <f t="shared" ca="1" si="9"/>
        <v>4.1102602281721534</v>
      </c>
    </row>
    <row r="291" spans="1:3" x14ac:dyDescent="0.15">
      <c r="A291" s="33">
        <v>278</v>
      </c>
      <c r="B291" s="89">
        <f t="shared" ca="1" si="8"/>
        <v>0.3244340393135019</v>
      </c>
      <c r="C291" s="90">
        <f t="shared" ca="1" si="9"/>
        <v>4.6221701965675095</v>
      </c>
    </row>
    <row r="292" spans="1:3" x14ac:dyDescent="0.15">
      <c r="A292" s="33">
        <v>279</v>
      </c>
      <c r="B292" s="89">
        <f t="shared" ca="1" si="8"/>
        <v>0.97505379018160465</v>
      </c>
      <c r="C292" s="90">
        <f t="shared" ca="1" si="9"/>
        <v>7.8752689509080236</v>
      </c>
    </row>
    <row r="293" spans="1:3" x14ac:dyDescent="0.15">
      <c r="A293" s="33">
        <v>280</v>
      </c>
      <c r="B293" s="89">
        <f t="shared" ca="1" si="8"/>
        <v>0.64456490325692883</v>
      </c>
      <c r="C293" s="90">
        <f t="shared" ca="1" si="9"/>
        <v>6.2228245162846445</v>
      </c>
    </row>
    <row r="294" spans="1:3" x14ac:dyDescent="0.15">
      <c r="A294" s="33">
        <v>281</v>
      </c>
      <c r="B294" s="89">
        <f t="shared" ca="1" si="8"/>
        <v>0.47316167990395819</v>
      </c>
      <c r="C294" s="90">
        <f t="shared" ca="1" si="9"/>
        <v>5.3658083995197909</v>
      </c>
    </row>
    <row r="295" spans="1:3" x14ac:dyDescent="0.15">
      <c r="A295" s="33">
        <v>282</v>
      </c>
      <c r="B295" s="89">
        <f t="shared" ca="1" si="8"/>
        <v>0.38247051709163948</v>
      </c>
      <c r="C295" s="90">
        <f t="shared" ca="1" si="9"/>
        <v>4.9123525854581978</v>
      </c>
    </row>
    <row r="296" spans="1:3" x14ac:dyDescent="0.15">
      <c r="A296" s="33">
        <v>283</v>
      </c>
      <c r="B296" s="89">
        <f t="shared" ca="1" si="8"/>
        <v>0.19075031514288965</v>
      </c>
      <c r="C296" s="90">
        <f t="shared" ca="1" si="9"/>
        <v>3.9537515757144481</v>
      </c>
    </row>
    <row r="297" spans="1:3" x14ac:dyDescent="0.15">
      <c r="A297" s="33">
        <v>284</v>
      </c>
      <c r="B297" s="89">
        <f t="shared" ca="1" si="8"/>
        <v>0.17478969540875333</v>
      </c>
      <c r="C297" s="90">
        <f t="shared" ca="1" si="9"/>
        <v>3.8739484770437667</v>
      </c>
    </row>
    <row r="298" spans="1:3" x14ac:dyDescent="0.15">
      <c r="A298" s="33">
        <v>285</v>
      </c>
      <c r="B298" s="89">
        <f t="shared" ca="1" si="8"/>
        <v>0.34484069466138179</v>
      </c>
      <c r="C298" s="90">
        <f t="shared" ca="1" si="9"/>
        <v>4.7242034733069094</v>
      </c>
    </row>
    <row r="299" spans="1:3" x14ac:dyDescent="0.15">
      <c r="A299" s="33">
        <v>286</v>
      </c>
      <c r="B299" s="89">
        <f t="shared" ca="1" si="8"/>
        <v>0.37980709889333786</v>
      </c>
      <c r="C299" s="90">
        <f t="shared" ca="1" si="9"/>
        <v>4.8990354944666894</v>
      </c>
    </row>
    <row r="300" spans="1:3" x14ac:dyDescent="0.15">
      <c r="A300" s="33">
        <v>287</v>
      </c>
      <c r="B300" s="89">
        <f t="shared" ca="1" si="8"/>
        <v>1.5214967205010921E-2</v>
      </c>
      <c r="C300" s="90">
        <f t="shared" ca="1" si="9"/>
        <v>3.0760748360250547</v>
      </c>
    </row>
    <row r="301" spans="1:3" x14ac:dyDescent="0.15">
      <c r="A301" s="33">
        <v>288</v>
      </c>
      <c r="B301" s="89">
        <f t="shared" ca="1" si="8"/>
        <v>0.7660184355115971</v>
      </c>
      <c r="C301" s="90">
        <f t="shared" ca="1" si="9"/>
        <v>6.8300921775579857</v>
      </c>
    </row>
    <row r="302" spans="1:3" x14ac:dyDescent="0.15">
      <c r="A302" s="33">
        <v>289</v>
      </c>
      <c r="B302" s="89">
        <f t="shared" ca="1" si="8"/>
        <v>0.62996739243685207</v>
      </c>
      <c r="C302" s="90">
        <f t="shared" ca="1" si="9"/>
        <v>6.1498369621842599</v>
      </c>
    </row>
    <row r="303" spans="1:3" x14ac:dyDescent="0.15">
      <c r="A303" s="33">
        <v>290</v>
      </c>
      <c r="B303" s="89">
        <f t="shared" ca="1" si="8"/>
        <v>0.11668122047105545</v>
      </c>
      <c r="C303" s="90">
        <f t="shared" ca="1" si="9"/>
        <v>3.5834061023552772</v>
      </c>
    </row>
    <row r="304" spans="1:3" x14ac:dyDescent="0.15">
      <c r="A304" s="33">
        <v>291</v>
      </c>
      <c r="B304" s="89">
        <f t="shared" ca="1" si="8"/>
        <v>0.28507520319380819</v>
      </c>
      <c r="C304" s="90">
        <f t="shared" ca="1" si="9"/>
        <v>4.4253760159690412</v>
      </c>
    </row>
    <row r="305" spans="1:3" x14ac:dyDescent="0.15">
      <c r="A305" s="33">
        <v>292</v>
      </c>
      <c r="B305" s="89">
        <f t="shared" ca="1" si="8"/>
        <v>0.97763293307214993</v>
      </c>
      <c r="C305" s="90">
        <f t="shared" ca="1" si="9"/>
        <v>7.8881646653607493</v>
      </c>
    </row>
    <row r="306" spans="1:3" x14ac:dyDescent="0.15">
      <c r="A306" s="33">
        <v>293</v>
      </c>
      <c r="B306" s="89">
        <f t="shared" ca="1" si="8"/>
        <v>2.4701519606704081E-2</v>
      </c>
      <c r="C306" s="90">
        <f t="shared" ca="1" si="9"/>
        <v>3.1235075980335205</v>
      </c>
    </row>
    <row r="307" spans="1:3" x14ac:dyDescent="0.15">
      <c r="A307" s="33">
        <v>294</v>
      </c>
      <c r="B307" s="89">
        <f t="shared" ca="1" si="8"/>
        <v>0.51110849817698678</v>
      </c>
      <c r="C307" s="90">
        <f t="shared" ca="1" si="9"/>
        <v>5.5555424908849336</v>
      </c>
    </row>
    <row r="308" spans="1:3" x14ac:dyDescent="0.15">
      <c r="A308" s="33">
        <v>295</v>
      </c>
      <c r="B308" s="89">
        <f t="shared" ca="1" si="8"/>
        <v>0.6905805269610461</v>
      </c>
      <c r="C308" s="90">
        <f t="shared" ca="1" si="9"/>
        <v>6.4529026348052305</v>
      </c>
    </row>
    <row r="309" spans="1:3" x14ac:dyDescent="0.15">
      <c r="A309" s="33">
        <v>296</v>
      </c>
      <c r="B309" s="89">
        <f t="shared" ca="1" si="8"/>
        <v>0.80691336613645115</v>
      </c>
      <c r="C309" s="90">
        <f t="shared" ca="1" si="9"/>
        <v>7.0345668306822553</v>
      </c>
    </row>
    <row r="310" spans="1:3" x14ac:dyDescent="0.15">
      <c r="A310" s="33">
        <v>297</v>
      </c>
      <c r="B310" s="89">
        <f t="shared" ca="1" si="8"/>
        <v>0.58031147956088502</v>
      </c>
      <c r="C310" s="90">
        <f t="shared" ca="1" si="9"/>
        <v>5.9015573978044253</v>
      </c>
    </row>
    <row r="311" spans="1:3" x14ac:dyDescent="0.15">
      <c r="A311" s="33">
        <v>298</v>
      </c>
      <c r="B311" s="89">
        <f t="shared" ca="1" si="8"/>
        <v>0.57189280257935815</v>
      </c>
      <c r="C311" s="90">
        <f t="shared" ca="1" si="9"/>
        <v>5.8594640128967903</v>
      </c>
    </row>
    <row r="312" spans="1:3" x14ac:dyDescent="0.15">
      <c r="A312" s="33">
        <v>299</v>
      </c>
      <c r="B312" s="89">
        <f t="shared" ca="1" si="8"/>
        <v>0.47764108350573997</v>
      </c>
      <c r="C312" s="90">
        <f t="shared" ca="1" si="9"/>
        <v>5.3882054175286997</v>
      </c>
    </row>
    <row r="313" spans="1:3" x14ac:dyDescent="0.15">
      <c r="A313" s="33">
        <v>300</v>
      </c>
      <c r="B313" s="89">
        <f t="shared" ca="1" si="8"/>
        <v>0.55866546788263893</v>
      </c>
      <c r="C313" s="90">
        <f t="shared" ca="1" si="9"/>
        <v>5.7933273394131941</v>
      </c>
    </row>
    <row r="314" spans="1:3" x14ac:dyDescent="0.15">
      <c r="A314" s="33">
        <v>301</v>
      </c>
      <c r="B314" s="89">
        <f t="shared" ca="1" si="8"/>
        <v>0.40953686166918812</v>
      </c>
      <c r="C314" s="90">
        <f t="shared" ca="1" si="9"/>
        <v>5.0476843083459411</v>
      </c>
    </row>
    <row r="315" spans="1:3" x14ac:dyDescent="0.15">
      <c r="A315" s="33">
        <v>302</v>
      </c>
      <c r="B315" s="89">
        <f t="shared" ca="1" si="8"/>
        <v>4.6128294261946756E-3</v>
      </c>
      <c r="C315" s="90">
        <f t="shared" ca="1" si="9"/>
        <v>3.0230641471309734</v>
      </c>
    </row>
    <row r="316" spans="1:3" x14ac:dyDescent="0.15">
      <c r="A316" s="33">
        <v>303</v>
      </c>
      <c r="B316" s="89">
        <f t="shared" ca="1" si="8"/>
        <v>4.2406115933775856E-2</v>
      </c>
      <c r="C316" s="90">
        <f t="shared" ca="1" si="9"/>
        <v>3.2120305796688795</v>
      </c>
    </row>
    <row r="317" spans="1:3" x14ac:dyDescent="0.15">
      <c r="A317" s="33">
        <v>304</v>
      </c>
      <c r="B317" s="89">
        <f t="shared" ca="1" si="8"/>
        <v>0.83827707793013095</v>
      </c>
      <c r="C317" s="90">
        <f t="shared" ca="1" si="9"/>
        <v>7.1913853896506552</v>
      </c>
    </row>
    <row r="318" spans="1:3" x14ac:dyDescent="0.15">
      <c r="A318" s="33">
        <v>305</v>
      </c>
      <c r="B318" s="89">
        <f t="shared" ca="1" si="8"/>
        <v>0.84091575675492258</v>
      </c>
      <c r="C318" s="90">
        <f t="shared" ca="1" si="9"/>
        <v>7.2045787837746129</v>
      </c>
    </row>
    <row r="319" spans="1:3" x14ac:dyDescent="0.15">
      <c r="A319" s="33">
        <v>306</v>
      </c>
      <c r="B319" s="89">
        <f t="shared" ca="1" si="8"/>
        <v>0.17517602366767582</v>
      </c>
      <c r="C319" s="90">
        <f t="shared" ca="1" si="9"/>
        <v>3.8758801183383791</v>
      </c>
    </row>
    <row r="320" spans="1:3" x14ac:dyDescent="0.15">
      <c r="A320" s="33">
        <v>307</v>
      </c>
      <c r="B320" s="89">
        <f t="shared" ca="1" si="8"/>
        <v>0.31207326654619327</v>
      </c>
      <c r="C320" s="90">
        <f t="shared" ca="1" si="9"/>
        <v>4.5603663327309665</v>
      </c>
    </row>
    <row r="321" spans="1:3" x14ac:dyDescent="0.15">
      <c r="A321" s="33">
        <v>308</v>
      </c>
      <c r="B321" s="89">
        <f t="shared" ca="1" si="8"/>
        <v>0.24935992502078996</v>
      </c>
      <c r="C321" s="90">
        <f t="shared" ca="1" si="9"/>
        <v>4.2467996251039501</v>
      </c>
    </row>
    <row r="322" spans="1:3" x14ac:dyDescent="0.15">
      <c r="A322" s="33">
        <v>309</v>
      </c>
      <c r="B322" s="89">
        <f t="shared" ca="1" si="8"/>
        <v>0.18160785053290462</v>
      </c>
      <c r="C322" s="90">
        <f t="shared" ca="1" si="9"/>
        <v>3.9080392526645231</v>
      </c>
    </row>
    <row r="323" spans="1:3" x14ac:dyDescent="0.15">
      <c r="A323" s="33">
        <v>310</v>
      </c>
      <c r="B323" s="89">
        <f t="shared" ca="1" si="8"/>
        <v>0.73398913314859393</v>
      </c>
      <c r="C323" s="90">
        <f t="shared" ca="1" si="9"/>
        <v>6.6699456657429694</v>
      </c>
    </row>
    <row r="324" spans="1:3" x14ac:dyDescent="0.15">
      <c r="A324" s="33">
        <v>311</v>
      </c>
      <c r="B324" s="89">
        <f t="shared" ca="1" si="8"/>
        <v>0.24970749327369079</v>
      </c>
      <c r="C324" s="90">
        <f t="shared" ca="1" si="9"/>
        <v>4.2485374663684539</v>
      </c>
    </row>
    <row r="325" spans="1:3" x14ac:dyDescent="0.15">
      <c r="A325" s="33">
        <v>312</v>
      </c>
      <c r="B325" s="89">
        <f t="shared" ca="1" si="8"/>
        <v>0.19125631588025627</v>
      </c>
      <c r="C325" s="90">
        <f t="shared" ca="1" si="9"/>
        <v>3.9562815794012813</v>
      </c>
    </row>
    <row r="326" spans="1:3" x14ac:dyDescent="0.15">
      <c r="A326" s="33">
        <v>313</v>
      </c>
      <c r="B326" s="89">
        <f t="shared" ca="1" si="8"/>
        <v>0.89141944843868892</v>
      </c>
      <c r="C326" s="90">
        <f t="shared" ca="1" si="9"/>
        <v>7.4570972421934449</v>
      </c>
    </row>
    <row r="327" spans="1:3" x14ac:dyDescent="0.15">
      <c r="A327" s="33">
        <v>314</v>
      </c>
      <c r="B327" s="89">
        <f t="shared" ca="1" si="8"/>
        <v>0.25581106626641936</v>
      </c>
      <c r="C327" s="90">
        <f t="shared" ca="1" si="9"/>
        <v>4.2790553313320974</v>
      </c>
    </row>
    <row r="328" spans="1:3" x14ac:dyDescent="0.15">
      <c r="A328" s="33">
        <v>315</v>
      </c>
      <c r="B328" s="89">
        <f t="shared" ca="1" si="8"/>
        <v>0.27456307685802461</v>
      </c>
      <c r="C328" s="90">
        <f t="shared" ca="1" si="9"/>
        <v>4.3728153842901225</v>
      </c>
    </row>
    <row r="329" spans="1:3" x14ac:dyDescent="0.15">
      <c r="A329" s="33">
        <v>316</v>
      </c>
      <c r="B329" s="89">
        <f t="shared" ca="1" si="8"/>
        <v>0.44388825221638162</v>
      </c>
      <c r="C329" s="90">
        <f t="shared" ca="1" si="9"/>
        <v>5.2194412610819079</v>
      </c>
    </row>
    <row r="330" spans="1:3" x14ac:dyDescent="0.15">
      <c r="A330" s="33">
        <v>317</v>
      </c>
      <c r="B330" s="89">
        <f t="shared" ca="1" si="8"/>
        <v>9.4319072893027767E-2</v>
      </c>
      <c r="C330" s="90">
        <f t="shared" ca="1" si="9"/>
        <v>3.4715953644651387</v>
      </c>
    </row>
    <row r="331" spans="1:3" x14ac:dyDescent="0.15">
      <c r="A331" s="33">
        <v>318</v>
      </c>
      <c r="B331" s="89">
        <f t="shared" ca="1" si="8"/>
        <v>0.41465645681674257</v>
      </c>
      <c r="C331" s="90">
        <f t="shared" ca="1" si="9"/>
        <v>5.0732822840837128</v>
      </c>
    </row>
    <row r="332" spans="1:3" x14ac:dyDescent="0.15">
      <c r="A332" s="33">
        <v>319</v>
      </c>
      <c r="B332" s="89">
        <f t="shared" ca="1" si="8"/>
        <v>8.2681604228926675E-2</v>
      </c>
      <c r="C332" s="90">
        <f t="shared" ca="1" si="9"/>
        <v>3.4134080211446332</v>
      </c>
    </row>
    <row r="333" spans="1:3" x14ac:dyDescent="0.15">
      <c r="A333" s="33">
        <v>320</v>
      </c>
      <c r="B333" s="89">
        <f t="shared" ca="1" si="8"/>
        <v>0.63135433078190795</v>
      </c>
      <c r="C333" s="90">
        <f t="shared" ca="1" si="9"/>
        <v>6.1567716539095398</v>
      </c>
    </row>
    <row r="334" spans="1:3" x14ac:dyDescent="0.15">
      <c r="A334" s="33">
        <v>321</v>
      </c>
      <c r="B334" s="89">
        <f t="shared" ref="B334:B397" ca="1" si="10">RAND()</f>
        <v>0.69299847388911651</v>
      </c>
      <c r="C334" s="90">
        <f t="shared" ref="C334:C397" ca="1" si="11">3+5*B334</f>
        <v>6.4649923694455822</v>
      </c>
    </row>
    <row r="335" spans="1:3" x14ac:dyDescent="0.15">
      <c r="A335" s="33">
        <v>322</v>
      </c>
      <c r="B335" s="89">
        <f t="shared" ca="1" si="10"/>
        <v>0.7170753415979062</v>
      </c>
      <c r="C335" s="90">
        <f t="shared" ca="1" si="11"/>
        <v>6.5853767079895311</v>
      </c>
    </row>
    <row r="336" spans="1:3" x14ac:dyDescent="0.15">
      <c r="A336" s="33">
        <v>323</v>
      </c>
      <c r="B336" s="89">
        <f t="shared" ca="1" si="10"/>
        <v>0.27565222061955108</v>
      </c>
      <c r="C336" s="90">
        <f t="shared" ca="1" si="11"/>
        <v>4.3782611030977554</v>
      </c>
    </row>
    <row r="337" spans="1:5" x14ac:dyDescent="0.15">
      <c r="A337" s="33">
        <v>324</v>
      </c>
      <c r="B337" s="89">
        <f t="shared" ca="1" si="10"/>
        <v>0.5098932906044481</v>
      </c>
      <c r="C337" s="90">
        <f t="shared" ca="1" si="11"/>
        <v>5.5494664530222408</v>
      </c>
      <c r="E337" s="90"/>
    </row>
    <row r="338" spans="1:5" x14ac:dyDescent="0.15">
      <c r="A338" s="33">
        <v>325</v>
      </c>
      <c r="B338" s="89">
        <f t="shared" ca="1" si="10"/>
        <v>0.47905307246902662</v>
      </c>
      <c r="C338" s="90">
        <f t="shared" ca="1" si="11"/>
        <v>5.3952653623451337</v>
      </c>
    </row>
    <row r="339" spans="1:5" x14ac:dyDescent="0.15">
      <c r="A339" s="33">
        <v>326</v>
      </c>
      <c r="B339" s="89">
        <f t="shared" ca="1" si="10"/>
        <v>0.4438909980714284</v>
      </c>
      <c r="C339" s="90">
        <f t="shared" ca="1" si="11"/>
        <v>5.2194549903571419</v>
      </c>
    </row>
    <row r="340" spans="1:5" x14ac:dyDescent="0.15">
      <c r="A340" s="33">
        <v>327</v>
      </c>
      <c r="B340" s="89">
        <f t="shared" ca="1" si="10"/>
        <v>0.65056498954023223</v>
      </c>
      <c r="C340" s="90">
        <f t="shared" ca="1" si="11"/>
        <v>6.2528249477011606</v>
      </c>
    </row>
    <row r="341" spans="1:5" x14ac:dyDescent="0.15">
      <c r="A341" s="33">
        <v>328</v>
      </c>
      <c r="B341" s="89">
        <f t="shared" ca="1" si="10"/>
        <v>0.5400651274490863</v>
      </c>
      <c r="C341" s="90">
        <f t="shared" ca="1" si="11"/>
        <v>5.700325637245431</v>
      </c>
    </row>
    <row r="342" spans="1:5" x14ac:dyDescent="0.15">
      <c r="A342" s="33">
        <v>329</v>
      </c>
      <c r="B342" s="89">
        <f t="shared" ca="1" si="10"/>
        <v>0.65871790817333442</v>
      </c>
      <c r="C342" s="90">
        <f t="shared" ca="1" si="11"/>
        <v>6.2935895408666722</v>
      </c>
    </row>
    <row r="343" spans="1:5" x14ac:dyDescent="0.15">
      <c r="A343" s="33">
        <v>330</v>
      </c>
      <c r="B343" s="89">
        <f t="shared" ca="1" si="10"/>
        <v>0.23444265721441193</v>
      </c>
      <c r="C343" s="90">
        <f t="shared" ca="1" si="11"/>
        <v>4.1722132860720595</v>
      </c>
    </row>
    <row r="344" spans="1:5" x14ac:dyDescent="0.15">
      <c r="A344" s="33">
        <v>331</v>
      </c>
      <c r="B344" s="89">
        <f t="shared" ca="1" si="10"/>
        <v>0.79283651604339722</v>
      </c>
      <c r="C344" s="90">
        <f t="shared" ca="1" si="11"/>
        <v>6.9641825802169866</v>
      </c>
    </row>
    <row r="345" spans="1:5" x14ac:dyDescent="0.15">
      <c r="A345" s="33">
        <v>332</v>
      </c>
      <c r="B345" s="89">
        <f t="shared" ca="1" si="10"/>
        <v>0.84283431869531089</v>
      </c>
      <c r="C345" s="90">
        <f t="shared" ca="1" si="11"/>
        <v>7.2141715934765545</v>
      </c>
    </row>
    <row r="346" spans="1:5" x14ac:dyDescent="0.15">
      <c r="A346" s="33">
        <v>333</v>
      </c>
      <c r="B346" s="89">
        <f t="shared" ca="1" si="10"/>
        <v>6.628112964063515E-3</v>
      </c>
      <c r="C346" s="90">
        <f t="shared" ca="1" si="11"/>
        <v>3.0331405648203176</v>
      </c>
    </row>
    <row r="347" spans="1:5" x14ac:dyDescent="0.15">
      <c r="A347" s="33">
        <v>334</v>
      </c>
      <c r="B347" s="89">
        <f t="shared" ca="1" si="10"/>
        <v>0.8966739892931388</v>
      </c>
      <c r="C347" s="90">
        <f t="shared" ca="1" si="11"/>
        <v>7.483369946465694</v>
      </c>
    </row>
    <row r="348" spans="1:5" x14ac:dyDescent="0.15">
      <c r="A348" s="33">
        <v>335</v>
      </c>
      <c r="B348" s="89">
        <f t="shared" ca="1" si="10"/>
        <v>0.51723219560391609</v>
      </c>
      <c r="C348" s="90">
        <f t="shared" ca="1" si="11"/>
        <v>5.5861609780195804</v>
      </c>
    </row>
    <row r="349" spans="1:5" x14ac:dyDescent="0.15">
      <c r="A349" s="33">
        <v>336</v>
      </c>
      <c r="B349" s="89">
        <f t="shared" ca="1" si="10"/>
        <v>0.39415256217346439</v>
      </c>
      <c r="C349" s="90">
        <f t="shared" ca="1" si="11"/>
        <v>4.9707628108673223</v>
      </c>
    </row>
    <row r="350" spans="1:5" x14ac:dyDescent="0.15">
      <c r="A350" s="33">
        <v>337</v>
      </c>
      <c r="B350" s="89">
        <f t="shared" ca="1" si="10"/>
        <v>0.65867778025130463</v>
      </c>
      <c r="C350" s="90">
        <f t="shared" ca="1" si="11"/>
        <v>6.2933889012565229</v>
      </c>
    </row>
    <row r="351" spans="1:5" x14ac:dyDescent="0.15">
      <c r="A351" s="33">
        <v>338</v>
      </c>
      <c r="B351" s="89">
        <f t="shared" ca="1" si="10"/>
        <v>0.71443362652869846</v>
      </c>
      <c r="C351" s="90">
        <f t="shared" ca="1" si="11"/>
        <v>6.5721681326434922</v>
      </c>
    </row>
    <row r="352" spans="1:5" x14ac:dyDescent="0.15">
      <c r="A352" s="33">
        <v>339</v>
      </c>
      <c r="B352" s="89">
        <f t="shared" ca="1" si="10"/>
        <v>0.50261688506717783</v>
      </c>
      <c r="C352" s="90">
        <f t="shared" ca="1" si="11"/>
        <v>5.5130844253358893</v>
      </c>
    </row>
    <row r="353" spans="1:3" x14ac:dyDescent="0.15">
      <c r="A353" s="33">
        <v>340</v>
      </c>
      <c r="B353" s="89">
        <f t="shared" ca="1" si="10"/>
        <v>0.64478033086016995</v>
      </c>
      <c r="C353" s="90">
        <f t="shared" ca="1" si="11"/>
        <v>6.2239016543008496</v>
      </c>
    </row>
    <row r="354" spans="1:3" x14ac:dyDescent="0.15">
      <c r="A354" s="33">
        <v>341</v>
      </c>
      <c r="B354" s="89">
        <f t="shared" ca="1" si="10"/>
        <v>0.19281307146651205</v>
      </c>
      <c r="C354" s="90">
        <f t="shared" ca="1" si="11"/>
        <v>3.9640653573325602</v>
      </c>
    </row>
    <row r="355" spans="1:3" x14ac:dyDescent="0.15">
      <c r="A355" s="33">
        <v>342</v>
      </c>
      <c r="B355" s="89">
        <f t="shared" ca="1" si="10"/>
        <v>6.7619631124830604E-2</v>
      </c>
      <c r="C355" s="90">
        <f t="shared" ca="1" si="11"/>
        <v>3.3380981556241531</v>
      </c>
    </row>
    <row r="356" spans="1:3" x14ac:dyDescent="0.15">
      <c r="A356" s="33">
        <v>343</v>
      </c>
      <c r="B356" s="89">
        <f t="shared" ca="1" si="10"/>
        <v>0.36540615020548484</v>
      </c>
      <c r="C356" s="90">
        <f t="shared" ca="1" si="11"/>
        <v>4.827030751027424</v>
      </c>
    </row>
    <row r="357" spans="1:3" x14ac:dyDescent="0.15">
      <c r="A357" s="33">
        <v>344</v>
      </c>
      <c r="B357" s="89">
        <f t="shared" ca="1" si="10"/>
        <v>0.60088430165415307</v>
      </c>
      <c r="C357" s="90">
        <f t="shared" ca="1" si="11"/>
        <v>6.0044215082707648</v>
      </c>
    </row>
    <row r="358" spans="1:3" x14ac:dyDescent="0.15">
      <c r="A358" s="33">
        <v>345</v>
      </c>
      <c r="B358" s="89">
        <f t="shared" ca="1" si="10"/>
        <v>0.60561001119840441</v>
      </c>
      <c r="C358" s="90">
        <f t="shared" ca="1" si="11"/>
        <v>6.028050055992022</v>
      </c>
    </row>
    <row r="359" spans="1:3" x14ac:dyDescent="0.15">
      <c r="A359" s="33">
        <v>346</v>
      </c>
      <c r="B359" s="89">
        <f t="shared" ca="1" si="10"/>
        <v>0.83418710692258635</v>
      </c>
      <c r="C359" s="90">
        <f t="shared" ca="1" si="11"/>
        <v>7.1709355346129318</v>
      </c>
    </row>
    <row r="360" spans="1:3" x14ac:dyDescent="0.15">
      <c r="A360" s="33">
        <v>347</v>
      </c>
      <c r="B360" s="89">
        <f t="shared" ca="1" si="10"/>
        <v>0.20279258501809072</v>
      </c>
      <c r="C360" s="90">
        <f t="shared" ca="1" si="11"/>
        <v>4.0139629250904534</v>
      </c>
    </row>
    <row r="361" spans="1:3" x14ac:dyDescent="0.15">
      <c r="A361" s="33">
        <v>348</v>
      </c>
      <c r="B361" s="89">
        <f t="shared" ca="1" si="10"/>
        <v>0.28279485119056003</v>
      </c>
      <c r="C361" s="90">
        <f t="shared" ca="1" si="11"/>
        <v>4.4139742559527999</v>
      </c>
    </row>
    <row r="362" spans="1:3" x14ac:dyDescent="0.15">
      <c r="A362" s="33">
        <v>349</v>
      </c>
      <c r="B362" s="89">
        <f t="shared" ca="1" si="10"/>
        <v>0.8538602078443962</v>
      </c>
      <c r="C362" s="90">
        <f t="shared" ca="1" si="11"/>
        <v>7.2693010392219808</v>
      </c>
    </row>
    <row r="363" spans="1:3" x14ac:dyDescent="0.15">
      <c r="A363" s="33">
        <v>350</v>
      </c>
      <c r="B363" s="89">
        <f t="shared" ca="1" si="10"/>
        <v>0.24269375721334452</v>
      </c>
      <c r="C363" s="90">
        <f t="shared" ca="1" si="11"/>
        <v>4.2134687860667226</v>
      </c>
    </row>
    <row r="364" spans="1:3" x14ac:dyDescent="0.15">
      <c r="A364" s="33">
        <v>351</v>
      </c>
      <c r="B364" s="89">
        <f t="shared" ca="1" si="10"/>
        <v>0.171232510205795</v>
      </c>
      <c r="C364" s="90">
        <f t="shared" ca="1" si="11"/>
        <v>3.8561625510289748</v>
      </c>
    </row>
    <row r="365" spans="1:3" x14ac:dyDescent="0.15">
      <c r="A365" s="33">
        <v>352</v>
      </c>
      <c r="B365" s="89">
        <f t="shared" ca="1" si="10"/>
        <v>0.23456258589286927</v>
      </c>
      <c r="C365" s="90">
        <f t="shared" ca="1" si="11"/>
        <v>4.1728129294643459</v>
      </c>
    </row>
    <row r="366" spans="1:3" x14ac:dyDescent="0.15">
      <c r="A366" s="33">
        <v>353</v>
      </c>
      <c r="B366" s="89">
        <f t="shared" ca="1" si="10"/>
        <v>0.77643476255652755</v>
      </c>
      <c r="C366" s="90">
        <f t="shared" ca="1" si="11"/>
        <v>6.8821738127826375</v>
      </c>
    </row>
    <row r="367" spans="1:3" x14ac:dyDescent="0.15">
      <c r="A367" s="33">
        <v>354</v>
      </c>
      <c r="B367" s="89">
        <f t="shared" ca="1" si="10"/>
        <v>0.8826157027034145</v>
      </c>
      <c r="C367" s="90">
        <f t="shared" ca="1" si="11"/>
        <v>7.4130785135170729</v>
      </c>
    </row>
    <row r="368" spans="1:3" x14ac:dyDescent="0.15">
      <c r="A368" s="33">
        <v>355</v>
      </c>
      <c r="B368" s="89">
        <f t="shared" ca="1" si="10"/>
        <v>0.86739956156100517</v>
      </c>
      <c r="C368" s="90">
        <f t="shared" ca="1" si="11"/>
        <v>7.3369978078050258</v>
      </c>
    </row>
    <row r="369" spans="1:3" x14ac:dyDescent="0.15">
      <c r="A369" s="33">
        <v>356</v>
      </c>
      <c r="B369" s="89">
        <f t="shared" ca="1" si="10"/>
        <v>0.28314001096427299</v>
      </c>
      <c r="C369" s="90">
        <f t="shared" ca="1" si="11"/>
        <v>4.4157000548213645</v>
      </c>
    </row>
    <row r="370" spans="1:3" x14ac:dyDescent="0.15">
      <c r="A370" s="33">
        <v>357</v>
      </c>
      <c r="B370" s="89">
        <f t="shared" ca="1" si="10"/>
        <v>0.43944344448036909</v>
      </c>
      <c r="C370" s="90">
        <f t="shared" ca="1" si="11"/>
        <v>5.1972172224018456</v>
      </c>
    </row>
    <row r="371" spans="1:3" x14ac:dyDescent="0.15">
      <c r="A371" s="33">
        <v>358</v>
      </c>
      <c r="B371" s="89">
        <f t="shared" ca="1" si="10"/>
        <v>0.9111223323102583</v>
      </c>
      <c r="C371" s="90">
        <f t="shared" ca="1" si="11"/>
        <v>7.5556116615512918</v>
      </c>
    </row>
    <row r="372" spans="1:3" x14ac:dyDescent="0.15">
      <c r="A372" s="33">
        <v>359</v>
      </c>
      <c r="B372" s="89">
        <f t="shared" ca="1" si="10"/>
        <v>0.4330522540881252</v>
      </c>
      <c r="C372" s="90">
        <f t="shared" ca="1" si="11"/>
        <v>5.1652612704406256</v>
      </c>
    </row>
    <row r="373" spans="1:3" x14ac:dyDescent="0.15">
      <c r="A373" s="33">
        <v>360</v>
      </c>
      <c r="B373" s="89">
        <f t="shared" ca="1" si="10"/>
        <v>0.87497312040798103</v>
      </c>
      <c r="C373" s="90">
        <f t="shared" ca="1" si="11"/>
        <v>7.3748656020399048</v>
      </c>
    </row>
    <row r="374" spans="1:3" x14ac:dyDescent="0.15">
      <c r="A374" s="33">
        <v>361</v>
      </c>
      <c r="B374" s="89">
        <f t="shared" ca="1" si="10"/>
        <v>0.80470051319692149</v>
      </c>
      <c r="C374" s="90">
        <f t="shared" ca="1" si="11"/>
        <v>7.0235025659846073</v>
      </c>
    </row>
    <row r="375" spans="1:3" x14ac:dyDescent="0.15">
      <c r="A375" s="33">
        <v>362</v>
      </c>
      <c r="B375" s="89">
        <f t="shared" ca="1" si="10"/>
        <v>4.2872193289531624E-2</v>
      </c>
      <c r="C375" s="90">
        <f t="shared" ca="1" si="11"/>
        <v>3.214360966447658</v>
      </c>
    </row>
    <row r="376" spans="1:3" x14ac:dyDescent="0.15">
      <c r="A376" s="33">
        <v>363</v>
      </c>
      <c r="B376" s="89">
        <f t="shared" ca="1" si="10"/>
        <v>0.18818698787865473</v>
      </c>
      <c r="C376" s="90">
        <f t="shared" ca="1" si="11"/>
        <v>3.9409349393932738</v>
      </c>
    </row>
    <row r="377" spans="1:3" x14ac:dyDescent="0.15">
      <c r="A377" s="33">
        <v>364</v>
      </c>
      <c r="B377" s="89">
        <f t="shared" ca="1" si="10"/>
        <v>0.78471859206541117</v>
      </c>
      <c r="C377" s="90">
        <f t="shared" ca="1" si="11"/>
        <v>6.9235929603270563</v>
      </c>
    </row>
    <row r="378" spans="1:3" x14ac:dyDescent="0.15">
      <c r="A378" s="33">
        <v>365</v>
      </c>
      <c r="B378" s="89">
        <f t="shared" ca="1" si="10"/>
        <v>0.35169493719001688</v>
      </c>
      <c r="C378" s="90">
        <f t="shared" ca="1" si="11"/>
        <v>4.7584746859500839</v>
      </c>
    </row>
    <row r="379" spans="1:3" x14ac:dyDescent="0.15">
      <c r="A379" s="33">
        <v>366</v>
      </c>
      <c r="B379" s="89">
        <f t="shared" ca="1" si="10"/>
        <v>0.76640105497278543</v>
      </c>
      <c r="C379" s="90">
        <f t="shared" ca="1" si="11"/>
        <v>6.8320052748639277</v>
      </c>
    </row>
    <row r="380" spans="1:3" x14ac:dyDescent="0.15">
      <c r="A380" s="33">
        <v>367</v>
      </c>
      <c r="B380" s="89">
        <f t="shared" ca="1" si="10"/>
        <v>0.9089509533868152</v>
      </c>
      <c r="C380" s="90">
        <f t="shared" ca="1" si="11"/>
        <v>7.5447547669340764</v>
      </c>
    </row>
    <row r="381" spans="1:3" x14ac:dyDescent="0.15">
      <c r="A381" s="33">
        <v>368</v>
      </c>
      <c r="B381" s="89">
        <f t="shared" ca="1" si="10"/>
        <v>0.95603485381945708</v>
      </c>
      <c r="C381" s="90">
        <f t="shared" ca="1" si="11"/>
        <v>7.7801742690972855</v>
      </c>
    </row>
    <row r="382" spans="1:3" x14ac:dyDescent="0.15">
      <c r="A382" s="33">
        <v>369</v>
      </c>
      <c r="B382" s="89">
        <f t="shared" ca="1" si="10"/>
        <v>0.48274843438445303</v>
      </c>
      <c r="C382" s="90">
        <f t="shared" ca="1" si="11"/>
        <v>5.4137421719222649</v>
      </c>
    </row>
    <row r="383" spans="1:3" x14ac:dyDescent="0.15">
      <c r="A383" s="33">
        <v>370</v>
      </c>
      <c r="B383" s="89">
        <f t="shared" ca="1" si="10"/>
        <v>1.2743072684221035E-2</v>
      </c>
      <c r="C383" s="90">
        <f t="shared" ca="1" si="11"/>
        <v>3.063715363421105</v>
      </c>
    </row>
    <row r="384" spans="1:3" x14ac:dyDescent="0.15">
      <c r="A384" s="33">
        <v>371</v>
      </c>
      <c r="B384" s="89">
        <f t="shared" ca="1" si="10"/>
        <v>0.20113300049511129</v>
      </c>
      <c r="C384" s="90">
        <f t="shared" ca="1" si="11"/>
        <v>4.0056650024755562</v>
      </c>
    </row>
    <row r="385" spans="1:3" x14ac:dyDescent="0.15">
      <c r="A385" s="33">
        <v>372</v>
      </c>
      <c r="B385" s="89">
        <f t="shared" ca="1" si="10"/>
        <v>7.6154552139728771E-2</v>
      </c>
      <c r="C385" s="90">
        <f t="shared" ca="1" si="11"/>
        <v>3.380772760698644</v>
      </c>
    </row>
    <row r="386" spans="1:3" x14ac:dyDescent="0.15">
      <c r="A386" s="33">
        <v>373</v>
      </c>
      <c r="B386" s="89">
        <f t="shared" ca="1" si="10"/>
        <v>0.94647649892856589</v>
      </c>
      <c r="C386" s="90">
        <f t="shared" ca="1" si="11"/>
        <v>7.7323824946428292</v>
      </c>
    </row>
    <row r="387" spans="1:3" x14ac:dyDescent="0.15">
      <c r="A387" s="33">
        <v>374</v>
      </c>
      <c r="B387" s="89">
        <f t="shared" ca="1" si="10"/>
        <v>0.51058894543421196</v>
      </c>
      <c r="C387" s="90">
        <f t="shared" ca="1" si="11"/>
        <v>5.5529447271710595</v>
      </c>
    </row>
    <row r="388" spans="1:3" x14ac:dyDescent="0.15">
      <c r="A388" s="33">
        <v>375</v>
      </c>
      <c r="B388" s="89">
        <f t="shared" ca="1" si="10"/>
        <v>0.5688787852460192</v>
      </c>
      <c r="C388" s="90">
        <f t="shared" ca="1" si="11"/>
        <v>5.8443939262300955</v>
      </c>
    </row>
    <row r="389" spans="1:3" x14ac:dyDescent="0.15">
      <c r="A389" s="33">
        <v>376</v>
      </c>
      <c r="B389" s="89">
        <f t="shared" ca="1" si="10"/>
        <v>0.45292299328185381</v>
      </c>
      <c r="C389" s="90">
        <f t="shared" ca="1" si="11"/>
        <v>5.264614966409269</v>
      </c>
    </row>
    <row r="390" spans="1:3" x14ac:dyDescent="0.15">
      <c r="A390" s="33">
        <v>377</v>
      </c>
      <c r="B390" s="89">
        <f t="shared" ca="1" si="10"/>
        <v>0.31365636963904164</v>
      </c>
      <c r="C390" s="90">
        <f t="shared" ca="1" si="11"/>
        <v>4.5682818481952081</v>
      </c>
    </row>
    <row r="391" spans="1:3" x14ac:dyDescent="0.15">
      <c r="A391" s="33">
        <v>378</v>
      </c>
      <c r="B391" s="89">
        <f t="shared" ca="1" si="10"/>
        <v>0.30455479554115417</v>
      </c>
      <c r="C391" s="90">
        <f t="shared" ca="1" si="11"/>
        <v>4.5227739777057714</v>
      </c>
    </row>
    <row r="392" spans="1:3" x14ac:dyDescent="0.15">
      <c r="A392" s="33">
        <v>379</v>
      </c>
      <c r="B392" s="89">
        <f t="shared" ca="1" si="10"/>
        <v>0.28395750134713005</v>
      </c>
      <c r="C392" s="90">
        <f t="shared" ca="1" si="11"/>
        <v>4.4197875067356502</v>
      </c>
    </row>
    <row r="393" spans="1:3" x14ac:dyDescent="0.15">
      <c r="A393" s="33">
        <v>380</v>
      </c>
      <c r="B393" s="89">
        <f t="shared" ca="1" si="10"/>
        <v>0.96738908127685608</v>
      </c>
      <c r="C393" s="90">
        <f t="shared" ca="1" si="11"/>
        <v>7.8369454063842801</v>
      </c>
    </row>
    <row r="394" spans="1:3" x14ac:dyDescent="0.15">
      <c r="A394" s="33">
        <v>381</v>
      </c>
      <c r="B394" s="89">
        <f t="shared" ca="1" si="10"/>
        <v>0.30146191532656585</v>
      </c>
      <c r="C394" s="90">
        <f t="shared" ca="1" si="11"/>
        <v>4.5073095766328297</v>
      </c>
    </row>
    <row r="395" spans="1:3" x14ac:dyDescent="0.15">
      <c r="A395" s="33">
        <v>382</v>
      </c>
      <c r="B395" s="89">
        <f t="shared" ca="1" si="10"/>
        <v>0.32691408489925888</v>
      </c>
      <c r="C395" s="90">
        <f t="shared" ca="1" si="11"/>
        <v>4.6345704244962942</v>
      </c>
    </row>
    <row r="396" spans="1:3" x14ac:dyDescent="0.15">
      <c r="A396" s="33">
        <v>383</v>
      </c>
      <c r="B396" s="89">
        <f t="shared" ca="1" si="10"/>
        <v>0.38037751099108819</v>
      </c>
      <c r="C396" s="90">
        <f t="shared" ca="1" si="11"/>
        <v>4.901887554955441</v>
      </c>
    </row>
    <row r="397" spans="1:3" x14ac:dyDescent="0.15">
      <c r="A397" s="33">
        <v>384</v>
      </c>
      <c r="B397" s="89">
        <f t="shared" ca="1" si="10"/>
        <v>0.3323669933885206</v>
      </c>
      <c r="C397" s="90">
        <f t="shared" ca="1" si="11"/>
        <v>4.6618349669426031</v>
      </c>
    </row>
    <row r="398" spans="1:3" x14ac:dyDescent="0.15">
      <c r="A398" s="33">
        <v>385</v>
      </c>
      <c r="B398" s="89">
        <f t="shared" ref="B398:B461" ca="1" si="12">RAND()</f>
        <v>0.97487870689291023</v>
      </c>
      <c r="C398" s="90">
        <f t="shared" ref="C398:C461" ca="1" si="13">3+5*B398</f>
        <v>7.8743935344645513</v>
      </c>
    </row>
    <row r="399" spans="1:3" x14ac:dyDescent="0.15">
      <c r="A399" s="33">
        <v>386</v>
      </c>
      <c r="B399" s="89">
        <f t="shared" ca="1" si="12"/>
        <v>0.27080183092124954</v>
      </c>
      <c r="C399" s="90">
        <f t="shared" ca="1" si="13"/>
        <v>4.3540091546062474</v>
      </c>
    </row>
    <row r="400" spans="1:3" x14ac:dyDescent="0.15">
      <c r="A400" s="33">
        <v>387</v>
      </c>
      <c r="B400" s="89">
        <f t="shared" ca="1" si="12"/>
        <v>0.90603840599597241</v>
      </c>
      <c r="C400" s="90">
        <f t="shared" ca="1" si="13"/>
        <v>7.5301920299798617</v>
      </c>
    </row>
    <row r="401" spans="1:3" x14ac:dyDescent="0.15">
      <c r="A401" s="33">
        <v>388</v>
      </c>
      <c r="B401" s="89">
        <f t="shared" ca="1" si="12"/>
        <v>4.9688782115465346E-2</v>
      </c>
      <c r="C401" s="90">
        <f t="shared" ca="1" si="13"/>
        <v>3.2484439105773268</v>
      </c>
    </row>
    <row r="402" spans="1:3" x14ac:dyDescent="0.15">
      <c r="A402" s="33">
        <v>389</v>
      </c>
      <c r="B402" s="89">
        <f t="shared" ca="1" si="12"/>
        <v>0.91043529873687634</v>
      </c>
      <c r="C402" s="90">
        <f t="shared" ca="1" si="13"/>
        <v>7.5521764936843816</v>
      </c>
    </row>
    <row r="403" spans="1:3" x14ac:dyDescent="0.15">
      <c r="A403" s="33">
        <v>390</v>
      </c>
      <c r="B403" s="89">
        <f t="shared" ca="1" si="12"/>
        <v>8.2795995360448238E-2</v>
      </c>
      <c r="C403" s="90">
        <f t="shared" ca="1" si="13"/>
        <v>3.4139799768022412</v>
      </c>
    </row>
    <row r="404" spans="1:3" x14ac:dyDescent="0.15">
      <c r="A404" s="33">
        <v>391</v>
      </c>
      <c r="B404" s="89">
        <f t="shared" ca="1" si="12"/>
        <v>0.44546059886760803</v>
      </c>
      <c r="C404" s="90">
        <f t="shared" ca="1" si="13"/>
        <v>5.2273029943380402</v>
      </c>
    </row>
    <row r="405" spans="1:3" x14ac:dyDescent="0.15">
      <c r="A405" s="33">
        <v>392</v>
      </c>
      <c r="B405" s="89">
        <f t="shared" ca="1" si="12"/>
        <v>8.8451685077418185E-2</v>
      </c>
      <c r="C405" s="90">
        <f t="shared" ca="1" si="13"/>
        <v>3.4422584253870907</v>
      </c>
    </row>
    <row r="406" spans="1:3" x14ac:dyDescent="0.15">
      <c r="A406" s="33">
        <v>393</v>
      </c>
      <c r="B406" s="89">
        <f t="shared" ca="1" si="12"/>
        <v>0.3860573013598122</v>
      </c>
      <c r="C406" s="90">
        <f t="shared" ca="1" si="13"/>
        <v>4.9302865067990611</v>
      </c>
    </row>
    <row r="407" spans="1:3" x14ac:dyDescent="0.15">
      <c r="A407" s="33">
        <v>394</v>
      </c>
      <c r="B407" s="89">
        <f t="shared" ca="1" si="12"/>
        <v>0.5435050709200403</v>
      </c>
      <c r="C407" s="90">
        <f t="shared" ca="1" si="13"/>
        <v>5.7175253546002018</v>
      </c>
    </row>
    <row r="408" spans="1:3" x14ac:dyDescent="0.15">
      <c r="A408" s="33">
        <v>395</v>
      </c>
      <c r="B408" s="89">
        <f t="shared" ca="1" si="12"/>
        <v>0.33178931692103009</v>
      </c>
      <c r="C408" s="90">
        <f t="shared" ca="1" si="13"/>
        <v>4.6589465846051503</v>
      </c>
    </row>
    <row r="409" spans="1:3" x14ac:dyDescent="0.15">
      <c r="A409" s="33">
        <v>396</v>
      </c>
      <c r="B409" s="89">
        <f t="shared" ca="1" si="12"/>
        <v>3.2446896814130266E-2</v>
      </c>
      <c r="C409" s="90">
        <f t="shared" ca="1" si="13"/>
        <v>3.1622344840706513</v>
      </c>
    </row>
    <row r="410" spans="1:3" x14ac:dyDescent="0.15">
      <c r="A410" s="33">
        <v>397</v>
      </c>
      <c r="B410" s="89">
        <f t="shared" ca="1" si="12"/>
        <v>0.36354303316040115</v>
      </c>
      <c r="C410" s="90">
        <f t="shared" ca="1" si="13"/>
        <v>4.8177151658020057</v>
      </c>
    </row>
    <row r="411" spans="1:3" x14ac:dyDescent="0.15">
      <c r="A411" s="33">
        <v>398</v>
      </c>
      <c r="B411" s="89">
        <f t="shared" ca="1" si="12"/>
        <v>0.32904927526792171</v>
      </c>
      <c r="C411" s="90">
        <f t="shared" ca="1" si="13"/>
        <v>4.6452463763396086</v>
      </c>
    </row>
    <row r="412" spans="1:3" x14ac:dyDescent="0.15">
      <c r="A412" s="33">
        <v>399</v>
      </c>
      <c r="B412" s="89">
        <f t="shared" ca="1" si="12"/>
        <v>0.46997971294316465</v>
      </c>
      <c r="C412" s="90">
        <f t="shared" ca="1" si="13"/>
        <v>5.349898564715823</v>
      </c>
    </row>
    <row r="413" spans="1:3" x14ac:dyDescent="0.15">
      <c r="A413" s="33">
        <v>400</v>
      </c>
      <c r="B413" s="89">
        <f t="shared" ca="1" si="12"/>
        <v>0.43905419007395596</v>
      </c>
      <c r="C413" s="90">
        <f t="shared" ca="1" si="13"/>
        <v>5.19527095036978</v>
      </c>
    </row>
    <row r="414" spans="1:3" x14ac:dyDescent="0.15">
      <c r="A414" s="33">
        <v>401</v>
      </c>
      <c r="B414" s="89">
        <f t="shared" ca="1" si="12"/>
        <v>0.60388778269087751</v>
      </c>
      <c r="C414" s="90">
        <f t="shared" ca="1" si="13"/>
        <v>6.0194389134543878</v>
      </c>
    </row>
    <row r="415" spans="1:3" x14ac:dyDescent="0.15">
      <c r="A415" s="33">
        <v>402</v>
      </c>
      <c r="B415" s="89">
        <f t="shared" ca="1" si="12"/>
        <v>0.20672537375242217</v>
      </c>
      <c r="C415" s="90">
        <f t="shared" ca="1" si="13"/>
        <v>4.0336268687621111</v>
      </c>
    </row>
    <row r="416" spans="1:3" x14ac:dyDescent="0.15">
      <c r="A416" s="33">
        <v>403</v>
      </c>
      <c r="B416" s="89">
        <f t="shared" ca="1" si="12"/>
        <v>0.71966972070307311</v>
      </c>
      <c r="C416" s="90">
        <f t="shared" ca="1" si="13"/>
        <v>6.5983486035153653</v>
      </c>
    </row>
    <row r="417" spans="1:3" x14ac:dyDescent="0.15">
      <c r="A417" s="33">
        <v>404</v>
      </c>
      <c r="B417" s="89">
        <f t="shared" ca="1" si="12"/>
        <v>0.67498943526190303</v>
      </c>
      <c r="C417" s="90">
        <f t="shared" ca="1" si="13"/>
        <v>6.3749471763095151</v>
      </c>
    </row>
    <row r="418" spans="1:3" x14ac:dyDescent="0.15">
      <c r="A418" s="33">
        <v>405</v>
      </c>
      <c r="B418" s="89">
        <f t="shared" ca="1" si="12"/>
        <v>8.5194894316633074E-2</v>
      </c>
      <c r="C418" s="90">
        <f t="shared" ca="1" si="13"/>
        <v>3.4259744715831655</v>
      </c>
    </row>
    <row r="419" spans="1:3" x14ac:dyDescent="0.15">
      <c r="A419" s="33">
        <v>406</v>
      </c>
      <c r="B419" s="89">
        <f t="shared" ca="1" si="12"/>
        <v>0.64812122465138045</v>
      </c>
      <c r="C419" s="90">
        <f t="shared" ca="1" si="13"/>
        <v>6.2406061232569021</v>
      </c>
    </row>
    <row r="420" spans="1:3" x14ac:dyDescent="0.15">
      <c r="A420" s="33">
        <v>407</v>
      </c>
      <c r="B420" s="89">
        <f t="shared" ca="1" si="12"/>
        <v>0.53425205649116669</v>
      </c>
      <c r="C420" s="90">
        <f t="shared" ca="1" si="13"/>
        <v>5.6712602824558331</v>
      </c>
    </row>
    <row r="421" spans="1:3" x14ac:dyDescent="0.15">
      <c r="A421" s="33">
        <v>408</v>
      </c>
      <c r="B421" s="89">
        <f t="shared" ca="1" si="12"/>
        <v>0.37462128390116889</v>
      </c>
      <c r="C421" s="90">
        <f t="shared" ca="1" si="13"/>
        <v>4.8731064195058442</v>
      </c>
    </row>
    <row r="422" spans="1:3" x14ac:dyDescent="0.15">
      <c r="A422" s="33">
        <v>409</v>
      </c>
      <c r="B422" s="89">
        <f t="shared" ca="1" si="12"/>
        <v>0.28292134148932491</v>
      </c>
      <c r="C422" s="90">
        <f t="shared" ca="1" si="13"/>
        <v>4.4146067074466249</v>
      </c>
    </row>
    <row r="423" spans="1:3" x14ac:dyDescent="0.15">
      <c r="A423" s="33">
        <v>410</v>
      </c>
      <c r="B423" s="89">
        <f t="shared" ca="1" si="12"/>
        <v>0.20390411435777023</v>
      </c>
      <c r="C423" s="90">
        <f t="shared" ca="1" si="13"/>
        <v>4.0195205717888509</v>
      </c>
    </row>
    <row r="424" spans="1:3" x14ac:dyDescent="0.15">
      <c r="A424" s="33">
        <v>411</v>
      </c>
      <c r="B424" s="89">
        <f t="shared" ca="1" si="12"/>
        <v>0.74973434260649974</v>
      </c>
      <c r="C424" s="90">
        <f t="shared" ca="1" si="13"/>
        <v>6.7486717130324987</v>
      </c>
    </row>
    <row r="425" spans="1:3" x14ac:dyDescent="0.15">
      <c r="A425" s="33">
        <v>412</v>
      </c>
      <c r="B425" s="89">
        <f t="shared" ca="1" si="12"/>
        <v>0.2190006905795151</v>
      </c>
      <c r="C425" s="90">
        <f t="shared" ca="1" si="13"/>
        <v>4.0950034528975756</v>
      </c>
    </row>
    <row r="426" spans="1:3" x14ac:dyDescent="0.15">
      <c r="A426" s="33">
        <v>413</v>
      </c>
      <c r="B426" s="89">
        <f t="shared" ca="1" si="12"/>
        <v>0.35307140614015675</v>
      </c>
      <c r="C426" s="90">
        <f t="shared" ca="1" si="13"/>
        <v>4.765357030700784</v>
      </c>
    </row>
    <row r="427" spans="1:3" x14ac:dyDescent="0.15">
      <c r="A427" s="33">
        <v>414</v>
      </c>
      <c r="B427" s="89">
        <f t="shared" ca="1" si="12"/>
        <v>0.7374034458469787</v>
      </c>
      <c r="C427" s="90">
        <f t="shared" ca="1" si="13"/>
        <v>6.6870172292348933</v>
      </c>
    </row>
    <row r="428" spans="1:3" x14ac:dyDescent="0.15">
      <c r="A428" s="33">
        <v>415</v>
      </c>
      <c r="B428" s="89">
        <f t="shared" ca="1" si="12"/>
        <v>0.21522237593734805</v>
      </c>
      <c r="C428" s="90">
        <f t="shared" ca="1" si="13"/>
        <v>4.0761118796867404</v>
      </c>
    </row>
    <row r="429" spans="1:3" x14ac:dyDescent="0.15">
      <c r="A429" s="33">
        <v>416</v>
      </c>
      <c r="B429" s="89">
        <f t="shared" ca="1" si="12"/>
        <v>0.90925912653791119</v>
      </c>
      <c r="C429" s="90">
        <f t="shared" ca="1" si="13"/>
        <v>7.5462956326895556</v>
      </c>
    </row>
    <row r="430" spans="1:3" x14ac:dyDescent="0.15">
      <c r="A430" s="33">
        <v>417</v>
      </c>
      <c r="B430" s="89">
        <f t="shared" ca="1" si="12"/>
        <v>5.3394418586057424E-2</v>
      </c>
      <c r="C430" s="90">
        <f t="shared" ca="1" si="13"/>
        <v>3.266972092930287</v>
      </c>
    </row>
    <row r="431" spans="1:3" x14ac:dyDescent="0.15">
      <c r="A431" s="33">
        <v>418</v>
      </c>
      <c r="B431" s="89">
        <f t="shared" ca="1" si="12"/>
        <v>0.49881032340631937</v>
      </c>
      <c r="C431" s="90">
        <f t="shared" ca="1" si="13"/>
        <v>5.4940516170315963</v>
      </c>
    </row>
    <row r="432" spans="1:3" x14ac:dyDescent="0.15">
      <c r="A432" s="33">
        <v>419</v>
      </c>
      <c r="B432" s="89">
        <f t="shared" ca="1" si="12"/>
        <v>0.66614507351573726</v>
      </c>
      <c r="C432" s="90">
        <f t="shared" ca="1" si="13"/>
        <v>6.3307253675786868</v>
      </c>
    </row>
    <row r="433" spans="1:3" x14ac:dyDescent="0.15">
      <c r="A433" s="33">
        <v>420</v>
      </c>
      <c r="B433" s="89">
        <f t="shared" ca="1" si="12"/>
        <v>0.77617139134244806</v>
      </c>
      <c r="C433" s="90">
        <f t="shared" ca="1" si="13"/>
        <v>6.8808569567122397</v>
      </c>
    </row>
    <row r="434" spans="1:3" x14ac:dyDescent="0.15">
      <c r="A434" s="33">
        <v>421</v>
      </c>
      <c r="B434" s="89">
        <f t="shared" ca="1" si="12"/>
        <v>0.33057535392096027</v>
      </c>
      <c r="C434" s="90">
        <f t="shared" ca="1" si="13"/>
        <v>4.6528767696048012</v>
      </c>
    </row>
    <row r="435" spans="1:3" x14ac:dyDescent="0.15">
      <c r="A435" s="33">
        <v>422</v>
      </c>
      <c r="B435" s="89">
        <f t="shared" ca="1" si="12"/>
        <v>0.36981171522275247</v>
      </c>
      <c r="C435" s="90">
        <f t="shared" ca="1" si="13"/>
        <v>4.8490585761137623</v>
      </c>
    </row>
    <row r="436" spans="1:3" x14ac:dyDescent="0.15">
      <c r="A436" s="33">
        <v>423</v>
      </c>
      <c r="B436" s="89">
        <f t="shared" ca="1" si="12"/>
        <v>0.48170562575614195</v>
      </c>
      <c r="C436" s="90">
        <f t="shared" ca="1" si="13"/>
        <v>5.4085281287807092</v>
      </c>
    </row>
    <row r="437" spans="1:3" x14ac:dyDescent="0.15">
      <c r="A437" s="33">
        <v>424</v>
      </c>
      <c r="B437" s="89">
        <f t="shared" ca="1" si="12"/>
        <v>0.56582236315458334</v>
      </c>
      <c r="C437" s="90">
        <f t="shared" ca="1" si="13"/>
        <v>5.8291118157729169</v>
      </c>
    </row>
    <row r="438" spans="1:3" x14ac:dyDescent="0.15">
      <c r="A438" s="33">
        <v>425</v>
      </c>
      <c r="B438" s="89">
        <f t="shared" ca="1" si="12"/>
        <v>0.60077495360808975</v>
      </c>
      <c r="C438" s="90">
        <f t="shared" ca="1" si="13"/>
        <v>6.0038747680404487</v>
      </c>
    </row>
    <row r="439" spans="1:3" x14ac:dyDescent="0.15">
      <c r="A439" s="33">
        <v>426</v>
      </c>
      <c r="B439" s="89">
        <f t="shared" ca="1" si="12"/>
        <v>0.57854774622218541</v>
      </c>
      <c r="C439" s="90">
        <f t="shared" ca="1" si="13"/>
        <v>5.8927387311109269</v>
      </c>
    </row>
    <row r="440" spans="1:3" x14ac:dyDescent="0.15">
      <c r="A440" s="33">
        <v>427</v>
      </c>
      <c r="B440" s="89">
        <f t="shared" ca="1" si="12"/>
        <v>0.2704379538932401</v>
      </c>
      <c r="C440" s="90">
        <f t="shared" ca="1" si="13"/>
        <v>4.3521897694662002</v>
      </c>
    </row>
    <row r="441" spans="1:3" x14ac:dyDescent="0.15">
      <c r="A441" s="33">
        <v>428</v>
      </c>
      <c r="B441" s="89">
        <f t="shared" ca="1" si="12"/>
        <v>0.12699070069623752</v>
      </c>
      <c r="C441" s="90">
        <f t="shared" ca="1" si="13"/>
        <v>3.6349535034811877</v>
      </c>
    </row>
    <row r="442" spans="1:3" x14ac:dyDescent="0.15">
      <c r="A442" s="33">
        <v>429</v>
      </c>
      <c r="B442" s="89">
        <f t="shared" ca="1" si="12"/>
        <v>0.49230733903176827</v>
      </c>
      <c r="C442" s="90">
        <f t="shared" ca="1" si="13"/>
        <v>5.4615366951588413</v>
      </c>
    </row>
    <row r="443" spans="1:3" x14ac:dyDescent="0.15">
      <c r="A443" s="33">
        <v>430</v>
      </c>
      <c r="B443" s="89">
        <f t="shared" ca="1" si="12"/>
        <v>0.91334489572283839</v>
      </c>
      <c r="C443" s="90">
        <f t="shared" ca="1" si="13"/>
        <v>7.5667244786141916</v>
      </c>
    </row>
    <row r="444" spans="1:3" x14ac:dyDescent="0.15">
      <c r="A444" s="33">
        <v>431</v>
      </c>
      <c r="B444" s="89">
        <f t="shared" ca="1" si="12"/>
        <v>0.67334500221356897</v>
      </c>
      <c r="C444" s="90">
        <f t="shared" ca="1" si="13"/>
        <v>6.3667250110678451</v>
      </c>
    </row>
    <row r="445" spans="1:3" x14ac:dyDescent="0.15">
      <c r="A445" s="33">
        <v>432</v>
      </c>
      <c r="B445" s="89">
        <f t="shared" ca="1" si="12"/>
        <v>0.5801486144775122</v>
      </c>
      <c r="C445" s="90">
        <f t="shared" ca="1" si="13"/>
        <v>5.9007430723875611</v>
      </c>
    </row>
    <row r="446" spans="1:3" x14ac:dyDescent="0.15">
      <c r="A446" s="33">
        <v>433</v>
      </c>
      <c r="B446" s="89">
        <f t="shared" ca="1" si="12"/>
        <v>0.25764901290049258</v>
      </c>
      <c r="C446" s="90">
        <f t="shared" ca="1" si="13"/>
        <v>4.2882450645024628</v>
      </c>
    </row>
    <row r="447" spans="1:3" x14ac:dyDescent="0.15">
      <c r="A447" s="33">
        <v>434</v>
      </c>
      <c r="B447" s="89">
        <f t="shared" ca="1" si="12"/>
        <v>0.38372666858491755</v>
      </c>
      <c r="C447" s="90">
        <f t="shared" ca="1" si="13"/>
        <v>4.9186333429245881</v>
      </c>
    </row>
    <row r="448" spans="1:3" x14ac:dyDescent="0.15">
      <c r="A448" s="33">
        <v>435</v>
      </c>
      <c r="B448" s="89">
        <f t="shared" ca="1" si="12"/>
        <v>0.42942051191621844</v>
      </c>
      <c r="C448" s="90">
        <f t="shared" ca="1" si="13"/>
        <v>5.147102559581092</v>
      </c>
    </row>
    <row r="449" spans="1:3" x14ac:dyDescent="0.15">
      <c r="A449" s="33">
        <v>436</v>
      </c>
      <c r="B449" s="89">
        <f t="shared" ca="1" si="12"/>
        <v>0.4992812213975536</v>
      </c>
      <c r="C449" s="90">
        <f t="shared" ca="1" si="13"/>
        <v>5.4964061069877683</v>
      </c>
    </row>
    <row r="450" spans="1:3" x14ac:dyDescent="0.15">
      <c r="A450" s="33">
        <v>437</v>
      </c>
      <c r="B450" s="89">
        <f t="shared" ca="1" si="12"/>
        <v>0.68367967727337842</v>
      </c>
      <c r="C450" s="90">
        <f t="shared" ca="1" si="13"/>
        <v>6.4183983863668921</v>
      </c>
    </row>
    <row r="451" spans="1:3" x14ac:dyDescent="0.15">
      <c r="A451" s="33">
        <v>438</v>
      </c>
      <c r="B451" s="89">
        <f t="shared" ca="1" si="12"/>
        <v>0.6940020086484131</v>
      </c>
      <c r="C451" s="90">
        <f t="shared" ca="1" si="13"/>
        <v>6.4700100432420653</v>
      </c>
    </row>
    <row r="452" spans="1:3" x14ac:dyDescent="0.15">
      <c r="A452" s="33">
        <v>439</v>
      </c>
      <c r="B452" s="89">
        <f t="shared" ca="1" si="12"/>
        <v>0.6324145190089242</v>
      </c>
      <c r="C452" s="90">
        <f t="shared" ca="1" si="13"/>
        <v>6.1620725950446209</v>
      </c>
    </row>
    <row r="453" spans="1:3" x14ac:dyDescent="0.15">
      <c r="A453" s="33">
        <v>440</v>
      </c>
      <c r="B453" s="89">
        <f t="shared" ca="1" si="12"/>
        <v>0.4351594529989693</v>
      </c>
      <c r="C453" s="90">
        <f t="shared" ca="1" si="13"/>
        <v>5.1757972649948467</v>
      </c>
    </row>
    <row r="454" spans="1:3" x14ac:dyDescent="0.15">
      <c r="A454" s="33">
        <v>441</v>
      </c>
      <c r="B454" s="89">
        <f t="shared" ca="1" si="12"/>
        <v>0.10285215427090655</v>
      </c>
      <c r="C454" s="90">
        <f t="shared" ca="1" si="13"/>
        <v>3.5142607713545329</v>
      </c>
    </row>
    <row r="455" spans="1:3" x14ac:dyDescent="0.15">
      <c r="A455" s="33">
        <v>442</v>
      </c>
      <c r="B455" s="89">
        <f t="shared" ca="1" si="12"/>
        <v>0.12307470327993175</v>
      </c>
      <c r="C455" s="90">
        <f t="shared" ca="1" si="13"/>
        <v>3.615373516399659</v>
      </c>
    </row>
    <row r="456" spans="1:3" x14ac:dyDescent="0.15">
      <c r="A456" s="33">
        <v>443</v>
      </c>
      <c r="B456" s="89">
        <f t="shared" ca="1" si="12"/>
        <v>0.39371873883638786</v>
      </c>
      <c r="C456" s="90">
        <f t="shared" ca="1" si="13"/>
        <v>4.9685936941819389</v>
      </c>
    </row>
    <row r="457" spans="1:3" x14ac:dyDescent="0.15">
      <c r="A457" s="33">
        <v>444</v>
      </c>
      <c r="B457" s="89">
        <f t="shared" ca="1" si="12"/>
        <v>0.91851138724773618</v>
      </c>
      <c r="C457" s="90">
        <f t="shared" ca="1" si="13"/>
        <v>7.5925569362386813</v>
      </c>
    </row>
    <row r="458" spans="1:3" x14ac:dyDescent="0.15">
      <c r="A458" s="33">
        <v>445</v>
      </c>
      <c r="B458" s="89">
        <f t="shared" ca="1" si="12"/>
        <v>0.8698973661380297</v>
      </c>
      <c r="C458" s="90">
        <f t="shared" ca="1" si="13"/>
        <v>7.3494868306901484</v>
      </c>
    </row>
    <row r="459" spans="1:3" x14ac:dyDescent="0.15">
      <c r="A459" s="33">
        <v>446</v>
      </c>
      <c r="B459" s="89">
        <f t="shared" ca="1" si="12"/>
        <v>0.70699606005097515</v>
      </c>
      <c r="C459" s="90">
        <f t="shared" ca="1" si="13"/>
        <v>6.5349803002548761</v>
      </c>
    </row>
    <row r="460" spans="1:3" x14ac:dyDescent="0.15">
      <c r="A460" s="33">
        <v>447</v>
      </c>
      <c r="B460" s="89">
        <f t="shared" ca="1" si="12"/>
        <v>0.19425801512582275</v>
      </c>
      <c r="C460" s="90">
        <f t="shared" ca="1" si="13"/>
        <v>3.9712900756291138</v>
      </c>
    </row>
    <row r="461" spans="1:3" x14ac:dyDescent="0.15">
      <c r="A461" s="33">
        <v>448</v>
      </c>
      <c r="B461" s="89">
        <f t="shared" ca="1" si="12"/>
        <v>0.52241277981154499</v>
      </c>
      <c r="C461" s="90">
        <f t="shared" ca="1" si="13"/>
        <v>5.6120638990577252</v>
      </c>
    </row>
    <row r="462" spans="1:3" x14ac:dyDescent="0.15">
      <c r="A462" s="33">
        <v>449</v>
      </c>
      <c r="B462" s="89">
        <f t="shared" ref="B462:B513" ca="1" si="14">RAND()</f>
        <v>0.2224865384790462</v>
      </c>
      <c r="C462" s="90">
        <f t="shared" ref="C462:C513" ca="1" si="15">3+5*B462</f>
        <v>4.112432692395231</v>
      </c>
    </row>
    <row r="463" spans="1:3" x14ac:dyDescent="0.15">
      <c r="A463" s="33">
        <v>450</v>
      </c>
      <c r="B463" s="89">
        <f t="shared" ca="1" si="14"/>
        <v>0.58820135139696239</v>
      </c>
      <c r="C463" s="90">
        <f t="shared" ca="1" si="15"/>
        <v>5.9410067569848124</v>
      </c>
    </row>
    <row r="464" spans="1:3" x14ac:dyDescent="0.15">
      <c r="A464" s="33">
        <v>451</v>
      </c>
      <c r="B464" s="89">
        <f t="shared" ca="1" si="14"/>
        <v>0.65751773636933619</v>
      </c>
      <c r="C464" s="90">
        <f t="shared" ca="1" si="15"/>
        <v>6.2875886818466808</v>
      </c>
    </row>
    <row r="465" spans="1:3" x14ac:dyDescent="0.15">
      <c r="A465" s="33">
        <v>452</v>
      </c>
      <c r="B465" s="89">
        <f t="shared" ca="1" si="14"/>
        <v>4.5822160853349558E-2</v>
      </c>
      <c r="C465" s="90">
        <f t="shared" ca="1" si="15"/>
        <v>3.2291108042667478</v>
      </c>
    </row>
    <row r="466" spans="1:3" x14ac:dyDescent="0.15">
      <c r="A466" s="33">
        <v>453</v>
      </c>
      <c r="B466" s="89">
        <f t="shared" ca="1" si="14"/>
        <v>0.95356211322451156</v>
      </c>
      <c r="C466" s="90">
        <f t="shared" ca="1" si="15"/>
        <v>7.7678105661225576</v>
      </c>
    </row>
    <row r="467" spans="1:3" x14ac:dyDescent="0.15">
      <c r="A467" s="33">
        <v>454</v>
      </c>
      <c r="B467" s="89">
        <f t="shared" ca="1" si="14"/>
        <v>0.88059387051647442</v>
      </c>
      <c r="C467" s="90">
        <f t="shared" ca="1" si="15"/>
        <v>7.4029693525823719</v>
      </c>
    </row>
    <row r="468" spans="1:3" x14ac:dyDescent="0.15">
      <c r="A468" s="33">
        <v>455</v>
      </c>
      <c r="B468" s="89">
        <f t="shared" ca="1" si="14"/>
        <v>0.98419495098644649</v>
      </c>
      <c r="C468" s="90">
        <f t="shared" ca="1" si="15"/>
        <v>7.9209747549322325</v>
      </c>
    </row>
    <row r="469" spans="1:3" x14ac:dyDescent="0.15">
      <c r="A469" s="33">
        <v>456</v>
      </c>
      <c r="B469" s="89">
        <f t="shared" ca="1" si="14"/>
        <v>0.96037361720927028</v>
      </c>
      <c r="C469" s="90">
        <f t="shared" ca="1" si="15"/>
        <v>7.8018680860463512</v>
      </c>
    </row>
    <row r="470" spans="1:3" x14ac:dyDescent="0.15">
      <c r="A470" s="33">
        <v>457</v>
      </c>
      <c r="B470" s="89">
        <f t="shared" ca="1" si="14"/>
        <v>3.5353063914055793E-2</v>
      </c>
      <c r="C470" s="90">
        <f t="shared" ca="1" si="15"/>
        <v>3.1767653195702792</v>
      </c>
    </row>
    <row r="471" spans="1:3" x14ac:dyDescent="0.15">
      <c r="A471" s="33">
        <v>458</v>
      </c>
      <c r="B471" s="89">
        <f t="shared" ca="1" si="14"/>
        <v>0.66847677311765175</v>
      </c>
      <c r="C471" s="90">
        <f t="shared" ca="1" si="15"/>
        <v>6.3423838655882587</v>
      </c>
    </row>
    <row r="472" spans="1:3" x14ac:dyDescent="0.15">
      <c r="A472" s="33">
        <v>459</v>
      </c>
      <c r="B472" s="89">
        <f t="shared" ca="1" si="14"/>
        <v>0.61258386864128589</v>
      </c>
      <c r="C472" s="90">
        <f t="shared" ca="1" si="15"/>
        <v>6.0629193432064294</v>
      </c>
    </row>
    <row r="473" spans="1:3" x14ac:dyDescent="0.15">
      <c r="A473" s="33">
        <v>460</v>
      </c>
      <c r="B473" s="89">
        <f t="shared" ca="1" si="14"/>
        <v>0.23715148921854301</v>
      </c>
      <c r="C473" s="90">
        <f t="shared" ca="1" si="15"/>
        <v>4.1857574460927154</v>
      </c>
    </row>
    <row r="474" spans="1:3" x14ac:dyDescent="0.15">
      <c r="A474" s="33">
        <v>461</v>
      </c>
      <c r="B474" s="89">
        <f t="shared" ca="1" si="14"/>
        <v>0.99091544210131199</v>
      </c>
      <c r="C474" s="90">
        <f t="shared" ca="1" si="15"/>
        <v>7.9545772105065602</v>
      </c>
    </row>
    <row r="475" spans="1:3" x14ac:dyDescent="0.15">
      <c r="A475" s="33">
        <v>462</v>
      </c>
      <c r="B475" s="89">
        <f t="shared" ca="1" si="14"/>
        <v>0.5910941456846508</v>
      </c>
      <c r="C475" s="90">
        <f t="shared" ca="1" si="15"/>
        <v>5.9554707284232542</v>
      </c>
    </row>
    <row r="476" spans="1:3" x14ac:dyDescent="0.15">
      <c r="A476" s="33">
        <v>463</v>
      </c>
      <c r="B476" s="89">
        <f t="shared" ca="1" si="14"/>
        <v>0.65519655594418136</v>
      </c>
      <c r="C476" s="90">
        <f t="shared" ca="1" si="15"/>
        <v>6.2759827797209073</v>
      </c>
    </row>
    <row r="477" spans="1:3" x14ac:dyDescent="0.15">
      <c r="A477" s="33">
        <v>464</v>
      </c>
      <c r="B477" s="89">
        <f t="shared" ca="1" si="14"/>
        <v>0.93766410168703396</v>
      </c>
      <c r="C477" s="90">
        <f t="shared" ca="1" si="15"/>
        <v>7.6883205084351696</v>
      </c>
    </row>
    <row r="478" spans="1:3" x14ac:dyDescent="0.15">
      <c r="A478" s="33">
        <v>465</v>
      </c>
      <c r="B478" s="89">
        <f t="shared" ca="1" si="14"/>
        <v>3.5245772995715074E-2</v>
      </c>
      <c r="C478" s="90">
        <f t="shared" ca="1" si="15"/>
        <v>3.1762288649785755</v>
      </c>
    </row>
    <row r="479" spans="1:3" x14ac:dyDescent="0.15">
      <c r="A479" s="33">
        <v>466</v>
      </c>
      <c r="B479" s="89">
        <f t="shared" ca="1" si="14"/>
        <v>0.3439849371564857</v>
      </c>
      <c r="C479" s="90">
        <f t="shared" ca="1" si="15"/>
        <v>4.7199246857824289</v>
      </c>
    </row>
    <row r="480" spans="1:3" x14ac:dyDescent="0.15">
      <c r="A480" s="33">
        <v>467</v>
      </c>
      <c r="B480" s="89">
        <f t="shared" ca="1" si="14"/>
        <v>0.44024357560290617</v>
      </c>
      <c r="C480" s="90">
        <f t="shared" ca="1" si="15"/>
        <v>5.2012178780145311</v>
      </c>
    </row>
    <row r="481" spans="1:3" x14ac:dyDescent="0.15">
      <c r="A481" s="33">
        <v>468</v>
      </c>
      <c r="B481" s="89">
        <f t="shared" ca="1" si="14"/>
        <v>0.46622022008578168</v>
      </c>
      <c r="C481" s="90">
        <f t="shared" ca="1" si="15"/>
        <v>5.3311011004289082</v>
      </c>
    </row>
    <row r="482" spans="1:3" x14ac:dyDescent="0.15">
      <c r="A482" s="33">
        <v>469</v>
      </c>
      <c r="B482" s="89">
        <f t="shared" ca="1" si="14"/>
        <v>7.7939014566499432E-2</v>
      </c>
      <c r="C482" s="90">
        <f t="shared" ca="1" si="15"/>
        <v>3.389695072832497</v>
      </c>
    </row>
    <row r="483" spans="1:3" x14ac:dyDescent="0.15">
      <c r="A483" s="33">
        <v>470</v>
      </c>
      <c r="B483" s="89">
        <f t="shared" ca="1" si="14"/>
        <v>0.71394203749923768</v>
      </c>
      <c r="C483" s="90">
        <f t="shared" ca="1" si="15"/>
        <v>6.5697101874961881</v>
      </c>
    </row>
    <row r="484" spans="1:3" x14ac:dyDescent="0.15">
      <c r="A484" s="33">
        <v>471</v>
      </c>
      <c r="B484" s="89">
        <f t="shared" ca="1" si="14"/>
        <v>0.53667301083605634</v>
      </c>
      <c r="C484" s="90">
        <f t="shared" ca="1" si="15"/>
        <v>5.6833650541802818</v>
      </c>
    </row>
    <row r="485" spans="1:3" x14ac:dyDescent="0.15">
      <c r="A485" s="33">
        <v>472</v>
      </c>
      <c r="B485" s="89">
        <f t="shared" ca="1" si="14"/>
        <v>0.77470294601052714</v>
      </c>
      <c r="C485" s="90">
        <f t="shared" ca="1" si="15"/>
        <v>6.8735147300526354</v>
      </c>
    </row>
    <row r="486" spans="1:3" x14ac:dyDescent="0.15">
      <c r="A486" s="33">
        <v>473</v>
      </c>
      <c r="B486" s="89">
        <f t="shared" ca="1" si="14"/>
        <v>0.81866054984580738</v>
      </c>
      <c r="C486" s="90">
        <f t="shared" ca="1" si="15"/>
        <v>7.0933027492290366</v>
      </c>
    </row>
    <row r="487" spans="1:3" x14ac:dyDescent="0.15">
      <c r="A487" s="33">
        <v>474</v>
      </c>
      <c r="B487" s="89">
        <f t="shared" ca="1" si="14"/>
        <v>0.93088181907578604</v>
      </c>
      <c r="C487" s="90">
        <f t="shared" ca="1" si="15"/>
        <v>7.6544090953789299</v>
      </c>
    </row>
    <row r="488" spans="1:3" x14ac:dyDescent="0.15">
      <c r="A488" s="33">
        <v>475</v>
      </c>
      <c r="B488" s="89">
        <f t="shared" ca="1" si="14"/>
        <v>0.96180769902356977</v>
      </c>
      <c r="C488" s="90">
        <f t="shared" ca="1" si="15"/>
        <v>7.8090384951178491</v>
      </c>
    </row>
    <row r="489" spans="1:3" x14ac:dyDescent="0.15">
      <c r="A489" s="33">
        <v>476</v>
      </c>
      <c r="B489" s="89">
        <f t="shared" ca="1" si="14"/>
        <v>9.2340977568002636E-2</v>
      </c>
      <c r="C489" s="90">
        <f t="shared" ca="1" si="15"/>
        <v>3.4617048878400132</v>
      </c>
    </row>
    <row r="490" spans="1:3" x14ac:dyDescent="0.15">
      <c r="A490" s="33">
        <v>477</v>
      </c>
      <c r="B490" s="89">
        <f t="shared" ca="1" si="14"/>
        <v>0.69972868900577256</v>
      </c>
      <c r="C490" s="90">
        <f t="shared" ca="1" si="15"/>
        <v>6.498643445028863</v>
      </c>
    </row>
    <row r="491" spans="1:3" x14ac:dyDescent="0.15">
      <c r="A491" s="33">
        <v>478</v>
      </c>
      <c r="B491" s="89">
        <f t="shared" ca="1" si="14"/>
        <v>0.21353738962719626</v>
      </c>
      <c r="C491" s="90">
        <f t="shared" ca="1" si="15"/>
        <v>4.0676869481359814</v>
      </c>
    </row>
    <row r="492" spans="1:3" x14ac:dyDescent="0.15">
      <c r="A492" s="33">
        <v>479</v>
      </c>
      <c r="B492" s="89">
        <f t="shared" ca="1" si="14"/>
        <v>0.29485081831354421</v>
      </c>
      <c r="C492" s="90">
        <f t="shared" ca="1" si="15"/>
        <v>4.4742540915677207</v>
      </c>
    </row>
    <row r="493" spans="1:3" x14ac:dyDescent="0.15">
      <c r="A493" s="33">
        <v>480</v>
      </c>
      <c r="B493" s="89">
        <f t="shared" ca="1" si="14"/>
        <v>0.54318941975674562</v>
      </c>
      <c r="C493" s="90">
        <f t="shared" ca="1" si="15"/>
        <v>5.7159470987837278</v>
      </c>
    </row>
    <row r="494" spans="1:3" x14ac:dyDescent="0.15">
      <c r="A494" s="33">
        <v>481</v>
      </c>
      <c r="B494" s="89">
        <f t="shared" ca="1" si="14"/>
        <v>0.12747778410430566</v>
      </c>
      <c r="C494" s="90">
        <f t="shared" ca="1" si="15"/>
        <v>3.6373889205215284</v>
      </c>
    </row>
    <row r="495" spans="1:3" x14ac:dyDescent="0.15">
      <c r="A495" s="33">
        <v>482</v>
      </c>
      <c r="B495" s="89">
        <f t="shared" ca="1" si="14"/>
        <v>0.41908179018057434</v>
      </c>
      <c r="C495" s="90">
        <f t="shared" ca="1" si="15"/>
        <v>5.0954089509028719</v>
      </c>
    </row>
    <row r="496" spans="1:3" x14ac:dyDescent="0.15">
      <c r="A496" s="33">
        <v>483</v>
      </c>
      <c r="B496" s="89">
        <f t="shared" ca="1" si="14"/>
        <v>0.87525724118752801</v>
      </c>
      <c r="C496" s="90">
        <f t="shared" ca="1" si="15"/>
        <v>7.3762862059376397</v>
      </c>
    </row>
    <row r="497" spans="1:3" x14ac:dyDescent="0.15">
      <c r="A497" s="33">
        <v>484</v>
      </c>
      <c r="B497" s="89">
        <f t="shared" ca="1" si="14"/>
        <v>0.22191902350152848</v>
      </c>
      <c r="C497" s="90">
        <f t="shared" ca="1" si="15"/>
        <v>4.1095951175076424</v>
      </c>
    </row>
    <row r="498" spans="1:3" x14ac:dyDescent="0.15">
      <c r="A498" s="33">
        <v>485</v>
      </c>
      <c r="B498" s="89">
        <f t="shared" ca="1" si="14"/>
        <v>0.48890434804184046</v>
      </c>
      <c r="C498" s="90">
        <f t="shared" ca="1" si="15"/>
        <v>5.4445217402092023</v>
      </c>
    </row>
    <row r="499" spans="1:3" x14ac:dyDescent="0.15">
      <c r="A499" s="33">
        <v>486</v>
      </c>
      <c r="B499" s="89">
        <f t="shared" ca="1" si="14"/>
        <v>0.40442538439481945</v>
      </c>
      <c r="C499" s="90">
        <f t="shared" ca="1" si="15"/>
        <v>5.0221269219740972</v>
      </c>
    </row>
    <row r="500" spans="1:3" x14ac:dyDescent="0.15">
      <c r="A500" s="33">
        <v>487</v>
      </c>
      <c r="B500" s="89">
        <f t="shared" ca="1" si="14"/>
        <v>0.44814682263756778</v>
      </c>
      <c r="C500" s="90">
        <f t="shared" ca="1" si="15"/>
        <v>5.2407341131878393</v>
      </c>
    </row>
    <row r="501" spans="1:3" x14ac:dyDescent="0.15">
      <c r="A501" s="33">
        <v>488</v>
      </c>
      <c r="B501" s="89">
        <f t="shared" ca="1" si="14"/>
        <v>0.81860107936460091</v>
      </c>
      <c r="C501" s="90">
        <f t="shared" ca="1" si="15"/>
        <v>7.0930053968230045</v>
      </c>
    </row>
    <row r="502" spans="1:3" x14ac:dyDescent="0.15">
      <c r="A502" s="33">
        <v>489</v>
      </c>
      <c r="B502" s="89">
        <f t="shared" ca="1" si="14"/>
        <v>0.8654462037778522</v>
      </c>
      <c r="C502" s="90">
        <f t="shared" ca="1" si="15"/>
        <v>7.3272310188892611</v>
      </c>
    </row>
    <row r="503" spans="1:3" x14ac:dyDescent="0.15">
      <c r="A503" s="33">
        <v>490</v>
      </c>
      <c r="B503" s="89">
        <f t="shared" ca="1" si="14"/>
        <v>0.75816549541015521</v>
      </c>
      <c r="C503" s="90">
        <f t="shared" ca="1" si="15"/>
        <v>6.7908274770507759</v>
      </c>
    </row>
    <row r="504" spans="1:3" x14ac:dyDescent="0.15">
      <c r="A504" s="33">
        <v>491</v>
      </c>
      <c r="B504" s="89">
        <f t="shared" ca="1" si="14"/>
        <v>0.82720476010322053</v>
      </c>
      <c r="C504" s="90">
        <f t="shared" ca="1" si="15"/>
        <v>7.136023800516103</v>
      </c>
    </row>
    <row r="505" spans="1:3" x14ac:dyDescent="0.15">
      <c r="A505" s="33">
        <v>492</v>
      </c>
      <c r="B505" s="89">
        <f t="shared" ca="1" si="14"/>
        <v>0.94841834089198584</v>
      </c>
      <c r="C505" s="90">
        <f t="shared" ca="1" si="15"/>
        <v>7.7420917044599289</v>
      </c>
    </row>
    <row r="506" spans="1:3" x14ac:dyDescent="0.15">
      <c r="A506" s="33">
        <v>493</v>
      </c>
      <c r="B506" s="89">
        <f t="shared" ca="1" si="14"/>
        <v>0.82054685479256051</v>
      </c>
      <c r="C506" s="90">
        <f t="shared" ca="1" si="15"/>
        <v>7.1027342739628025</v>
      </c>
    </row>
    <row r="507" spans="1:3" x14ac:dyDescent="0.15">
      <c r="A507" s="33">
        <v>494</v>
      </c>
      <c r="B507" s="89">
        <f t="shared" ca="1" si="14"/>
        <v>0.82280039482600109</v>
      </c>
      <c r="C507" s="90">
        <f t="shared" ca="1" si="15"/>
        <v>7.1140019741300051</v>
      </c>
    </row>
    <row r="508" spans="1:3" x14ac:dyDescent="0.15">
      <c r="A508" s="33">
        <v>495</v>
      </c>
      <c r="B508" s="89">
        <f t="shared" ca="1" si="14"/>
        <v>4.6137573563617695E-2</v>
      </c>
      <c r="C508" s="90">
        <f t="shared" ca="1" si="15"/>
        <v>3.2306878678180886</v>
      </c>
    </row>
    <row r="509" spans="1:3" x14ac:dyDescent="0.15">
      <c r="A509" s="33">
        <v>496</v>
      </c>
      <c r="B509" s="89">
        <f t="shared" ca="1" si="14"/>
        <v>0.70351665357219284</v>
      </c>
      <c r="C509" s="90">
        <f t="shared" ca="1" si="15"/>
        <v>6.5175832678609638</v>
      </c>
    </row>
    <row r="510" spans="1:3" x14ac:dyDescent="0.15">
      <c r="A510" s="33">
        <v>497</v>
      </c>
      <c r="B510" s="89">
        <f t="shared" ca="1" si="14"/>
        <v>0.51366891224761013</v>
      </c>
      <c r="C510" s="90">
        <f t="shared" ca="1" si="15"/>
        <v>5.5683445612380504</v>
      </c>
    </row>
    <row r="511" spans="1:3" x14ac:dyDescent="0.15">
      <c r="A511" s="33">
        <v>498</v>
      </c>
      <c r="B511" s="89">
        <f t="shared" ca="1" si="14"/>
        <v>0.53848290813409094</v>
      </c>
      <c r="C511" s="90">
        <f t="shared" ca="1" si="15"/>
        <v>5.6924145406704545</v>
      </c>
    </row>
    <row r="512" spans="1:3" x14ac:dyDescent="0.15">
      <c r="A512" s="33">
        <v>499</v>
      </c>
      <c r="B512" s="89">
        <f t="shared" ca="1" si="14"/>
        <v>0.6145726734359801</v>
      </c>
      <c r="C512" s="90">
        <f t="shared" ca="1" si="15"/>
        <v>6.0728633671799006</v>
      </c>
    </row>
    <row r="513" spans="1:5" x14ac:dyDescent="0.15">
      <c r="A513" s="33">
        <v>500</v>
      </c>
      <c r="B513" s="89">
        <f t="shared" ca="1" si="14"/>
        <v>0.2382933907012742</v>
      </c>
      <c r="C513" s="90">
        <f t="shared" ca="1" si="15"/>
        <v>4.1914669535063709</v>
      </c>
    </row>
    <row r="514" spans="1:5" x14ac:dyDescent="0.15">
      <c r="E514" s="8"/>
    </row>
  </sheetData>
  <phoneticPr fontId="1"/>
  <printOptions headings="1" gridLines="1"/>
  <pageMargins left="0.75" right="0.75" top="1" bottom="1" header="0.5" footer="0.5"/>
  <pageSetup paperSize="0" orientation="portrait" horizontalDpi="4294967292" verticalDpi="4294967292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1"/>
  <dimension ref="A2:J336"/>
  <sheetViews>
    <sheetView zoomScale="228" workbookViewId="0">
      <selection activeCell="H25" sqref="H25:I27"/>
    </sheetView>
  </sheetViews>
  <sheetFormatPr baseColWidth="10" defaultColWidth="10.83203125" defaultRowHeight="10" x14ac:dyDescent="0.15"/>
  <cols>
    <col min="1" max="5" width="12" style="15" customWidth="1"/>
    <col min="6" max="6" width="3.5" style="15" customWidth="1"/>
    <col min="7" max="7" width="10.1640625" style="15" customWidth="1"/>
    <col min="8" max="16384" width="10.83203125" style="16"/>
  </cols>
  <sheetData>
    <row r="2" spans="6:7" x14ac:dyDescent="0.15">
      <c r="F2" s="16"/>
      <c r="G2" s="16"/>
    </row>
    <row r="3" spans="6:7" x14ac:dyDescent="0.15">
      <c r="F3" s="16"/>
      <c r="G3" s="16"/>
    </row>
    <row r="4" spans="6:7" x14ac:dyDescent="0.15">
      <c r="F4" s="16"/>
      <c r="G4" s="16"/>
    </row>
    <row r="5" spans="6:7" x14ac:dyDescent="0.15">
      <c r="F5" s="16"/>
      <c r="G5" s="16"/>
    </row>
    <row r="6" spans="6:7" x14ac:dyDescent="0.15">
      <c r="F6" s="16"/>
      <c r="G6" s="16"/>
    </row>
    <row r="7" spans="6:7" x14ac:dyDescent="0.15">
      <c r="F7" s="16"/>
      <c r="G7" s="16"/>
    </row>
    <row r="8" spans="6:7" x14ac:dyDescent="0.15">
      <c r="F8" s="16"/>
      <c r="G8" s="16"/>
    </row>
    <row r="9" spans="6:7" x14ac:dyDescent="0.15">
      <c r="F9" s="16"/>
      <c r="G9" s="16"/>
    </row>
    <row r="13" spans="6:7" x14ac:dyDescent="0.15">
      <c r="G13" s="16" t="s">
        <v>54</v>
      </c>
    </row>
    <row r="14" spans="6:7" x14ac:dyDescent="0.15">
      <c r="G14" s="16" t="s">
        <v>55</v>
      </c>
    </row>
    <row r="15" spans="6:7" x14ac:dyDescent="0.15">
      <c r="G15" s="16" t="s">
        <v>114</v>
      </c>
    </row>
    <row r="34" spans="1:10" ht="11" thickBot="1" x14ac:dyDescent="0.2">
      <c r="A34" s="17" t="s">
        <v>90</v>
      </c>
      <c r="B34" s="17"/>
      <c r="C34" s="15" t="s">
        <v>95</v>
      </c>
      <c r="D34" s="17"/>
      <c r="E34" s="15" t="s">
        <v>95</v>
      </c>
      <c r="G34" s="22" t="s">
        <v>96</v>
      </c>
    </row>
    <row r="35" spans="1:10" ht="11" thickBot="1" x14ac:dyDescent="0.2">
      <c r="A35" s="17"/>
      <c r="B35" s="17"/>
      <c r="C35" s="21">
        <f ca="1">AVERAGE(C37:C336)</f>
        <v>1.0958017443281998</v>
      </c>
      <c r="D35" s="17"/>
      <c r="E35" s="21">
        <f ca="1">AVERAGE(E37:E336)</f>
        <v>1.1608649223384671</v>
      </c>
      <c r="G35" s="21">
        <f ca="1">AVERAGE(C35,E35)</f>
        <v>1.1283333333333334</v>
      </c>
    </row>
    <row r="36" spans="1:10" ht="11" thickBot="1" x14ac:dyDescent="0.2">
      <c r="A36" s="18" t="s">
        <v>25</v>
      </c>
      <c r="B36" s="18" t="s">
        <v>91</v>
      </c>
      <c r="C36" s="18" t="s">
        <v>92</v>
      </c>
      <c r="D36" s="18" t="s">
        <v>93</v>
      </c>
      <c r="E36" s="18" t="s">
        <v>94</v>
      </c>
      <c r="G36" s="16" t="s">
        <v>56</v>
      </c>
    </row>
    <row r="37" spans="1:10" x14ac:dyDescent="0.15">
      <c r="A37" s="15">
        <v>1</v>
      </c>
      <c r="B37" s="19">
        <f t="shared" ref="B37:B100" ca="1" si="0">RAND()</f>
        <v>0.93249232723147235</v>
      </c>
      <c r="C37" s="20">
        <f ca="1">IF(B37&lt;0.4,B37,1+B37)</f>
        <v>1.9324923272314725</v>
      </c>
      <c r="D37" s="19">
        <f ca="1">1-B37</f>
        <v>6.7507672768527649E-2</v>
      </c>
      <c r="E37" s="20">
        <f ca="1">IF(D37&lt;0.4,D37,1+D37)</f>
        <v>6.7507672768527649E-2</v>
      </c>
      <c r="I37" s="15"/>
    </row>
    <row r="38" spans="1:10" x14ac:dyDescent="0.15">
      <c r="A38" s="15">
        <v>2</v>
      </c>
      <c r="B38" s="19">
        <f t="shared" ca="1" si="0"/>
        <v>0.21955693901579643</v>
      </c>
      <c r="C38" s="20">
        <f t="shared" ref="C38:C101" ca="1" si="1">IF(B38&lt;0.4,B38,1+B38)</f>
        <v>0.21955693901579643</v>
      </c>
      <c r="D38" s="19">
        <f ca="1">1-B38</f>
        <v>0.78044306098420357</v>
      </c>
      <c r="E38" s="20">
        <f t="shared" ref="E38:E101" ca="1" si="2">IF(D38&lt;0.4,D38,1+D38)</f>
        <v>1.7804430609842035</v>
      </c>
      <c r="H38" s="15"/>
      <c r="I38" s="15"/>
      <c r="J38" s="15"/>
    </row>
    <row r="39" spans="1:10" x14ac:dyDescent="0.15">
      <c r="A39" s="15">
        <v>3</v>
      </c>
      <c r="B39" s="19">
        <f t="shared" ca="1" si="0"/>
        <v>0.6631085163833319</v>
      </c>
      <c r="C39" s="20">
        <f t="shared" ca="1" si="1"/>
        <v>1.6631085163833319</v>
      </c>
      <c r="D39" s="19">
        <f t="shared" ref="D39:D100" ca="1" si="3">1-B39</f>
        <v>0.3368914836166681</v>
      </c>
      <c r="E39" s="20">
        <f t="shared" ca="1" si="2"/>
        <v>0.3368914836166681</v>
      </c>
      <c r="J39" s="15"/>
    </row>
    <row r="40" spans="1:10" x14ac:dyDescent="0.15">
      <c r="A40" s="15">
        <v>4</v>
      </c>
      <c r="B40" s="19">
        <f t="shared" ca="1" si="0"/>
        <v>0.60011201102841316</v>
      </c>
      <c r="C40" s="20">
        <f t="shared" ca="1" si="1"/>
        <v>1.6001120110284131</v>
      </c>
      <c r="D40" s="19">
        <f t="shared" ca="1" si="3"/>
        <v>0.39988798897158684</v>
      </c>
      <c r="E40" s="20">
        <f t="shared" ca="1" si="2"/>
        <v>0.39988798897158684</v>
      </c>
      <c r="I40" s="15"/>
      <c r="J40" s="15"/>
    </row>
    <row r="41" spans="1:10" x14ac:dyDescent="0.15">
      <c r="A41" s="15">
        <v>5</v>
      </c>
      <c r="B41" s="19">
        <f t="shared" ca="1" si="0"/>
        <v>0.26458957117703519</v>
      </c>
      <c r="C41" s="20">
        <f t="shared" ca="1" si="1"/>
        <v>0.26458957117703519</v>
      </c>
      <c r="D41" s="19">
        <f t="shared" ca="1" si="3"/>
        <v>0.73541042882296481</v>
      </c>
      <c r="E41" s="20">
        <f t="shared" ca="1" si="2"/>
        <v>1.7354104288229648</v>
      </c>
    </row>
    <row r="42" spans="1:10" x14ac:dyDescent="0.15">
      <c r="A42" s="15">
        <v>6</v>
      </c>
      <c r="B42" s="19">
        <f t="shared" ca="1" si="0"/>
        <v>3.5140815124681368E-2</v>
      </c>
      <c r="C42" s="20">
        <f t="shared" ca="1" si="1"/>
        <v>3.5140815124681368E-2</v>
      </c>
      <c r="D42" s="19">
        <f t="shared" ca="1" si="3"/>
        <v>0.96485918487531863</v>
      </c>
      <c r="E42" s="20">
        <f t="shared" ca="1" si="2"/>
        <v>1.9648591848753187</v>
      </c>
    </row>
    <row r="43" spans="1:10" x14ac:dyDescent="0.15">
      <c r="A43" s="15">
        <v>7</v>
      </c>
      <c r="B43" s="19">
        <f t="shared" ca="1" si="0"/>
        <v>0.65111763109725806</v>
      </c>
      <c r="C43" s="20">
        <f t="shared" ca="1" si="1"/>
        <v>1.6511176310972582</v>
      </c>
      <c r="D43" s="19">
        <f t="shared" ca="1" si="3"/>
        <v>0.34888236890274194</v>
      </c>
      <c r="E43" s="20">
        <f t="shared" ca="1" si="2"/>
        <v>0.34888236890274194</v>
      </c>
    </row>
    <row r="44" spans="1:10" x14ac:dyDescent="0.15">
      <c r="A44" s="15">
        <v>8</v>
      </c>
      <c r="B44" s="19">
        <f t="shared" ca="1" si="0"/>
        <v>0.16357622829281127</v>
      </c>
      <c r="C44" s="20">
        <f t="shared" ca="1" si="1"/>
        <v>0.16357622829281127</v>
      </c>
      <c r="D44" s="19">
        <f t="shared" ca="1" si="3"/>
        <v>0.83642377170718873</v>
      </c>
      <c r="E44" s="20">
        <f t="shared" ca="1" si="2"/>
        <v>1.8364237717071887</v>
      </c>
    </row>
    <row r="45" spans="1:10" x14ac:dyDescent="0.15">
      <c r="A45" s="15">
        <v>9</v>
      </c>
      <c r="B45" s="19">
        <f t="shared" ca="1" si="0"/>
        <v>0.92626456691951631</v>
      </c>
      <c r="C45" s="20">
        <f t="shared" ca="1" si="1"/>
        <v>1.9262645669195164</v>
      </c>
      <c r="D45" s="19">
        <f t="shared" ca="1" si="3"/>
        <v>7.3735433080483692E-2</v>
      </c>
      <c r="E45" s="20">
        <f t="shared" ca="1" si="2"/>
        <v>7.3735433080483692E-2</v>
      </c>
    </row>
    <row r="46" spans="1:10" x14ac:dyDescent="0.15">
      <c r="A46" s="15">
        <v>10</v>
      </c>
      <c r="B46" s="19">
        <f t="shared" ca="1" si="0"/>
        <v>0.55691709648184606</v>
      </c>
      <c r="C46" s="20">
        <f t="shared" ca="1" si="1"/>
        <v>1.556917096481846</v>
      </c>
      <c r="D46" s="19">
        <f t="shared" ca="1" si="3"/>
        <v>0.44308290351815394</v>
      </c>
      <c r="E46" s="20">
        <f t="shared" ca="1" si="2"/>
        <v>1.443082903518154</v>
      </c>
    </row>
    <row r="47" spans="1:10" x14ac:dyDescent="0.15">
      <c r="A47" s="15">
        <v>11</v>
      </c>
      <c r="B47" s="19">
        <f t="shared" ca="1" si="0"/>
        <v>0.36543049078933032</v>
      </c>
      <c r="C47" s="20">
        <f t="shared" ca="1" si="1"/>
        <v>0.36543049078933032</v>
      </c>
      <c r="D47" s="19">
        <f t="shared" ca="1" si="3"/>
        <v>0.63456950921066968</v>
      </c>
      <c r="E47" s="20">
        <f t="shared" ca="1" si="2"/>
        <v>1.6345695092106696</v>
      </c>
    </row>
    <row r="48" spans="1:10" x14ac:dyDescent="0.15">
      <c r="A48" s="15">
        <v>12</v>
      </c>
      <c r="B48" s="19">
        <f t="shared" ca="1" si="0"/>
        <v>0.47836092714200518</v>
      </c>
      <c r="C48" s="20">
        <f t="shared" ca="1" si="1"/>
        <v>1.4783609271420053</v>
      </c>
      <c r="D48" s="19">
        <f t="shared" ca="1" si="3"/>
        <v>0.52163907285799482</v>
      </c>
      <c r="E48" s="20">
        <f t="shared" ca="1" si="2"/>
        <v>1.5216390728579947</v>
      </c>
    </row>
    <row r="49" spans="1:5" x14ac:dyDescent="0.15">
      <c r="A49" s="15">
        <v>13</v>
      </c>
      <c r="B49" s="19">
        <f t="shared" ca="1" si="0"/>
        <v>0.37678565015133803</v>
      </c>
      <c r="C49" s="20">
        <f t="shared" ca="1" si="1"/>
        <v>0.37678565015133803</v>
      </c>
      <c r="D49" s="19">
        <f t="shared" ca="1" si="3"/>
        <v>0.62321434984866197</v>
      </c>
      <c r="E49" s="20">
        <f t="shared" ca="1" si="2"/>
        <v>1.623214349848662</v>
      </c>
    </row>
    <row r="50" spans="1:5" x14ac:dyDescent="0.15">
      <c r="A50" s="15">
        <v>14</v>
      </c>
      <c r="B50" s="19">
        <f t="shared" ca="1" si="0"/>
        <v>0.88768999285325889</v>
      </c>
      <c r="C50" s="20">
        <f t="shared" ca="1" si="1"/>
        <v>1.8876899928532589</v>
      </c>
      <c r="D50" s="19">
        <f t="shared" ca="1" si="3"/>
        <v>0.11231000714674111</v>
      </c>
      <c r="E50" s="20">
        <f t="shared" ca="1" si="2"/>
        <v>0.11231000714674111</v>
      </c>
    </row>
    <row r="51" spans="1:5" x14ac:dyDescent="0.15">
      <c r="A51" s="15">
        <v>15</v>
      </c>
      <c r="B51" s="19">
        <f t="shared" ca="1" si="0"/>
        <v>0.4418875722252521</v>
      </c>
      <c r="C51" s="20">
        <f t="shared" ca="1" si="1"/>
        <v>1.441887572225252</v>
      </c>
      <c r="D51" s="19">
        <f t="shared" ca="1" si="3"/>
        <v>0.5581124277747479</v>
      </c>
      <c r="E51" s="20">
        <f t="shared" ca="1" si="2"/>
        <v>1.558112427774748</v>
      </c>
    </row>
    <row r="52" spans="1:5" x14ac:dyDescent="0.15">
      <c r="A52" s="15">
        <v>16</v>
      </c>
      <c r="B52" s="19">
        <f t="shared" ca="1" si="0"/>
        <v>0.12230258614027312</v>
      </c>
      <c r="C52" s="20">
        <f t="shared" ca="1" si="1"/>
        <v>0.12230258614027312</v>
      </c>
      <c r="D52" s="19">
        <f t="shared" ca="1" si="3"/>
        <v>0.87769741385972688</v>
      </c>
      <c r="E52" s="20">
        <f t="shared" ca="1" si="2"/>
        <v>1.8776974138597269</v>
      </c>
    </row>
    <row r="53" spans="1:5" x14ac:dyDescent="0.15">
      <c r="A53" s="15">
        <v>17</v>
      </c>
      <c r="B53" s="19">
        <f t="shared" ca="1" si="0"/>
        <v>0.27124778622306422</v>
      </c>
      <c r="C53" s="20">
        <f t="shared" ca="1" si="1"/>
        <v>0.27124778622306422</v>
      </c>
      <c r="D53" s="19">
        <f t="shared" ca="1" si="3"/>
        <v>0.72875221377693578</v>
      </c>
      <c r="E53" s="20">
        <f t="shared" ca="1" si="2"/>
        <v>1.7287522137769358</v>
      </c>
    </row>
    <row r="54" spans="1:5" x14ac:dyDescent="0.15">
      <c r="A54" s="15">
        <v>18</v>
      </c>
      <c r="B54" s="19">
        <f t="shared" ca="1" si="0"/>
        <v>0.81352248999012855</v>
      </c>
      <c r="C54" s="20">
        <f t="shared" ca="1" si="1"/>
        <v>1.8135224899901286</v>
      </c>
      <c r="D54" s="19">
        <f t="shared" ca="1" si="3"/>
        <v>0.18647751000987145</v>
      </c>
      <c r="E54" s="20">
        <f t="shared" ca="1" si="2"/>
        <v>0.18647751000987145</v>
      </c>
    </row>
    <row r="55" spans="1:5" x14ac:dyDescent="0.15">
      <c r="A55" s="15">
        <v>19</v>
      </c>
      <c r="B55" s="19">
        <f t="shared" ca="1" si="0"/>
        <v>0.54844956247145105</v>
      </c>
      <c r="C55" s="20">
        <f t="shared" ca="1" si="1"/>
        <v>1.5484495624714509</v>
      </c>
      <c r="D55" s="19">
        <f t="shared" ca="1" si="3"/>
        <v>0.45155043752854895</v>
      </c>
      <c r="E55" s="20">
        <f t="shared" ca="1" si="2"/>
        <v>1.4515504375285491</v>
      </c>
    </row>
    <row r="56" spans="1:5" x14ac:dyDescent="0.15">
      <c r="A56" s="15">
        <v>20</v>
      </c>
      <c r="B56" s="19">
        <f t="shared" ca="1" si="0"/>
        <v>0.57588002369314106</v>
      </c>
      <c r="C56" s="20">
        <f t="shared" ca="1" si="1"/>
        <v>1.575880023693141</v>
      </c>
      <c r="D56" s="19">
        <f t="shared" ca="1" si="3"/>
        <v>0.42411997630685894</v>
      </c>
      <c r="E56" s="20">
        <f t="shared" ca="1" si="2"/>
        <v>1.424119976306859</v>
      </c>
    </row>
    <row r="57" spans="1:5" x14ac:dyDescent="0.15">
      <c r="A57" s="15">
        <v>21</v>
      </c>
      <c r="B57" s="19">
        <f t="shared" ca="1" si="0"/>
        <v>0.90413644869983767</v>
      </c>
      <c r="C57" s="20">
        <f t="shared" ca="1" si="1"/>
        <v>1.9041364486998376</v>
      </c>
      <c r="D57" s="19">
        <f t="shared" ca="1" si="3"/>
        <v>9.5863551300162331E-2</v>
      </c>
      <c r="E57" s="20">
        <f t="shared" ca="1" si="2"/>
        <v>9.5863551300162331E-2</v>
      </c>
    </row>
    <row r="58" spans="1:5" x14ac:dyDescent="0.15">
      <c r="A58" s="15">
        <v>22</v>
      </c>
      <c r="B58" s="19">
        <f t="shared" ca="1" si="0"/>
        <v>0.63398818360194553</v>
      </c>
      <c r="C58" s="20">
        <f t="shared" ca="1" si="1"/>
        <v>1.6339881836019456</v>
      </c>
      <c r="D58" s="19">
        <f t="shared" ca="1" si="3"/>
        <v>0.36601181639805447</v>
      </c>
      <c r="E58" s="20">
        <f t="shared" ca="1" si="2"/>
        <v>0.36601181639805447</v>
      </c>
    </row>
    <row r="59" spans="1:5" x14ac:dyDescent="0.15">
      <c r="A59" s="15">
        <v>23</v>
      </c>
      <c r="B59" s="19">
        <f t="shared" ca="1" si="0"/>
        <v>0.45367129007208673</v>
      </c>
      <c r="C59" s="20">
        <f t="shared" ca="1" si="1"/>
        <v>1.4536712900720867</v>
      </c>
      <c r="D59" s="19">
        <f t="shared" ca="1" si="3"/>
        <v>0.54632870992791327</v>
      </c>
      <c r="E59" s="20">
        <f t="shared" ca="1" si="2"/>
        <v>1.5463287099279133</v>
      </c>
    </row>
    <row r="60" spans="1:5" x14ac:dyDescent="0.15">
      <c r="A60" s="15">
        <v>24</v>
      </c>
      <c r="B60" s="19">
        <f t="shared" ca="1" si="0"/>
        <v>0.69229166741148418</v>
      </c>
      <c r="C60" s="20">
        <f t="shared" ca="1" si="1"/>
        <v>1.6922916674114843</v>
      </c>
      <c r="D60" s="19">
        <f t="shared" ca="1" si="3"/>
        <v>0.30770833258851582</v>
      </c>
      <c r="E60" s="20">
        <f t="shared" ca="1" si="2"/>
        <v>0.30770833258851582</v>
      </c>
    </row>
    <row r="61" spans="1:5" x14ac:dyDescent="0.15">
      <c r="A61" s="15">
        <v>25</v>
      </c>
      <c r="B61" s="19">
        <f t="shared" ca="1" si="0"/>
        <v>0.36030920155868995</v>
      </c>
      <c r="C61" s="20">
        <f t="shared" ca="1" si="1"/>
        <v>0.36030920155868995</v>
      </c>
      <c r="D61" s="19">
        <f t="shared" ca="1" si="3"/>
        <v>0.63969079844131005</v>
      </c>
      <c r="E61" s="20">
        <f t="shared" ca="1" si="2"/>
        <v>1.63969079844131</v>
      </c>
    </row>
    <row r="62" spans="1:5" x14ac:dyDescent="0.15">
      <c r="A62" s="15">
        <v>26</v>
      </c>
      <c r="B62" s="19">
        <f t="shared" ca="1" si="0"/>
        <v>0.79452556043010725</v>
      </c>
      <c r="C62" s="20">
        <f t="shared" ca="1" si="1"/>
        <v>1.7945255604301074</v>
      </c>
      <c r="D62" s="19">
        <f t="shared" ca="1" si="3"/>
        <v>0.20547443956989275</v>
      </c>
      <c r="E62" s="20">
        <f t="shared" ca="1" si="2"/>
        <v>0.20547443956989275</v>
      </c>
    </row>
    <row r="63" spans="1:5" x14ac:dyDescent="0.15">
      <c r="A63" s="15">
        <v>27</v>
      </c>
      <c r="B63" s="19">
        <f t="shared" ca="1" si="0"/>
        <v>0.53331475192893341</v>
      </c>
      <c r="C63" s="20">
        <f t="shared" ca="1" si="1"/>
        <v>1.5333147519289334</v>
      </c>
      <c r="D63" s="19">
        <f t="shared" ca="1" si="3"/>
        <v>0.46668524807106659</v>
      </c>
      <c r="E63" s="20">
        <f t="shared" ca="1" si="2"/>
        <v>1.4666852480710666</v>
      </c>
    </row>
    <row r="64" spans="1:5" x14ac:dyDescent="0.15">
      <c r="A64" s="15">
        <v>28</v>
      </c>
      <c r="B64" s="19">
        <f t="shared" ca="1" si="0"/>
        <v>0.11145177751799562</v>
      </c>
      <c r="C64" s="20">
        <f t="shared" ca="1" si="1"/>
        <v>0.11145177751799562</v>
      </c>
      <c r="D64" s="19">
        <f t="shared" ca="1" si="3"/>
        <v>0.88854822248200438</v>
      </c>
      <c r="E64" s="20">
        <f t="shared" ca="1" si="2"/>
        <v>1.8885482224820045</v>
      </c>
    </row>
    <row r="65" spans="1:5" x14ac:dyDescent="0.15">
      <c r="A65" s="15">
        <v>29</v>
      </c>
      <c r="B65" s="19">
        <f t="shared" ca="1" si="0"/>
        <v>0.51128721622103324</v>
      </c>
      <c r="C65" s="20">
        <f t="shared" ca="1" si="1"/>
        <v>1.5112872162210333</v>
      </c>
      <c r="D65" s="19">
        <f t="shared" ca="1" si="3"/>
        <v>0.48871278377896676</v>
      </c>
      <c r="E65" s="20">
        <f t="shared" ca="1" si="2"/>
        <v>1.4887127837789667</v>
      </c>
    </row>
    <row r="66" spans="1:5" x14ac:dyDescent="0.15">
      <c r="A66" s="15">
        <v>30</v>
      </c>
      <c r="B66" s="19">
        <f t="shared" ca="1" si="0"/>
        <v>0.29636223486419422</v>
      </c>
      <c r="C66" s="20">
        <f t="shared" ca="1" si="1"/>
        <v>0.29636223486419422</v>
      </c>
      <c r="D66" s="19">
        <f t="shared" ca="1" si="3"/>
        <v>0.70363776513580578</v>
      </c>
      <c r="E66" s="20">
        <f t="shared" ca="1" si="2"/>
        <v>1.7036377651358059</v>
      </c>
    </row>
    <row r="67" spans="1:5" x14ac:dyDescent="0.15">
      <c r="A67" s="15">
        <v>31</v>
      </c>
      <c r="B67" s="19">
        <f t="shared" ca="1" si="0"/>
        <v>0.83007728243451817</v>
      </c>
      <c r="C67" s="20">
        <f t="shared" ca="1" si="1"/>
        <v>1.8300772824345182</v>
      </c>
      <c r="D67" s="19">
        <f t="shared" ca="1" si="3"/>
        <v>0.16992271756548183</v>
      </c>
      <c r="E67" s="20">
        <f t="shared" ca="1" si="2"/>
        <v>0.16992271756548183</v>
      </c>
    </row>
    <row r="68" spans="1:5" x14ac:dyDescent="0.15">
      <c r="A68" s="15">
        <v>32</v>
      </c>
      <c r="B68" s="19">
        <f t="shared" ca="1" si="0"/>
        <v>1.219962854878831E-2</v>
      </c>
      <c r="C68" s="20">
        <f t="shared" ca="1" si="1"/>
        <v>1.219962854878831E-2</v>
      </c>
      <c r="D68" s="19">
        <f t="shared" ca="1" si="3"/>
        <v>0.98780037145121169</v>
      </c>
      <c r="E68" s="20">
        <f t="shared" ca="1" si="2"/>
        <v>1.9878003714512116</v>
      </c>
    </row>
    <row r="69" spans="1:5" x14ac:dyDescent="0.15">
      <c r="A69" s="15">
        <v>33</v>
      </c>
      <c r="B69" s="19">
        <f t="shared" ca="1" si="0"/>
        <v>5.3181414725647302E-2</v>
      </c>
      <c r="C69" s="20">
        <f t="shared" ca="1" si="1"/>
        <v>5.3181414725647302E-2</v>
      </c>
      <c r="D69" s="19">
        <f t="shared" ca="1" si="3"/>
        <v>0.9468185852743527</v>
      </c>
      <c r="E69" s="20">
        <f t="shared" ca="1" si="2"/>
        <v>1.9468185852743527</v>
      </c>
    </row>
    <row r="70" spans="1:5" x14ac:dyDescent="0.15">
      <c r="A70" s="15">
        <v>34</v>
      </c>
      <c r="B70" s="19">
        <f t="shared" ca="1" si="0"/>
        <v>0.99380569664678253</v>
      </c>
      <c r="C70" s="20">
        <f t="shared" ca="1" si="1"/>
        <v>1.9938056966467825</v>
      </c>
      <c r="D70" s="19">
        <f t="shared" ca="1" si="3"/>
        <v>6.1943033532174674E-3</v>
      </c>
      <c r="E70" s="20">
        <f t="shared" ca="1" si="2"/>
        <v>6.1943033532174674E-3</v>
      </c>
    </row>
    <row r="71" spans="1:5" x14ac:dyDescent="0.15">
      <c r="A71" s="15">
        <v>35</v>
      </c>
      <c r="B71" s="19">
        <f t="shared" ca="1" si="0"/>
        <v>0.75938689558212036</v>
      </c>
      <c r="C71" s="20">
        <f t="shared" ca="1" si="1"/>
        <v>1.7593868955821204</v>
      </c>
      <c r="D71" s="19">
        <f t="shared" ca="1" si="3"/>
        <v>0.24061310441787964</v>
      </c>
      <c r="E71" s="20">
        <f t="shared" ca="1" si="2"/>
        <v>0.24061310441787964</v>
      </c>
    </row>
    <row r="72" spans="1:5" x14ac:dyDescent="0.15">
      <c r="A72" s="15">
        <v>36</v>
      </c>
      <c r="B72" s="19">
        <f t="shared" ca="1" si="0"/>
        <v>9.0131547966965098E-2</v>
      </c>
      <c r="C72" s="20">
        <f t="shared" ca="1" si="1"/>
        <v>9.0131547966965098E-2</v>
      </c>
      <c r="D72" s="19">
        <f t="shared" ca="1" si="3"/>
        <v>0.9098684520330349</v>
      </c>
      <c r="E72" s="20">
        <f t="shared" ca="1" si="2"/>
        <v>1.9098684520330349</v>
      </c>
    </row>
    <row r="73" spans="1:5" x14ac:dyDescent="0.15">
      <c r="A73" s="15">
        <v>37</v>
      </c>
      <c r="B73" s="19">
        <f t="shared" ca="1" si="0"/>
        <v>0.87787295474297544</v>
      </c>
      <c r="C73" s="20">
        <f t="shared" ca="1" si="1"/>
        <v>1.8778729547429753</v>
      </c>
      <c r="D73" s="19">
        <f t="shared" ca="1" si="3"/>
        <v>0.12212704525702456</v>
      </c>
      <c r="E73" s="20">
        <f t="shared" ca="1" si="2"/>
        <v>0.12212704525702456</v>
      </c>
    </row>
    <row r="74" spans="1:5" x14ac:dyDescent="0.15">
      <c r="A74" s="15">
        <v>38</v>
      </c>
      <c r="B74" s="19">
        <f t="shared" ca="1" si="0"/>
        <v>0.59058402965394952</v>
      </c>
      <c r="C74" s="20">
        <f t="shared" ca="1" si="1"/>
        <v>1.5905840296539495</v>
      </c>
      <c r="D74" s="19">
        <f t="shared" ca="1" si="3"/>
        <v>0.40941597034605048</v>
      </c>
      <c r="E74" s="20">
        <f t="shared" ca="1" si="2"/>
        <v>1.4094159703460505</v>
      </c>
    </row>
    <row r="75" spans="1:5" x14ac:dyDescent="0.15">
      <c r="A75" s="15">
        <v>39</v>
      </c>
      <c r="B75" s="19">
        <f t="shared" ca="1" si="0"/>
        <v>0.76143477135175808</v>
      </c>
      <c r="C75" s="20">
        <f t="shared" ca="1" si="1"/>
        <v>1.761434771351758</v>
      </c>
      <c r="D75" s="19">
        <f t="shared" ca="1" si="3"/>
        <v>0.23856522864824192</v>
      </c>
      <c r="E75" s="20">
        <f t="shared" ca="1" si="2"/>
        <v>0.23856522864824192</v>
      </c>
    </row>
    <row r="76" spans="1:5" x14ac:dyDescent="0.15">
      <c r="A76" s="15">
        <v>40</v>
      </c>
      <c r="B76" s="19">
        <f t="shared" ca="1" si="0"/>
        <v>5.9917767114751608E-2</v>
      </c>
      <c r="C76" s="20">
        <f t="shared" ca="1" si="1"/>
        <v>5.9917767114751608E-2</v>
      </c>
      <c r="D76" s="19">
        <f t="shared" ca="1" si="3"/>
        <v>0.94008223288524839</v>
      </c>
      <c r="E76" s="20">
        <f t="shared" ca="1" si="2"/>
        <v>1.9400822328852483</v>
      </c>
    </row>
    <row r="77" spans="1:5" x14ac:dyDescent="0.15">
      <c r="A77" s="15">
        <v>41</v>
      </c>
      <c r="B77" s="19">
        <f t="shared" ca="1" si="0"/>
        <v>0.43883176828101278</v>
      </c>
      <c r="C77" s="20">
        <f t="shared" ca="1" si="1"/>
        <v>1.4388317682810128</v>
      </c>
      <c r="D77" s="19">
        <f t="shared" ca="1" si="3"/>
        <v>0.56116823171898722</v>
      </c>
      <c r="E77" s="20">
        <f t="shared" ca="1" si="2"/>
        <v>1.5611682317189872</v>
      </c>
    </row>
    <row r="78" spans="1:5" x14ac:dyDescent="0.15">
      <c r="A78" s="15">
        <v>42</v>
      </c>
      <c r="B78" s="19">
        <f t="shared" ca="1" si="0"/>
        <v>0.87538318925317593</v>
      </c>
      <c r="C78" s="20">
        <f t="shared" ca="1" si="1"/>
        <v>1.875383189253176</v>
      </c>
      <c r="D78" s="19">
        <f t="shared" ca="1" si="3"/>
        <v>0.12461681074682407</v>
      </c>
      <c r="E78" s="20">
        <f t="shared" ca="1" si="2"/>
        <v>0.12461681074682407</v>
      </c>
    </row>
    <row r="79" spans="1:5" x14ac:dyDescent="0.15">
      <c r="A79" s="15">
        <v>43</v>
      </c>
      <c r="B79" s="19">
        <f t="shared" ca="1" si="0"/>
        <v>0.77182958730281004</v>
      </c>
      <c r="C79" s="20">
        <f t="shared" ca="1" si="1"/>
        <v>1.77182958730281</v>
      </c>
      <c r="D79" s="19">
        <f t="shared" ca="1" si="3"/>
        <v>0.22817041269718996</v>
      </c>
      <c r="E79" s="20">
        <f t="shared" ca="1" si="2"/>
        <v>0.22817041269718996</v>
      </c>
    </row>
    <row r="80" spans="1:5" x14ac:dyDescent="0.15">
      <c r="A80" s="15">
        <v>44</v>
      </c>
      <c r="B80" s="19">
        <f t="shared" ca="1" si="0"/>
        <v>9.8161538781131208E-2</v>
      </c>
      <c r="C80" s="20">
        <f t="shared" ca="1" si="1"/>
        <v>9.8161538781131208E-2</v>
      </c>
      <c r="D80" s="19">
        <f t="shared" ca="1" si="3"/>
        <v>0.90183846121886879</v>
      </c>
      <c r="E80" s="20">
        <f t="shared" ca="1" si="2"/>
        <v>1.9018384612188688</v>
      </c>
    </row>
    <row r="81" spans="1:5" x14ac:dyDescent="0.15">
      <c r="A81" s="15">
        <v>45</v>
      </c>
      <c r="B81" s="19">
        <f t="shared" ca="1" si="0"/>
        <v>0.70928133776788971</v>
      </c>
      <c r="C81" s="20">
        <f t="shared" ca="1" si="1"/>
        <v>1.7092813377678897</v>
      </c>
      <c r="D81" s="19">
        <f t="shared" ca="1" si="3"/>
        <v>0.29071866223211029</v>
      </c>
      <c r="E81" s="20">
        <f t="shared" ca="1" si="2"/>
        <v>0.29071866223211029</v>
      </c>
    </row>
    <row r="82" spans="1:5" x14ac:dyDescent="0.15">
      <c r="A82" s="15">
        <v>46</v>
      </c>
      <c r="B82" s="19">
        <f t="shared" ca="1" si="0"/>
        <v>0.55497780211774583</v>
      </c>
      <c r="C82" s="20">
        <f t="shared" ca="1" si="1"/>
        <v>1.5549778021177458</v>
      </c>
      <c r="D82" s="19">
        <f t="shared" ca="1" si="3"/>
        <v>0.44502219788225417</v>
      </c>
      <c r="E82" s="20">
        <f t="shared" ca="1" si="2"/>
        <v>1.4450221978822542</v>
      </c>
    </row>
    <row r="83" spans="1:5" x14ac:dyDescent="0.15">
      <c r="A83" s="15">
        <v>47</v>
      </c>
      <c r="B83" s="19">
        <f t="shared" ca="1" si="0"/>
        <v>0.45652291541513967</v>
      </c>
      <c r="C83" s="20">
        <f t="shared" ca="1" si="1"/>
        <v>1.4565229154151398</v>
      </c>
      <c r="D83" s="19">
        <f t="shared" ca="1" si="3"/>
        <v>0.54347708458486033</v>
      </c>
      <c r="E83" s="20">
        <f t="shared" ca="1" si="2"/>
        <v>1.5434770845848602</v>
      </c>
    </row>
    <row r="84" spans="1:5" x14ac:dyDescent="0.15">
      <c r="A84" s="15">
        <v>48</v>
      </c>
      <c r="B84" s="19">
        <f t="shared" ca="1" si="0"/>
        <v>0.96266153674838251</v>
      </c>
      <c r="C84" s="20">
        <f t="shared" ca="1" si="1"/>
        <v>1.9626615367483824</v>
      </c>
      <c r="D84" s="19">
        <f t="shared" ca="1" si="3"/>
        <v>3.7338463251617493E-2</v>
      </c>
      <c r="E84" s="20">
        <f t="shared" ca="1" si="2"/>
        <v>3.7338463251617493E-2</v>
      </c>
    </row>
    <row r="85" spans="1:5" x14ac:dyDescent="0.15">
      <c r="A85" s="15">
        <v>49</v>
      </c>
      <c r="B85" s="19">
        <f t="shared" ca="1" si="0"/>
        <v>0.99554681102775366</v>
      </c>
      <c r="C85" s="20">
        <f t="shared" ca="1" si="1"/>
        <v>1.9955468110277537</v>
      </c>
      <c r="D85" s="19">
        <f t="shared" ca="1" si="3"/>
        <v>4.4531889722463358E-3</v>
      </c>
      <c r="E85" s="20">
        <f t="shared" ca="1" si="2"/>
        <v>4.4531889722463358E-3</v>
      </c>
    </row>
    <row r="86" spans="1:5" x14ac:dyDescent="0.15">
      <c r="A86" s="15">
        <v>50</v>
      </c>
      <c r="B86" s="19">
        <f t="shared" ca="1" si="0"/>
        <v>0.40820558983092248</v>
      </c>
      <c r="C86" s="20">
        <f t="shared" ca="1" si="1"/>
        <v>1.4082055898309225</v>
      </c>
      <c r="D86" s="19">
        <f t="shared" ca="1" si="3"/>
        <v>0.59179441016907752</v>
      </c>
      <c r="E86" s="20">
        <f t="shared" ca="1" si="2"/>
        <v>1.5917944101690775</v>
      </c>
    </row>
    <row r="87" spans="1:5" x14ac:dyDescent="0.15">
      <c r="A87" s="15">
        <v>51</v>
      </c>
      <c r="B87" s="19">
        <f t="shared" ca="1" si="0"/>
        <v>0.8359272786348082</v>
      </c>
      <c r="C87" s="20">
        <f t="shared" ca="1" si="1"/>
        <v>1.8359272786348082</v>
      </c>
      <c r="D87" s="19">
        <f t="shared" ca="1" si="3"/>
        <v>0.1640727213651918</v>
      </c>
      <c r="E87" s="20">
        <f t="shared" ca="1" si="2"/>
        <v>0.1640727213651918</v>
      </c>
    </row>
    <row r="88" spans="1:5" x14ac:dyDescent="0.15">
      <c r="A88" s="15">
        <v>52</v>
      </c>
      <c r="B88" s="19">
        <f t="shared" ca="1" si="0"/>
        <v>0.79244590938842374</v>
      </c>
      <c r="C88" s="20">
        <f t="shared" ca="1" si="1"/>
        <v>1.7924459093884237</v>
      </c>
      <c r="D88" s="19">
        <f t="shared" ca="1" si="3"/>
        <v>0.20755409061157626</v>
      </c>
      <c r="E88" s="20">
        <f t="shared" ca="1" si="2"/>
        <v>0.20755409061157626</v>
      </c>
    </row>
    <row r="89" spans="1:5" x14ac:dyDescent="0.15">
      <c r="A89" s="15">
        <v>53</v>
      </c>
      <c r="B89" s="19">
        <f t="shared" ca="1" si="0"/>
        <v>0.89379466731486423</v>
      </c>
      <c r="C89" s="20">
        <f t="shared" ca="1" si="1"/>
        <v>1.8937946673148642</v>
      </c>
      <c r="D89" s="19">
        <f t="shared" ca="1" si="3"/>
        <v>0.10620533268513577</v>
      </c>
      <c r="E89" s="20">
        <f t="shared" ca="1" si="2"/>
        <v>0.10620533268513577</v>
      </c>
    </row>
    <row r="90" spans="1:5" x14ac:dyDescent="0.15">
      <c r="A90" s="15">
        <v>54</v>
      </c>
      <c r="B90" s="19">
        <f t="shared" ca="1" si="0"/>
        <v>0.36295241759531749</v>
      </c>
      <c r="C90" s="20">
        <f t="shared" ca="1" si="1"/>
        <v>0.36295241759531749</v>
      </c>
      <c r="D90" s="19">
        <f t="shared" ca="1" si="3"/>
        <v>0.63704758240468251</v>
      </c>
      <c r="E90" s="20">
        <f t="shared" ca="1" si="2"/>
        <v>1.6370475824046826</v>
      </c>
    </row>
    <row r="91" spans="1:5" x14ac:dyDescent="0.15">
      <c r="A91" s="15">
        <v>55</v>
      </c>
      <c r="B91" s="19">
        <f t="shared" ca="1" si="0"/>
        <v>0.73657162138233467</v>
      </c>
      <c r="C91" s="20">
        <f t="shared" ca="1" si="1"/>
        <v>1.7365716213823346</v>
      </c>
      <c r="D91" s="19">
        <f t="shared" ca="1" si="3"/>
        <v>0.26342837861766533</v>
      </c>
      <c r="E91" s="20">
        <f t="shared" ca="1" si="2"/>
        <v>0.26342837861766533</v>
      </c>
    </row>
    <row r="92" spans="1:5" x14ac:dyDescent="0.15">
      <c r="A92" s="15">
        <v>56</v>
      </c>
      <c r="B92" s="19">
        <f t="shared" ca="1" si="0"/>
        <v>0.55250763171349249</v>
      </c>
      <c r="C92" s="20">
        <f t="shared" ca="1" si="1"/>
        <v>1.5525076317134925</v>
      </c>
      <c r="D92" s="19">
        <f t="shared" ca="1" si="3"/>
        <v>0.44749236828650751</v>
      </c>
      <c r="E92" s="20">
        <f t="shared" ca="1" si="2"/>
        <v>1.4474923682865075</v>
      </c>
    </row>
    <row r="93" spans="1:5" x14ac:dyDescent="0.15">
      <c r="A93" s="15">
        <v>57</v>
      </c>
      <c r="B93" s="19">
        <f t="shared" ca="1" si="0"/>
        <v>0.3999456183238197</v>
      </c>
      <c r="C93" s="20">
        <f t="shared" ca="1" si="1"/>
        <v>0.3999456183238197</v>
      </c>
      <c r="D93" s="19">
        <f t="shared" ca="1" si="3"/>
        <v>0.6000543816761803</v>
      </c>
      <c r="E93" s="20">
        <f t="shared" ca="1" si="2"/>
        <v>1.6000543816761803</v>
      </c>
    </row>
    <row r="94" spans="1:5" x14ac:dyDescent="0.15">
      <c r="A94" s="15">
        <v>58</v>
      </c>
      <c r="B94" s="19">
        <f t="shared" ca="1" si="0"/>
        <v>0.19930703685181739</v>
      </c>
      <c r="C94" s="20">
        <f t="shared" ca="1" si="1"/>
        <v>0.19930703685181739</v>
      </c>
      <c r="D94" s="19">
        <f t="shared" ca="1" si="3"/>
        <v>0.80069296314818261</v>
      </c>
      <c r="E94" s="20">
        <f t="shared" ca="1" si="2"/>
        <v>1.8006929631481827</v>
      </c>
    </row>
    <row r="95" spans="1:5" x14ac:dyDescent="0.15">
      <c r="A95" s="15">
        <v>59</v>
      </c>
      <c r="B95" s="19">
        <f t="shared" ca="1" si="0"/>
        <v>0.81530516380390194</v>
      </c>
      <c r="C95" s="20">
        <f t="shared" ca="1" si="1"/>
        <v>1.8153051638039019</v>
      </c>
      <c r="D95" s="19">
        <f t="shared" ca="1" si="3"/>
        <v>0.18469483619609806</v>
      </c>
      <c r="E95" s="20">
        <f t="shared" ca="1" si="2"/>
        <v>0.18469483619609806</v>
      </c>
    </row>
    <row r="96" spans="1:5" x14ac:dyDescent="0.15">
      <c r="A96" s="15">
        <v>60</v>
      </c>
      <c r="B96" s="19">
        <f t="shared" ca="1" si="0"/>
        <v>5.2608175134065349E-2</v>
      </c>
      <c r="C96" s="20">
        <f t="shared" ca="1" si="1"/>
        <v>5.2608175134065349E-2</v>
      </c>
      <c r="D96" s="19">
        <f t="shared" ca="1" si="3"/>
        <v>0.94739182486593465</v>
      </c>
      <c r="E96" s="20">
        <f t="shared" ca="1" si="2"/>
        <v>1.9473918248659348</v>
      </c>
    </row>
    <row r="97" spans="1:5" x14ac:dyDescent="0.15">
      <c r="A97" s="15">
        <v>61</v>
      </c>
      <c r="B97" s="19">
        <f t="shared" ca="1" si="0"/>
        <v>0.49254165604143829</v>
      </c>
      <c r="C97" s="20">
        <f t="shared" ca="1" si="1"/>
        <v>1.4925416560414382</v>
      </c>
      <c r="D97" s="19">
        <f t="shared" ca="1" si="3"/>
        <v>0.50745834395856171</v>
      </c>
      <c r="E97" s="20">
        <f t="shared" ca="1" si="2"/>
        <v>1.5074583439585618</v>
      </c>
    </row>
    <row r="98" spans="1:5" x14ac:dyDescent="0.15">
      <c r="A98" s="15">
        <v>62</v>
      </c>
      <c r="B98" s="19">
        <f t="shared" ca="1" si="0"/>
        <v>0.54350836529450586</v>
      </c>
      <c r="C98" s="20">
        <f t="shared" ca="1" si="1"/>
        <v>1.5435083652945059</v>
      </c>
      <c r="D98" s="19">
        <f t="shared" ca="1" si="3"/>
        <v>0.45649163470549414</v>
      </c>
      <c r="E98" s="20">
        <f t="shared" ca="1" si="2"/>
        <v>1.4564916347054941</v>
      </c>
    </row>
    <row r="99" spans="1:5" x14ac:dyDescent="0.15">
      <c r="A99" s="15">
        <v>63</v>
      </c>
      <c r="B99" s="19">
        <f t="shared" ca="1" si="0"/>
        <v>7.926455315874581E-2</v>
      </c>
      <c r="C99" s="20">
        <f t="shared" ca="1" si="1"/>
        <v>7.926455315874581E-2</v>
      </c>
      <c r="D99" s="19">
        <f t="shared" ca="1" si="3"/>
        <v>0.92073544684125419</v>
      </c>
      <c r="E99" s="20">
        <f t="shared" ca="1" si="2"/>
        <v>1.9207354468412543</v>
      </c>
    </row>
    <row r="100" spans="1:5" x14ac:dyDescent="0.15">
      <c r="A100" s="15">
        <v>64</v>
      </c>
      <c r="B100" s="19">
        <f t="shared" ca="1" si="0"/>
        <v>0.46906919549520132</v>
      </c>
      <c r="C100" s="20">
        <f t="shared" ca="1" si="1"/>
        <v>1.4690691954952013</v>
      </c>
      <c r="D100" s="19">
        <f t="shared" ca="1" si="3"/>
        <v>0.53093080450479868</v>
      </c>
      <c r="E100" s="20">
        <f t="shared" ca="1" si="2"/>
        <v>1.5309308045047987</v>
      </c>
    </row>
    <row r="101" spans="1:5" x14ac:dyDescent="0.15">
      <c r="A101" s="15">
        <v>65</v>
      </c>
      <c r="B101" s="19">
        <f t="shared" ref="B101:B164" ca="1" si="4">RAND()</f>
        <v>0.33368943267454731</v>
      </c>
      <c r="C101" s="20">
        <f t="shared" ca="1" si="1"/>
        <v>0.33368943267454731</v>
      </c>
      <c r="D101" s="19">
        <f t="shared" ref="D101:D164" ca="1" si="5">1-B101</f>
        <v>0.66631056732545269</v>
      </c>
      <c r="E101" s="20">
        <f t="shared" ca="1" si="2"/>
        <v>1.6663105673254526</v>
      </c>
    </row>
    <row r="102" spans="1:5" x14ac:dyDescent="0.15">
      <c r="A102" s="15">
        <v>66</v>
      </c>
      <c r="B102" s="19">
        <f t="shared" ca="1" si="4"/>
        <v>0.57336522692310621</v>
      </c>
      <c r="C102" s="20">
        <f t="shared" ref="C102:C165" ca="1" si="6">IF(B102&lt;0.4,B102,1+B102)</f>
        <v>1.5733652269231062</v>
      </c>
      <c r="D102" s="19">
        <f t="shared" ca="1" si="5"/>
        <v>0.42663477307689379</v>
      </c>
      <c r="E102" s="20">
        <f t="shared" ref="E102:E165" ca="1" si="7">IF(D102&lt;0.4,D102,1+D102)</f>
        <v>1.4266347730768938</v>
      </c>
    </row>
    <row r="103" spans="1:5" x14ac:dyDescent="0.15">
      <c r="A103" s="15">
        <v>67</v>
      </c>
      <c r="B103" s="19">
        <f t="shared" ca="1" si="4"/>
        <v>9.8803769922471751E-2</v>
      </c>
      <c r="C103" s="20">
        <f t="shared" ca="1" si="6"/>
        <v>9.8803769922471751E-2</v>
      </c>
      <c r="D103" s="19">
        <f t="shared" ca="1" si="5"/>
        <v>0.90119623007752825</v>
      </c>
      <c r="E103" s="20">
        <f t="shared" ca="1" si="7"/>
        <v>1.9011962300775282</v>
      </c>
    </row>
    <row r="104" spans="1:5" x14ac:dyDescent="0.15">
      <c r="A104" s="15">
        <v>68</v>
      </c>
      <c r="B104" s="19">
        <f t="shared" ca="1" si="4"/>
        <v>9.0251210493115575E-2</v>
      </c>
      <c r="C104" s="20">
        <f t="shared" ca="1" si="6"/>
        <v>9.0251210493115575E-2</v>
      </c>
      <c r="D104" s="19">
        <f t="shared" ca="1" si="5"/>
        <v>0.90974878950688443</v>
      </c>
      <c r="E104" s="20">
        <f t="shared" ca="1" si="7"/>
        <v>1.9097487895068843</v>
      </c>
    </row>
    <row r="105" spans="1:5" x14ac:dyDescent="0.15">
      <c r="A105" s="15">
        <v>69</v>
      </c>
      <c r="B105" s="19">
        <f t="shared" ca="1" si="4"/>
        <v>0.56553026825943553</v>
      </c>
      <c r="C105" s="20">
        <f t="shared" ca="1" si="6"/>
        <v>1.5655302682594354</v>
      </c>
      <c r="D105" s="19">
        <f t="shared" ca="1" si="5"/>
        <v>0.43446973174056447</v>
      </c>
      <c r="E105" s="20">
        <f t="shared" ca="1" si="7"/>
        <v>1.4344697317405646</v>
      </c>
    </row>
    <row r="106" spans="1:5" x14ac:dyDescent="0.15">
      <c r="A106" s="15">
        <v>70</v>
      </c>
      <c r="B106" s="19">
        <f t="shared" ca="1" si="4"/>
        <v>0.10392205483508021</v>
      </c>
      <c r="C106" s="20">
        <f t="shared" ca="1" si="6"/>
        <v>0.10392205483508021</v>
      </c>
      <c r="D106" s="19">
        <f t="shared" ca="1" si="5"/>
        <v>0.89607794516491979</v>
      </c>
      <c r="E106" s="20">
        <f t="shared" ca="1" si="7"/>
        <v>1.8960779451649197</v>
      </c>
    </row>
    <row r="107" spans="1:5" x14ac:dyDescent="0.15">
      <c r="A107" s="15">
        <v>71</v>
      </c>
      <c r="B107" s="19">
        <f t="shared" ca="1" si="4"/>
        <v>0.12837418742435236</v>
      </c>
      <c r="C107" s="20">
        <f t="shared" ca="1" si="6"/>
        <v>0.12837418742435236</v>
      </c>
      <c r="D107" s="19">
        <f t="shared" ca="1" si="5"/>
        <v>0.87162581257564764</v>
      </c>
      <c r="E107" s="20">
        <f t="shared" ca="1" si="7"/>
        <v>1.8716258125756475</v>
      </c>
    </row>
    <row r="108" spans="1:5" x14ac:dyDescent="0.15">
      <c r="A108" s="15">
        <v>72</v>
      </c>
      <c r="B108" s="19">
        <f t="shared" ca="1" si="4"/>
        <v>0.97461884973896018</v>
      </c>
      <c r="C108" s="20">
        <f t="shared" ca="1" si="6"/>
        <v>1.9746188497389601</v>
      </c>
      <c r="D108" s="19">
        <f t="shared" ca="1" si="5"/>
        <v>2.538115026103982E-2</v>
      </c>
      <c r="E108" s="20">
        <f t="shared" ca="1" si="7"/>
        <v>2.538115026103982E-2</v>
      </c>
    </row>
    <row r="109" spans="1:5" x14ac:dyDescent="0.15">
      <c r="A109" s="15">
        <v>73</v>
      </c>
      <c r="B109" s="19">
        <f t="shared" ca="1" si="4"/>
        <v>0.33300220593278695</v>
      </c>
      <c r="C109" s="20">
        <f t="shared" ca="1" si="6"/>
        <v>0.33300220593278695</v>
      </c>
      <c r="D109" s="19">
        <f t="shared" ca="1" si="5"/>
        <v>0.66699779406721305</v>
      </c>
      <c r="E109" s="20">
        <f t="shared" ca="1" si="7"/>
        <v>1.6669977940672132</v>
      </c>
    </row>
    <row r="110" spans="1:5" x14ac:dyDescent="0.15">
      <c r="A110" s="15">
        <v>74</v>
      </c>
      <c r="B110" s="19">
        <f t="shared" ca="1" si="4"/>
        <v>0.42462387142966307</v>
      </c>
      <c r="C110" s="20">
        <f t="shared" ca="1" si="6"/>
        <v>1.4246238714296631</v>
      </c>
      <c r="D110" s="19">
        <f t="shared" ca="1" si="5"/>
        <v>0.57537612857033693</v>
      </c>
      <c r="E110" s="20">
        <f t="shared" ca="1" si="7"/>
        <v>1.5753761285703369</v>
      </c>
    </row>
    <row r="111" spans="1:5" x14ac:dyDescent="0.15">
      <c r="A111" s="15">
        <v>75</v>
      </c>
      <c r="B111" s="19">
        <f t="shared" ca="1" si="4"/>
        <v>0.91075605954161853</v>
      </c>
      <c r="C111" s="20">
        <f t="shared" ca="1" si="6"/>
        <v>1.9107560595416184</v>
      </c>
      <c r="D111" s="19">
        <f t="shared" ca="1" si="5"/>
        <v>8.9243940458381465E-2</v>
      </c>
      <c r="E111" s="20">
        <f t="shared" ca="1" si="7"/>
        <v>8.9243940458381465E-2</v>
      </c>
    </row>
    <row r="112" spans="1:5" x14ac:dyDescent="0.15">
      <c r="A112" s="15">
        <v>76</v>
      </c>
      <c r="B112" s="19">
        <f t="shared" ca="1" si="4"/>
        <v>0.94155234228757279</v>
      </c>
      <c r="C112" s="20">
        <f t="shared" ca="1" si="6"/>
        <v>1.9415523422875727</v>
      </c>
      <c r="D112" s="19">
        <f t="shared" ca="1" si="5"/>
        <v>5.8447657712427215E-2</v>
      </c>
      <c r="E112" s="20">
        <f t="shared" ca="1" si="7"/>
        <v>5.8447657712427215E-2</v>
      </c>
    </row>
    <row r="113" spans="1:5" x14ac:dyDescent="0.15">
      <c r="A113" s="15">
        <v>77</v>
      </c>
      <c r="B113" s="19">
        <f t="shared" ca="1" si="4"/>
        <v>0.38245813335917156</v>
      </c>
      <c r="C113" s="20">
        <f t="shared" ca="1" si="6"/>
        <v>0.38245813335917156</v>
      </c>
      <c r="D113" s="19">
        <f t="shared" ca="1" si="5"/>
        <v>0.61754186664082844</v>
      </c>
      <c r="E113" s="20">
        <f t="shared" ca="1" si="7"/>
        <v>1.6175418666408286</v>
      </c>
    </row>
    <row r="114" spans="1:5" x14ac:dyDescent="0.15">
      <c r="A114" s="15">
        <v>78</v>
      </c>
      <c r="B114" s="19">
        <f t="shared" ca="1" si="4"/>
        <v>0.16337016496799939</v>
      </c>
      <c r="C114" s="20">
        <f t="shared" ca="1" si="6"/>
        <v>0.16337016496799939</v>
      </c>
      <c r="D114" s="19">
        <f t="shared" ca="1" si="5"/>
        <v>0.83662983503200061</v>
      </c>
      <c r="E114" s="20">
        <f t="shared" ca="1" si="7"/>
        <v>1.8366298350320007</v>
      </c>
    </row>
    <row r="115" spans="1:5" x14ac:dyDescent="0.15">
      <c r="A115" s="15">
        <v>79</v>
      </c>
      <c r="B115" s="19">
        <f t="shared" ca="1" si="4"/>
        <v>0.34938704523718311</v>
      </c>
      <c r="C115" s="20">
        <f t="shared" ca="1" si="6"/>
        <v>0.34938704523718311</v>
      </c>
      <c r="D115" s="19">
        <f t="shared" ca="1" si="5"/>
        <v>0.65061295476281689</v>
      </c>
      <c r="E115" s="20">
        <f t="shared" ca="1" si="7"/>
        <v>1.650612954762817</v>
      </c>
    </row>
    <row r="116" spans="1:5" x14ac:dyDescent="0.15">
      <c r="A116" s="15">
        <v>80</v>
      </c>
      <c r="B116" s="19">
        <f t="shared" ca="1" si="4"/>
        <v>0.30863705082571569</v>
      </c>
      <c r="C116" s="20">
        <f t="shared" ca="1" si="6"/>
        <v>0.30863705082571569</v>
      </c>
      <c r="D116" s="19">
        <f t="shared" ca="1" si="5"/>
        <v>0.69136294917428431</v>
      </c>
      <c r="E116" s="20">
        <f t="shared" ca="1" si="7"/>
        <v>1.6913629491742843</v>
      </c>
    </row>
    <row r="117" spans="1:5" x14ac:dyDescent="0.15">
      <c r="A117" s="15">
        <v>81</v>
      </c>
      <c r="B117" s="19">
        <f t="shared" ca="1" si="4"/>
        <v>0.24170209412103061</v>
      </c>
      <c r="C117" s="20">
        <f t="shared" ca="1" si="6"/>
        <v>0.24170209412103061</v>
      </c>
      <c r="D117" s="19">
        <f t="shared" ca="1" si="5"/>
        <v>0.75829790587896939</v>
      </c>
      <c r="E117" s="20">
        <f t="shared" ca="1" si="7"/>
        <v>1.7582979058789694</v>
      </c>
    </row>
    <row r="118" spans="1:5" x14ac:dyDescent="0.15">
      <c r="A118" s="15">
        <v>82</v>
      </c>
      <c r="B118" s="19">
        <f t="shared" ca="1" si="4"/>
        <v>0.70568699205548469</v>
      </c>
      <c r="C118" s="20">
        <f t="shared" ca="1" si="6"/>
        <v>1.7056869920554847</v>
      </c>
      <c r="D118" s="19">
        <f t="shared" ca="1" si="5"/>
        <v>0.29431300794451531</v>
      </c>
      <c r="E118" s="20">
        <f t="shared" ca="1" si="7"/>
        <v>0.29431300794451531</v>
      </c>
    </row>
    <row r="119" spans="1:5" x14ac:dyDescent="0.15">
      <c r="A119" s="15">
        <v>83</v>
      </c>
      <c r="B119" s="19">
        <f t="shared" ca="1" si="4"/>
        <v>0.19500409977176425</v>
      </c>
      <c r="C119" s="20">
        <f t="shared" ca="1" si="6"/>
        <v>0.19500409977176425</v>
      </c>
      <c r="D119" s="19">
        <f t="shared" ca="1" si="5"/>
        <v>0.80499590022823575</v>
      </c>
      <c r="E119" s="20">
        <f t="shared" ca="1" si="7"/>
        <v>1.8049959002282359</v>
      </c>
    </row>
    <row r="120" spans="1:5" x14ac:dyDescent="0.15">
      <c r="A120" s="15">
        <v>84</v>
      </c>
      <c r="B120" s="19">
        <f t="shared" ca="1" si="4"/>
        <v>0.82681120016753029</v>
      </c>
      <c r="C120" s="20">
        <f t="shared" ca="1" si="6"/>
        <v>1.8268112001675303</v>
      </c>
      <c r="D120" s="19">
        <f t="shared" ca="1" si="5"/>
        <v>0.17318879983246971</v>
      </c>
      <c r="E120" s="20">
        <f t="shared" ca="1" si="7"/>
        <v>0.17318879983246971</v>
      </c>
    </row>
    <row r="121" spans="1:5" x14ac:dyDescent="0.15">
      <c r="A121" s="15">
        <v>85</v>
      </c>
      <c r="B121" s="19">
        <f t="shared" ca="1" si="4"/>
        <v>0.24743678452380902</v>
      </c>
      <c r="C121" s="20">
        <f t="shared" ca="1" si="6"/>
        <v>0.24743678452380902</v>
      </c>
      <c r="D121" s="19">
        <f t="shared" ca="1" si="5"/>
        <v>0.75256321547619098</v>
      </c>
      <c r="E121" s="20">
        <f t="shared" ca="1" si="7"/>
        <v>1.752563215476191</v>
      </c>
    </row>
    <row r="122" spans="1:5" x14ac:dyDescent="0.15">
      <c r="A122" s="15">
        <v>86</v>
      </c>
      <c r="B122" s="19">
        <f t="shared" ca="1" si="4"/>
        <v>0.64235949743296539</v>
      </c>
      <c r="C122" s="20">
        <f t="shared" ca="1" si="6"/>
        <v>1.6423594974329654</v>
      </c>
      <c r="D122" s="19">
        <f t="shared" ca="1" si="5"/>
        <v>0.35764050256703461</v>
      </c>
      <c r="E122" s="20">
        <f t="shared" ca="1" si="7"/>
        <v>0.35764050256703461</v>
      </c>
    </row>
    <row r="123" spans="1:5" x14ac:dyDescent="0.15">
      <c r="A123" s="15">
        <v>87</v>
      </c>
      <c r="B123" s="19">
        <f t="shared" ca="1" si="4"/>
        <v>0.82196938162531374</v>
      </c>
      <c r="C123" s="20">
        <f t="shared" ca="1" si="6"/>
        <v>1.8219693816253137</v>
      </c>
      <c r="D123" s="19">
        <f t="shared" ca="1" si="5"/>
        <v>0.17803061837468626</v>
      </c>
      <c r="E123" s="20">
        <f t="shared" ca="1" si="7"/>
        <v>0.17803061837468626</v>
      </c>
    </row>
    <row r="124" spans="1:5" x14ac:dyDescent="0.15">
      <c r="A124" s="15">
        <v>88</v>
      </c>
      <c r="B124" s="19">
        <f t="shared" ca="1" si="4"/>
        <v>0.49379171531683519</v>
      </c>
      <c r="C124" s="20">
        <f t="shared" ca="1" si="6"/>
        <v>1.4937917153168352</v>
      </c>
      <c r="D124" s="19">
        <f t="shared" ca="1" si="5"/>
        <v>0.50620828468316481</v>
      </c>
      <c r="E124" s="20">
        <f t="shared" ca="1" si="7"/>
        <v>1.5062082846831648</v>
      </c>
    </row>
    <row r="125" spans="1:5" x14ac:dyDescent="0.15">
      <c r="A125" s="15">
        <v>89</v>
      </c>
      <c r="B125" s="19">
        <f t="shared" ca="1" si="4"/>
        <v>0.62659845845871454</v>
      </c>
      <c r="C125" s="20">
        <f t="shared" ca="1" si="6"/>
        <v>1.6265984584587145</v>
      </c>
      <c r="D125" s="19">
        <f t="shared" ca="1" si="5"/>
        <v>0.37340154154128546</v>
      </c>
      <c r="E125" s="20">
        <f t="shared" ca="1" si="7"/>
        <v>0.37340154154128546</v>
      </c>
    </row>
    <row r="126" spans="1:5" x14ac:dyDescent="0.15">
      <c r="A126" s="15">
        <v>90</v>
      </c>
      <c r="B126" s="19">
        <f t="shared" ca="1" si="4"/>
        <v>0.94347596625349095</v>
      </c>
      <c r="C126" s="20">
        <f t="shared" ca="1" si="6"/>
        <v>1.9434759662534908</v>
      </c>
      <c r="D126" s="19">
        <f t="shared" ca="1" si="5"/>
        <v>5.652403374650905E-2</v>
      </c>
      <c r="E126" s="20">
        <f t="shared" ca="1" si="7"/>
        <v>5.652403374650905E-2</v>
      </c>
    </row>
    <row r="127" spans="1:5" x14ac:dyDescent="0.15">
      <c r="A127" s="15">
        <v>91</v>
      </c>
      <c r="B127" s="19">
        <f t="shared" ca="1" si="4"/>
        <v>0.80761766026714443</v>
      </c>
      <c r="C127" s="20">
        <f t="shared" ca="1" si="6"/>
        <v>1.8076176602671445</v>
      </c>
      <c r="D127" s="19">
        <f t="shared" ca="1" si="5"/>
        <v>0.19238233973285557</v>
      </c>
      <c r="E127" s="20">
        <f t="shared" ca="1" si="7"/>
        <v>0.19238233973285557</v>
      </c>
    </row>
    <row r="128" spans="1:5" x14ac:dyDescent="0.15">
      <c r="A128" s="15">
        <v>92</v>
      </c>
      <c r="B128" s="19">
        <f t="shared" ca="1" si="4"/>
        <v>0.48315715997784225</v>
      </c>
      <c r="C128" s="20">
        <f t="shared" ca="1" si="6"/>
        <v>1.4831571599778424</v>
      </c>
      <c r="D128" s="19">
        <f t="shared" ca="1" si="5"/>
        <v>0.51684284002215775</v>
      </c>
      <c r="E128" s="20">
        <f t="shared" ca="1" si="7"/>
        <v>1.5168428400221576</v>
      </c>
    </row>
    <row r="129" spans="1:5" x14ac:dyDescent="0.15">
      <c r="A129" s="15">
        <v>93</v>
      </c>
      <c r="B129" s="19">
        <f t="shared" ca="1" si="4"/>
        <v>0.52813253236338009</v>
      </c>
      <c r="C129" s="20">
        <f t="shared" ca="1" si="6"/>
        <v>1.5281325323633801</v>
      </c>
      <c r="D129" s="19">
        <f t="shared" ca="1" si="5"/>
        <v>0.47186746763661991</v>
      </c>
      <c r="E129" s="20">
        <f t="shared" ca="1" si="7"/>
        <v>1.4718674676366199</v>
      </c>
    </row>
    <row r="130" spans="1:5" x14ac:dyDescent="0.15">
      <c r="A130" s="15">
        <v>94</v>
      </c>
      <c r="B130" s="19">
        <f t="shared" ca="1" si="4"/>
        <v>0.58605647436095964</v>
      </c>
      <c r="C130" s="20">
        <f t="shared" ca="1" si="6"/>
        <v>1.5860564743609595</v>
      </c>
      <c r="D130" s="19">
        <f t="shared" ca="1" si="5"/>
        <v>0.41394352563904036</v>
      </c>
      <c r="E130" s="20">
        <f t="shared" ca="1" si="7"/>
        <v>1.4139435256390405</v>
      </c>
    </row>
    <row r="131" spans="1:5" x14ac:dyDescent="0.15">
      <c r="A131" s="15">
        <v>95</v>
      </c>
      <c r="B131" s="19">
        <f t="shared" ca="1" si="4"/>
        <v>0.66819520251291387</v>
      </c>
      <c r="C131" s="20">
        <f t="shared" ca="1" si="6"/>
        <v>1.6681952025129139</v>
      </c>
      <c r="D131" s="19">
        <f t="shared" ca="1" si="5"/>
        <v>0.33180479748708613</v>
      </c>
      <c r="E131" s="20">
        <f t="shared" ca="1" si="7"/>
        <v>0.33180479748708613</v>
      </c>
    </row>
    <row r="132" spans="1:5" x14ac:dyDescent="0.15">
      <c r="A132" s="15">
        <v>96</v>
      </c>
      <c r="B132" s="19">
        <f t="shared" ca="1" si="4"/>
        <v>0.52273923631003116</v>
      </c>
      <c r="C132" s="20">
        <f t="shared" ca="1" si="6"/>
        <v>1.5227392363100312</v>
      </c>
      <c r="D132" s="19">
        <f t="shared" ca="1" si="5"/>
        <v>0.47726076368996884</v>
      </c>
      <c r="E132" s="20">
        <f t="shared" ca="1" si="7"/>
        <v>1.4772607636899688</v>
      </c>
    </row>
    <row r="133" spans="1:5" x14ac:dyDescent="0.15">
      <c r="A133" s="15">
        <v>97</v>
      </c>
      <c r="B133" s="19">
        <f t="shared" ca="1" si="4"/>
        <v>0.98887303645367619</v>
      </c>
      <c r="C133" s="20">
        <f t="shared" ca="1" si="6"/>
        <v>1.9888730364536762</v>
      </c>
      <c r="D133" s="19">
        <f t="shared" ca="1" si="5"/>
        <v>1.1126963546323809E-2</v>
      </c>
      <c r="E133" s="20">
        <f t="shared" ca="1" si="7"/>
        <v>1.1126963546323809E-2</v>
      </c>
    </row>
    <row r="134" spans="1:5" x14ac:dyDescent="0.15">
      <c r="A134" s="15">
        <v>98</v>
      </c>
      <c r="B134" s="19">
        <f t="shared" ca="1" si="4"/>
        <v>0.7501056815424455</v>
      </c>
      <c r="C134" s="20">
        <f t="shared" ca="1" si="6"/>
        <v>1.7501056815424456</v>
      </c>
      <c r="D134" s="19">
        <f t="shared" ca="1" si="5"/>
        <v>0.2498943184575545</v>
      </c>
      <c r="E134" s="20">
        <f t="shared" ca="1" si="7"/>
        <v>0.2498943184575545</v>
      </c>
    </row>
    <row r="135" spans="1:5" x14ac:dyDescent="0.15">
      <c r="A135" s="15">
        <v>99</v>
      </c>
      <c r="B135" s="19">
        <f t="shared" ca="1" si="4"/>
        <v>0.55064450780427288</v>
      </c>
      <c r="C135" s="20">
        <f t="shared" ca="1" si="6"/>
        <v>1.550644507804273</v>
      </c>
      <c r="D135" s="19">
        <f t="shared" ca="1" si="5"/>
        <v>0.44935549219572712</v>
      </c>
      <c r="E135" s="20">
        <f t="shared" ca="1" si="7"/>
        <v>1.449355492195727</v>
      </c>
    </row>
    <row r="136" spans="1:5" x14ac:dyDescent="0.15">
      <c r="A136" s="15">
        <v>100</v>
      </c>
      <c r="B136" s="19">
        <f t="shared" ca="1" si="4"/>
        <v>0.17707026476890009</v>
      </c>
      <c r="C136" s="20">
        <f t="shared" ca="1" si="6"/>
        <v>0.17707026476890009</v>
      </c>
      <c r="D136" s="19">
        <f t="shared" ca="1" si="5"/>
        <v>0.82292973523109991</v>
      </c>
      <c r="E136" s="20">
        <f t="shared" ca="1" si="7"/>
        <v>1.8229297352310998</v>
      </c>
    </row>
    <row r="137" spans="1:5" x14ac:dyDescent="0.15">
      <c r="A137" s="15">
        <v>101</v>
      </c>
      <c r="B137" s="19">
        <f t="shared" ca="1" si="4"/>
        <v>5.9282098132632854E-2</v>
      </c>
      <c r="C137" s="20">
        <f t="shared" ca="1" si="6"/>
        <v>5.9282098132632854E-2</v>
      </c>
      <c r="D137" s="19">
        <f t="shared" ca="1" si="5"/>
        <v>0.94071790186736715</v>
      </c>
      <c r="E137" s="20">
        <f t="shared" ca="1" si="7"/>
        <v>1.9407179018673673</v>
      </c>
    </row>
    <row r="138" spans="1:5" x14ac:dyDescent="0.15">
      <c r="A138" s="15">
        <v>102</v>
      </c>
      <c r="B138" s="19">
        <f t="shared" ca="1" si="4"/>
        <v>0.84289480965767116</v>
      </c>
      <c r="C138" s="20">
        <f t="shared" ca="1" si="6"/>
        <v>1.8428948096576712</v>
      </c>
      <c r="D138" s="19">
        <f t="shared" ca="1" si="5"/>
        <v>0.15710519034232884</v>
      </c>
      <c r="E138" s="20">
        <f t="shared" ca="1" si="7"/>
        <v>0.15710519034232884</v>
      </c>
    </row>
    <row r="139" spans="1:5" x14ac:dyDescent="0.15">
      <c r="A139" s="15">
        <v>103</v>
      </c>
      <c r="B139" s="19">
        <f t="shared" ca="1" si="4"/>
        <v>4.5363356792539777E-2</v>
      </c>
      <c r="C139" s="20">
        <f t="shared" ca="1" si="6"/>
        <v>4.5363356792539777E-2</v>
      </c>
      <c r="D139" s="19">
        <f t="shared" ca="1" si="5"/>
        <v>0.95463664320746022</v>
      </c>
      <c r="E139" s="20">
        <f t="shared" ca="1" si="7"/>
        <v>1.9546366432074602</v>
      </c>
    </row>
    <row r="140" spans="1:5" x14ac:dyDescent="0.15">
      <c r="A140" s="15">
        <v>104</v>
      </c>
      <c r="B140" s="19">
        <f t="shared" ca="1" si="4"/>
        <v>0.33226191801568739</v>
      </c>
      <c r="C140" s="20">
        <f t="shared" ca="1" si="6"/>
        <v>0.33226191801568739</v>
      </c>
      <c r="D140" s="19">
        <f t="shared" ca="1" si="5"/>
        <v>0.66773808198431261</v>
      </c>
      <c r="E140" s="20">
        <f t="shared" ca="1" si="7"/>
        <v>1.6677380819843126</v>
      </c>
    </row>
    <row r="141" spans="1:5" x14ac:dyDescent="0.15">
      <c r="A141" s="15">
        <v>105</v>
      </c>
      <c r="B141" s="19">
        <f t="shared" ca="1" si="4"/>
        <v>0.25919901572371151</v>
      </c>
      <c r="C141" s="20">
        <f t="shared" ca="1" si="6"/>
        <v>0.25919901572371151</v>
      </c>
      <c r="D141" s="19">
        <f t="shared" ca="1" si="5"/>
        <v>0.74080098427628849</v>
      </c>
      <c r="E141" s="20">
        <f t="shared" ca="1" si="7"/>
        <v>1.7408009842762886</v>
      </c>
    </row>
    <row r="142" spans="1:5" x14ac:dyDescent="0.15">
      <c r="A142" s="15">
        <v>106</v>
      </c>
      <c r="B142" s="19">
        <f t="shared" ca="1" si="4"/>
        <v>0.26582900670133758</v>
      </c>
      <c r="C142" s="20">
        <f t="shared" ca="1" si="6"/>
        <v>0.26582900670133758</v>
      </c>
      <c r="D142" s="19">
        <f t="shared" ca="1" si="5"/>
        <v>0.73417099329866242</v>
      </c>
      <c r="E142" s="20">
        <f t="shared" ca="1" si="7"/>
        <v>1.7341709932986624</v>
      </c>
    </row>
    <row r="143" spans="1:5" x14ac:dyDescent="0.15">
      <c r="A143" s="15">
        <v>107</v>
      </c>
      <c r="B143" s="19">
        <f t="shared" ca="1" si="4"/>
        <v>0.96357142898935555</v>
      </c>
      <c r="C143" s="20">
        <f t="shared" ca="1" si="6"/>
        <v>1.9635714289893555</v>
      </c>
      <c r="D143" s="19">
        <f t="shared" ca="1" si="5"/>
        <v>3.642857101064445E-2</v>
      </c>
      <c r="E143" s="20">
        <f t="shared" ca="1" si="7"/>
        <v>3.642857101064445E-2</v>
      </c>
    </row>
    <row r="144" spans="1:5" x14ac:dyDescent="0.15">
      <c r="A144" s="15">
        <v>108</v>
      </c>
      <c r="B144" s="19">
        <f t="shared" ca="1" si="4"/>
        <v>0.23025911245193076</v>
      </c>
      <c r="C144" s="20">
        <f t="shared" ca="1" si="6"/>
        <v>0.23025911245193076</v>
      </c>
      <c r="D144" s="19">
        <f t="shared" ca="1" si="5"/>
        <v>0.76974088754806924</v>
      </c>
      <c r="E144" s="20">
        <f t="shared" ca="1" si="7"/>
        <v>1.7697408875480694</v>
      </c>
    </row>
    <row r="145" spans="1:5" x14ac:dyDescent="0.15">
      <c r="A145" s="15">
        <v>109</v>
      </c>
      <c r="B145" s="19">
        <f t="shared" ca="1" si="4"/>
        <v>0.25033802437205344</v>
      </c>
      <c r="C145" s="20">
        <f t="shared" ca="1" si="6"/>
        <v>0.25033802437205344</v>
      </c>
      <c r="D145" s="19">
        <f t="shared" ca="1" si="5"/>
        <v>0.74966197562794656</v>
      </c>
      <c r="E145" s="20">
        <f t="shared" ca="1" si="7"/>
        <v>1.7496619756279466</v>
      </c>
    </row>
    <row r="146" spans="1:5" x14ac:dyDescent="0.15">
      <c r="A146" s="15">
        <v>110</v>
      </c>
      <c r="B146" s="19">
        <f t="shared" ca="1" si="4"/>
        <v>0.50245755927903846</v>
      </c>
      <c r="C146" s="20">
        <f t="shared" ca="1" si="6"/>
        <v>1.5024575592790383</v>
      </c>
      <c r="D146" s="19">
        <f t="shared" ca="1" si="5"/>
        <v>0.49754244072096154</v>
      </c>
      <c r="E146" s="20">
        <f t="shared" ca="1" si="7"/>
        <v>1.4975424407209617</v>
      </c>
    </row>
    <row r="147" spans="1:5" x14ac:dyDescent="0.15">
      <c r="A147" s="15">
        <v>111</v>
      </c>
      <c r="B147" s="19">
        <f t="shared" ca="1" si="4"/>
        <v>0.18526530846478273</v>
      </c>
      <c r="C147" s="20">
        <f t="shared" ca="1" si="6"/>
        <v>0.18526530846478273</v>
      </c>
      <c r="D147" s="19">
        <f t="shared" ca="1" si="5"/>
        <v>0.81473469153521727</v>
      </c>
      <c r="E147" s="20">
        <f t="shared" ca="1" si="7"/>
        <v>1.8147346915352172</v>
      </c>
    </row>
    <row r="148" spans="1:5" x14ac:dyDescent="0.15">
      <c r="A148" s="15">
        <v>112</v>
      </c>
      <c r="B148" s="19">
        <f t="shared" ca="1" si="4"/>
        <v>0.63686022651933305</v>
      </c>
      <c r="C148" s="20">
        <f t="shared" ca="1" si="6"/>
        <v>1.6368602265193331</v>
      </c>
      <c r="D148" s="19">
        <f t="shared" ca="1" si="5"/>
        <v>0.36313977348066695</v>
      </c>
      <c r="E148" s="20">
        <f t="shared" ca="1" si="7"/>
        <v>0.36313977348066695</v>
      </c>
    </row>
    <row r="149" spans="1:5" x14ac:dyDescent="0.15">
      <c r="A149" s="15">
        <v>113</v>
      </c>
      <c r="B149" s="19">
        <f t="shared" ca="1" si="4"/>
        <v>0.42290802281176931</v>
      </c>
      <c r="C149" s="20">
        <f t="shared" ca="1" si="6"/>
        <v>1.4229080228117694</v>
      </c>
      <c r="D149" s="19">
        <f t="shared" ca="1" si="5"/>
        <v>0.57709197718823069</v>
      </c>
      <c r="E149" s="20">
        <f t="shared" ca="1" si="7"/>
        <v>1.5770919771882306</v>
      </c>
    </row>
    <row r="150" spans="1:5" x14ac:dyDescent="0.15">
      <c r="A150" s="15">
        <v>114</v>
      </c>
      <c r="B150" s="19">
        <f t="shared" ca="1" si="4"/>
        <v>0.53224787044429778</v>
      </c>
      <c r="C150" s="20">
        <f t="shared" ca="1" si="6"/>
        <v>1.5322478704442979</v>
      </c>
      <c r="D150" s="19">
        <f t="shared" ca="1" si="5"/>
        <v>0.46775212955570222</v>
      </c>
      <c r="E150" s="20">
        <f t="shared" ca="1" si="7"/>
        <v>1.4677521295557021</v>
      </c>
    </row>
    <row r="151" spans="1:5" x14ac:dyDescent="0.15">
      <c r="A151" s="15">
        <v>115</v>
      </c>
      <c r="B151" s="19">
        <f t="shared" ca="1" si="4"/>
        <v>0.5208338037131599</v>
      </c>
      <c r="C151" s="20">
        <f t="shared" ca="1" si="6"/>
        <v>1.5208338037131599</v>
      </c>
      <c r="D151" s="19">
        <f t="shared" ca="1" si="5"/>
        <v>0.4791661962868401</v>
      </c>
      <c r="E151" s="20">
        <f t="shared" ca="1" si="7"/>
        <v>1.4791661962868401</v>
      </c>
    </row>
    <row r="152" spans="1:5" x14ac:dyDescent="0.15">
      <c r="A152" s="15">
        <v>116</v>
      </c>
      <c r="B152" s="19">
        <f t="shared" ca="1" si="4"/>
        <v>0.50805600298866427</v>
      </c>
      <c r="C152" s="20">
        <f t="shared" ca="1" si="6"/>
        <v>1.5080560029886643</v>
      </c>
      <c r="D152" s="19">
        <f t="shared" ca="1" si="5"/>
        <v>0.49194399701133573</v>
      </c>
      <c r="E152" s="20">
        <f t="shared" ca="1" si="7"/>
        <v>1.4919439970113357</v>
      </c>
    </row>
    <row r="153" spans="1:5" x14ac:dyDescent="0.15">
      <c r="A153" s="15">
        <v>117</v>
      </c>
      <c r="B153" s="19">
        <f t="shared" ca="1" si="4"/>
        <v>0.28931761072439954</v>
      </c>
      <c r="C153" s="20">
        <f t="shared" ca="1" si="6"/>
        <v>0.28931761072439954</v>
      </c>
      <c r="D153" s="19">
        <f t="shared" ca="1" si="5"/>
        <v>0.71068238927560046</v>
      </c>
      <c r="E153" s="20">
        <f t="shared" ca="1" si="7"/>
        <v>1.7106823892756005</v>
      </c>
    </row>
    <row r="154" spans="1:5" x14ac:dyDescent="0.15">
      <c r="A154" s="15">
        <v>118</v>
      </c>
      <c r="B154" s="19">
        <f t="shared" ca="1" si="4"/>
        <v>8.798733395862901E-3</v>
      </c>
      <c r="C154" s="20">
        <f t="shared" ca="1" si="6"/>
        <v>8.798733395862901E-3</v>
      </c>
      <c r="D154" s="19">
        <f t="shared" ca="1" si="5"/>
        <v>0.9912012666041371</v>
      </c>
      <c r="E154" s="20">
        <f t="shared" ca="1" si="7"/>
        <v>1.9912012666041372</v>
      </c>
    </row>
    <row r="155" spans="1:5" x14ac:dyDescent="0.15">
      <c r="A155" s="15">
        <v>119</v>
      </c>
      <c r="B155" s="19">
        <f t="shared" ca="1" si="4"/>
        <v>0.75621555183540323</v>
      </c>
      <c r="C155" s="20">
        <f t="shared" ca="1" si="6"/>
        <v>1.7562155518354032</v>
      </c>
      <c r="D155" s="19">
        <f t="shared" ca="1" si="5"/>
        <v>0.24378444816459677</v>
      </c>
      <c r="E155" s="20">
        <f t="shared" ca="1" si="7"/>
        <v>0.24378444816459677</v>
      </c>
    </row>
    <row r="156" spans="1:5" x14ac:dyDescent="0.15">
      <c r="A156" s="15">
        <v>120</v>
      </c>
      <c r="B156" s="19">
        <f t="shared" ca="1" si="4"/>
        <v>8.8551700716572257E-2</v>
      </c>
      <c r="C156" s="20">
        <f t="shared" ca="1" si="6"/>
        <v>8.8551700716572257E-2</v>
      </c>
      <c r="D156" s="19">
        <f t="shared" ca="1" si="5"/>
        <v>0.91144829928342774</v>
      </c>
      <c r="E156" s="20">
        <f t="shared" ca="1" si="7"/>
        <v>1.9114482992834279</v>
      </c>
    </row>
    <row r="157" spans="1:5" x14ac:dyDescent="0.15">
      <c r="A157" s="15">
        <v>121</v>
      </c>
      <c r="B157" s="19">
        <f t="shared" ca="1" si="4"/>
        <v>0.75367674032262777</v>
      </c>
      <c r="C157" s="20">
        <f t="shared" ca="1" si="6"/>
        <v>1.7536767403226277</v>
      </c>
      <c r="D157" s="19">
        <f t="shared" ca="1" si="5"/>
        <v>0.24632325967737223</v>
      </c>
      <c r="E157" s="20">
        <f t="shared" ca="1" si="7"/>
        <v>0.24632325967737223</v>
      </c>
    </row>
    <row r="158" spans="1:5" x14ac:dyDescent="0.15">
      <c r="A158" s="15">
        <v>122</v>
      </c>
      <c r="B158" s="19">
        <f t="shared" ca="1" si="4"/>
        <v>0.54848140344949947</v>
      </c>
      <c r="C158" s="20">
        <f t="shared" ca="1" si="6"/>
        <v>1.5484814034494994</v>
      </c>
      <c r="D158" s="19">
        <f t="shared" ca="1" si="5"/>
        <v>0.45151859655050053</v>
      </c>
      <c r="E158" s="20">
        <f t="shared" ca="1" si="7"/>
        <v>1.4515185965505006</v>
      </c>
    </row>
    <row r="159" spans="1:5" x14ac:dyDescent="0.15">
      <c r="A159" s="15">
        <v>123</v>
      </c>
      <c r="B159" s="19">
        <f t="shared" ca="1" si="4"/>
        <v>0.3069113624495966</v>
      </c>
      <c r="C159" s="20">
        <f t="shared" ca="1" si="6"/>
        <v>0.3069113624495966</v>
      </c>
      <c r="D159" s="19">
        <f t="shared" ca="1" si="5"/>
        <v>0.6930886375504034</v>
      </c>
      <c r="E159" s="20">
        <f t="shared" ca="1" si="7"/>
        <v>1.6930886375504035</v>
      </c>
    </row>
    <row r="160" spans="1:5" x14ac:dyDescent="0.15">
      <c r="A160" s="15">
        <v>124</v>
      </c>
      <c r="B160" s="19">
        <f t="shared" ca="1" si="4"/>
        <v>0.90121393592878507</v>
      </c>
      <c r="C160" s="20">
        <f t="shared" ca="1" si="6"/>
        <v>1.901213935928785</v>
      </c>
      <c r="D160" s="19">
        <f t="shared" ca="1" si="5"/>
        <v>9.878606407121493E-2</v>
      </c>
      <c r="E160" s="20">
        <f t="shared" ca="1" si="7"/>
        <v>9.878606407121493E-2</v>
      </c>
    </row>
    <row r="161" spans="1:5" x14ac:dyDescent="0.15">
      <c r="A161" s="15">
        <v>125</v>
      </c>
      <c r="B161" s="19">
        <f t="shared" ca="1" si="4"/>
        <v>0.52213113333805472</v>
      </c>
      <c r="C161" s="20">
        <f t="shared" ca="1" si="6"/>
        <v>1.5221311333380547</v>
      </c>
      <c r="D161" s="19">
        <f t="shared" ca="1" si="5"/>
        <v>0.47786886666194528</v>
      </c>
      <c r="E161" s="20">
        <f t="shared" ca="1" si="7"/>
        <v>1.4778688666619453</v>
      </c>
    </row>
    <row r="162" spans="1:5" x14ac:dyDescent="0.15">
      <c r="A162" s="15">
        <v>126</v>
      </c>
      <c r="B162" s="19">
        <f t="shared" ca="1" si="4"/>
        <v>0.2343530314078851</v>
      </c>
      <c r="C162" s="20">
        <f t="shared" ca="1" si="6"/>
        <v>0.2343530314078851</v>
      </c>
      <c r="D162" s="19">
        <f t="shared" ca="1" si="5"/>
        <v>0.7656469685921149</v>
      </c>
      <c r="E162" s="20">
        <f t="shared" ca="1" si="7"/>
        <v>1.7656469685921148</v>
      </c>
    </row>
    <row r="163" spans="1:5" x14ac:dyDescent="0.15">
      <c r="A163" s="15">
        <v>127</v>
      </c>
      <c r="B163" s="19">
        <f t="shared" ca="1" si="4"/>
        <v>0.71466316010670927</v>
      </c>
      <c r="C163" s="20">
        <f t="shared" ca="1" si="6"/>
        <v>1.7146631601067093</v>
      </c>
      <c r="D163" s="19">
        <f t="shared" ca="1" si="5"/>
        <v>0.28533683989329073</v>
      </c>
      <c r="E163" s="20">
        <f t="shared" ca="1" si="7"/>
        <v>0.28533683989329073</v>
      </c>
    </row>
    <row r="164" spans="1:5" x14ac:dyDescent="0.15">
      <c r="A164" s="15">
        <v>128</v>
      </c>
      <c r="B164" s="19">
        <f t="shared" ca="1" si="4"/>
        <v>0.35832935540076616</v>
      </c>
      <c r="C164" s="20">
        <f t="shared" ca="1" si="6"/>
        <v>0.35832935540076616</v>
      </c>
      <c r="D164" s="19">
        <f t="shared" ca="1" si="5"/>
        <v>0.64167064459923384</v>
      </c>
      <c r="E164" s="20">
        <f t="shared" ca="1" si="7"/>
        <v>1.641670644599234</v>
      </c>
    </row>
    <row r="165" spans="1:5" x14ac:dyDescent="0.15">
      <c r="A165" s="15">
        <v>129</v>
      </c>
      <c r="B165" s="19">
        <f t="shared" ref="B165:B228" ca="1" si="8">RAND()</f>
        <v>0.92630049418678484</v>
      </c>
      <c r="C165" s="20">
        <f t="shared" ca="1" si="6"/>
        <v>1.9263004941867847</v>
      </c>
      <c r="D165" s="19">
        <f t="shared" ref="D165:D228" ca="1" si="9">1-B165</f>
        <v>7.369950581321516E-2</v>
      </c>
      <c r="E165" s="20">
        <f t="shared" ca="1" si="7"/>
        <v>7.369950581321516E-2</v>
      </c>
    </row>
    <row r="166" spans="1:5" x14ac:dyDescent="0.15">
      <c r="A166" s="15">
        <v>130</v>
      </c>
      <c r="B166" s="19">
        <f t="shared" ca="1" si="8"/>
        <v>0.33750326980246337</v>
      </c>
      <c r="C166" s="20">
        <f t="shared" ref="C166:C229" ca="1" si="10">IF(B166&lt;0.4,B166,1+B166)</f>
        <v>0.33750326980246337</v>
      </c>
      <c r="D166" s="19">
        <f t="shared" ca="1" si="9"/>
        <v>0.66249673019753663</v>
      </c>
      <c r="E166" s="20">
        <f t="shared" ref="E166:E229" ca="1" si="11">IF(D166&lt;0.4,D166,1+D166)</f>
        <v>1.6624967301975366</v>
      </c>
    </row>
    <row r="167" spans="1:5" x14ac:dyDescent="0.15">
      <c r="A167" s="15">
        <v>131</v>
      </c>
      <c r="B167" s="19">
        <f t="shared" ca="1" si="8"/>
        <v>0.28382336434076683</v>
      </c>
      <c r="C167" s="20">
        <f t="shared" ca="1" si="10"/>
        <v>0.28382336434076683</v>
      </c>
      <c r="D167" s="19">
        <f t="shared" ca="1" si="9"/>
        <v>0.71617663565923317</v>
      </c>
      <c r="E167" s="20">
        <f t="shared" ca="1" si="11"/>
        <v>1.7161766356592332</v>
      </c>
    </row>
    <row r="168" spans="1:5" x14ac:dyDescent="0.15">
      <c r="A168" s="15">
        <v>132</v>
      </c>
      <c r="B168" s="19">
        <f t="shared" ca="1" si="8"/>
        <v>0.28031057521536096</v>
      </c>
      <c r="C168" s="20">
        <f t="shared" ca="1" si="10"/>
        <v>0.28031057521536096</v>
      </c>
      <c r="D168" s="19">
        <f t="shared" ca="1" si="9"/>
        <v>0.71968942478463904</v>
      </c>
      <c r="E168" s="20">
        <f t="shared" ca="1" si="11"/>
        <v>1.719689424784639</v>
      </c>
    </row>
    <row r="169" spans="1:5" x14ac:dyDescent="0.15">
      <c r="A169" s="15">
        <v>133</v>
      </c>
      <c r="B169" s="19">
        <f t="shared" ca="1" si="8"/>
        <v>0.40061500142418205</v>
      </c>
      <c r="C169" s="20">
        <f t="shared" ca="1" si="10"/>
        <v>1.400615001424182</v>
      </c>
      <c r="D169" s="19">
        <f t="shared" ca="1" si="9"/>
        <v>0.59938499857581795</v>
      </c>
      <c r="E169" s="20">
        <f t="shared" ca="1" si="11"/>
        <v>1.599384998575818</v>
      </c>
    </row>
    <row r="170" spans="1:5" x14ac:dyDescent="0.15">
      <c r="A170" s="15">
        <v>134</v>
      </c>
      <c r="B170" s="19">
        <f t="shared" ca="1" si="8"/>
        <v>0.97669150399168747</v>
      </c>
      <c r="C170" s="20">
        <f t="shared" ca="1" si="10"/>
        <v>1.9766915039916875</v>
      </c>
      <c r="D170" s="19">
        <f t="shared" ca="1" si="9"/>
        <v>2.3308496008312529E-2</v>
      </c>
      <c r="E170" s="20">
        <f t="shared" ca="1" si="11"/>
        <v>2.3308496008312529E-2</v>
      </c>
    </row>
    <row r="171" spans="1:5" x14ac:dyDescent="0.15">
      <c r="A171" s="15">
        <v>135</v>
      </c>
      <c r="B171" s="19">
        <f t="shared" ca="1" si="8"/>
        <v>0.91311369999826952</v>
      </c>
      <c r="C171" s="20">
        <f t="shared" ca="1" si="10"/>
        <v>1.9131136999982696</v>
      </c>
      <c r="D171" s="19">
        <f t="shared" ca="1" si="9"/>
        <v>8.6886300001730477E-2</v>
      </c>
      <c r="E171" s="20">
        <f t="shared" ca="1" si="11"/>
        <v>8.6886300001730477E-2</v>
      </c>
    </row>
    <row r="172" spans="1:5" x14ac:dyDescent="0.15">
      <c r="A172" s="15">
        <v>136</v>
      </c>
      <c r="B172" s="19">
        <f t="shared" ca="1" si="8"/>
        <v>0.89081020710882131</v>
      </c>
      <c r="C172" s="20">
        <f t="shared" ca="1" si="10"/>
        <v>1.8908102071088213</v>
      </c>
      <c r="D172" s="19">
        <f t="shared" ca="1" si="9"/>
        <v>0.10918979289117869</v>
      </c>
      <c r="E172" s="20">
        <f t="shared" ca="1" si="11"/>
        <v>0.10918979289117869</v>
      </c>
    </row>
    <row r="173" spans="1:5" x14ac:dyDescent="0.15">
      <c r="A173" s="15">
        <v>137</v>
      </c>
      <c r="B173" s="19">
        <f t="shared" ca="1" si="8"/>
        <v>0.92448358492600735</v>
      </c>
      <c r="C173" s="20">
        <f t="shared" ca="1" si="10"/>
        <v>1.9244835849260074</v>
      </c>
      <c r="D173" s="19">
        <f t="shared" ca="1" si="9"/>
        <v>7.5516415073992649E-2</v>
      </c>
      <c r="E173" s="20">
        <f t="shared" ca="1" si="11"/>
        <v>7.5516415073992649E-2</v>
      </c>
    </row>
    <row r="174" spans="1:5" x14ac:dyDescent="0.15">
      <c r="A174" s="15">
        <v>138</v>
      </c>
      <c r="B174" s="19">
        <f t="shared" ca="1" si="8"/>
        <v>0.61807417989064839</v>
      </c>
      <c r="C174" s="20">
        <f t="shared" ca="1" si="10"/>
        <v>1.6180741798906484</v>
      </c>
      <c r="D174" s="19">
        <f t="shared" ca="1" si="9"/>
        <v>0.38192582010935161</v>
      </c>
      <c r="E174" s="20">
        <f t="shared" ca="1" si="11"/>
        <v>0.38192582010935161</v>
      </c>
    </row>
    <row r="175" spans="1:5" x14ac:dyDescent="0.15">
      <c r="A175" s="15">
        <v>139</v>
      </c>
      <c r="B175" s="19">
        <f t="shared" ca="1" si="8"/>
        <v>9.7835826775724888E-2</v>
      </c>
      <c r="C175" s="20">
        <f t="shared" ca="1" si="10"/>
        <v>9.7835826775724888E-2</v>
      </c>
      <c r="D175" s="19">
        <f t="shared" ca="1" si="9"/>
        <v>0.90216417322427511</v>
      </c>
      <c r="E175" s="20">
        <f t="shared" ca="1" si="11"/>
        <v>1.9021641732242751</v>
      </c>
    </row>
    <row r="176" spans="1:5" x14ac:dyDescent="0.15">
      <c r="A176" s="15">
        <v>140</v>
      </c>
      <c r="B176" s="19">
        <f t="shared" ca="1" si="8"/>
        <v>0.59420795199589205</v>
      </c>
      <c r="C176" s="20">
        <f t="shared" ca="1" si="10"/>
        <v>1.594207951995892</v>
      </c>
      <c r="D176" s="19">
        <f t="shared" ca="1" si="9"/>
        <v>0.40579204800410795</v>
      </c>
      <c r="E176" s="20">
        <f t="shared" ca="1" si="11"/>
        <v>1.405792048004108</v>
      </c>
    </row>
    <row r="177" spans="1:5" x14ac:dyDescent="0.15">
      <c r="A177" s="15">
        <v>141</v>
      </c>
      <c r="B177" s="19">
        <f t="shared" ca="1" si="8"/>
        <v>0.53711395215981361</v>
      </c>
      <c r="C177" s="20">
        <f t="shared" ca="1" si="10"/>
        <v>1.5371139521598136</v>
      </c>
      <c r="D177" s="19">
        <f t="shared" ca="1" si="9"/>
        <v>0.46288604784018639</v>
      </c>
      <c r="E177" s="20">
        <f t="shared" ca="1" si="11"/>
        <v>1.4628860478401864</v>
      </c>
    </row>
    <row r="178" spans="1:5" x14ac:dyDescent="0.15">
      <c r="A178" s="15">
        <v>142</v>
      </c>
      <c r="B178" s="19">
        <f t="shared" ca="1" si="8"/>
        <v>0.52195099676671197</v>
      </c>
      <c r="C178" s="20">
        <f t="shared" ca="1" si="10"/>
        <v>1.521950996766712</v>
      </c>
      <c r="D178" s="19">
        <f t="shared" ca="1" si="9"/>
        <v>0.47804900323328803</v>
      </c>
      <c r="E178" s="20">
        <f t="shared" ca="1" si="11"/>
        <v>1.478049003233288</v>
      </c>
    </row>
    <row r="179" spans="1:5" x14ac:dyDescent="0.15">
      <c r="A179" s="15">
        <v>143</v>
      </c>
      <c r="B179" s="19">
        <f t="shared" ca="1" si="8"/>
        <v>0.31901395705697189</v>
      </c>
      <c r="C179" s="20">
        <f t="shared" ca="1" si="10"/>
        <v>0.31901395705697189</v>
      </c>
      <c r="D179" s="19">
        <f t="shared" ca="1" si="9"/>
        <v>0.68098604294302811</v>
      </c>
      <c r="E179" s="20">
        <f t="shared" ca="1" si="11"/>
        <v>1.6809860429430281</v>
      </c>
    </row>
    <row r="180" spans="1:5" x14ac:dyDescent="0.15">
      <c r="A180" s="15">
        <v>144</v>
      </c>
      <c r="B180" s="19">
        <f t="shared" ca="1" si="8"/>
        <v>0.49350240511474797</v>
      </c>
      <c r="C180" s="20">
        <f t="shared" ca="1" si="10"/>
        <v>1.4935024051147479</v>
      </c>
      <c r="D180" s="19">
        <f t="shared" ca="1" si="9"/>
        <v>0.50649759488525203</v>
      </c>
      <c r="E180" s="20">
        <f t="shared" ca="1" si="11"/>
        <v>1.5064975948852521</v>
      </c>
    </row>
    <row r="181" spans="1:5" x14ac:dyDescent="0.15">
      <c r="A181" s="15">
        <v>145</v>
      </c>
      <c r="B181" s="19">
        <f t="shared" ca="1" si="8"/>
        <v>0.95342234477072019</v>
      </c>
      <c r="C181" s="20">
        <f t="shared" ca="1" si="10"/>
        <v>1.9534223447707202</v>
      </c>
      <c r="D181" s="19">
        <f t="shared" ca="1" si="9"/>
        <v>4.6577655229279813E-2</v>
      </c>
      <c r="E181" s="20">
        <f t="shared" ca="1" si="11"/>
        <v>4.6577655229279813E-2</v>
      </c>
    </row>
    <row r="182" spans="1:5" x14ac:dyDescent="0.15">
      <c r="A182" s="15">
        <v>146</v>
      </c>
      <c r="B182" s="19">
        <f t="shared" ca="1" si="8"/>
        <v>2.732885739240587E-2</v>
      </c>
      <c r="C182" s="20">
        <f t="shared" ca="1" si="10"/>
        <v>2.732885739240587E-2</v>
      </c>
      <c r="D182" s="19">
        <f t="shared" ca="1" si="9"/>
        <v>0.97267114260759413</v>
      </c>
      <c r="E182" s="20">
        <f t="shared" ca="1" si="11"/>
        <v>1.9726711426075942</v>
      </c>
    </row>
    <row r="183" spans="1:5" x14ac:dyDescent="0.15">
      <c r="A183" s="15">
        <v>147</v>
      </c>
      <c r="B183" s="19">
        <f t="shared" ca="1" si="8"/>
        <v>0.27882595098837759</v>
      </c>
      <c r="C183" s="20">
        <f t="shared" ca="1" si="10"/>
        <v>0.27882595098837759</v>
      </c>
      <c r="D183" s="19">
        <f t="shared" ca="1" si="9"/>
        <v>0.72117404901162241</v>
      </c>
      <c r="E183" s="20">
        <f t="shared" ca="1" si="11"/>
        <v>1.7211740490116223</v>
      </c>
    </row>
    <row r="184" spans="1:5" x14ac:dyDescent="0.15">
      <c r="A184" s="15">
        <v>148</v>
      </c>
      <c r="B184" s="19">
        <f t="shared" ca="1" si="8"/>
        <v>1.1893502381407073E-3</v>
      </c>
      <c r="C184" s="20">
        <f t="shared" ca="1" si="10"/>
        <v>1.1893502381407073E-3</v>
      </c>
      <c r="D184" s="19">
        <f t="shared" ca="1" si="9"/>
        <v>0.99881064976185929</v>
      </c>
      <c r="E184" s="20">
        <f t="shared" ca="1" si="11"/>
        <v>1.9988106497618592</v>
      </c>
    </row>
    <row r="185" spans="1:5" x14ac:dyDescent="0.15">
      <c r="A185" s="15">
        <v>149</v>
      </c>
      <c r="B185" s="19">
        <f t="shared" ca="1" si="8"/>
        <v>0.73100771381555463</v>
      </c>
      <c r="C185" s="20">
        <f t="shared" ca="1" si="10"/>
        <v>1.7310077138155546</v>
      </c>
      <c r="D185" s="19">
        <f t="shared" ca="1" si="9"/>
        <v>0.26899228618444537</v>
      </c>
      <c r="E185" s="20">
        <f t="shared" ca="1" si="11"/>
        <v>0.26899228618444537</v>
      </c>
    </row>
    <row r="186" spans="1:5" x14ac:dyDescent="0.15">
      <c r="A186" s="15">
        <v>150</v>
      </c>
      <c r="B186" s="19">
        <f t="shared" ca="1" si="8"/>
        <v>0.35387701968605234</v>
      </c>
      <c r="C186" s="20">
        <f t="shared" ca="1" si="10"/>
        <v>0.35387701968605234</v>
      </c>
      <c r="D186" s="19">
        <f t="shared" ca="1" si="9"/>
        <v>0.64612298031394766</v>
      </c>
      <c r="E186" s="20">
        <f t="shared" ca="1" si="11"/>
        <v>1.6461229803139477</v>
      </c>
    </row>
    <row r="187" spans="1:5" x14ac:dyDescent="0.15">
      <c r="A187" s="15">
        <v>151</v>
      </c>
      <c r="B187" s="19">
        <f t="shared" ca="1" si="8"/>
        <v>0.60088056916039245</v>
      </c>
      <c r="C187" s="20">
        <f t="shared" ca="1" si="10"/>
        <v>1.6008805691603925</v>
      </c>
      <c r="D187" s="19">
        <f t="shared" ca="1" si="9"/>
        <v>0.39911943083960755</v>
      </c>
      <c r="E187" s="20">
        <f t="shared" ca="1" si="11"/>
        <v>0.39911943083960755</v>
      </c>
    </row>
    <row r="188" spans="1:5" x14ac:dyDescent="0.15">
      <c r="A188" s="15">
        <v>152</v>
      </c>
      <c r="B188" s="19">
        <f t="shared" ca="1" si="8"/>
        <v>0.10251963901452288</v>
      </c>
      <c r="C188" s="20">
        <f t="shared" ca="1" si="10"/>
        <v>0.10251963901452288</v>
      </c>
      <c r="D188" s="19">
        <f t="shared" ca="1" si="9"/>
        <v>0.89748036098547712</v>
      </c>
      <c r="E188" s="20">
        <f t="shared" ca="1" si="11"/>
        <v>1.8974803609854771</v>
      </c>
    </row>
    <row r="189" spans="1:5" x14ac:dyDescent="0.15">
      <c r="A189" s="15">
        <v>153</v>
      </c>
      <c r="B189" s="19">
        <f t="shared" ca="1" si="8"/>
        <v>0.34759831024221599</v>
      </c>
      <c r="C189" s="20">
        <f t="shared" ca="1" si="10"/>
        <v>0.34759831024221599</v>
      </c>
      <c r="D189" s="19">
        <f t="shared" ca="1" si="9"/>
        <v>0.65240168975778401</v>
      </c>
      <c r="E189" s="20">
        <f t="shared" ca="1" si="11"/>
        <v>1.652401689757784</v>
      </c>
    </row>
    <row r="190" spans="1:5" x14ac:dyDescent="0.15">
      <c r="A190" s="15">
        <v>154</v>
      </c>
      <c r="B190" s="19">
        <f t="shared" ca="1" si="8"/>
        <v>0.78059691180267843</v>
      </c>
      <c r="C190" s="20">
        <f t="shared" ca="1" si="10"/>
        <v>1.7805969118026783</v>
      </c>
      <c r="D190" s="19">
        <f t="shared" ca="1" si="9"/>
        <v>0.21940308819732157</v>
      </c>
      <c r="E190" s="20">
        <f t="shared" ca="1" si="11"/>
        <v>0.21940308819732157</v>
      </c>
    </row>
    <row r="191" spans="1:5" x14ac:dyDescent="0.15">
      <c r="A191" s="15">
        <v>155</v>
      </c>
      <c r="B191" s="19">
        <f t="shared" ca="1" si="8"/>
        <v>0.9181261489168655</v>
      </c>
      <c r="C191" s="20">
        <f t="shared" ca="1" si="10"/>
        <v>1.9181261489168655</v>
      </c>
      <c r="D191" s="19">
        <f t="shared" ca="1" si="9"/>
        <v>8.1873851083134497E-2</v>
      </c>
      <c r="E191" s="20">
        <f t="shared" ca="1" si="11"/>
        <v>8.1873851083134497E-2</v>
      </c>
    </row>
    <row r="192" spans="1:5" x14ac:dyDescent="0.15">
      <c r="A192" s="15">
        <v>156</v>
      </c>
      <c r="B192" s="19">
        <f t="shared" ca="1" si="8"/>
        <v>3.5967061807994916E-2</v>
      </c>
      <c r="C192" s="20">
        <f t="shared" ca="1" si="10"/>
        <v>3.5967061807994916E-2</v>
      </c>
      <c r="D192" s="19">
        <f t="shared" ca="1" si="9"/>
        <v>0.96403293819200508</v>
      </c>
      <c r="E192" s="20">
        <f t="shared" ca="1" si="11"/>
        <v>1.964032938192005</v>
      </c>
    </row>
    <row r="193" spans="1:5" x14ac:dyDescent="0.15">
      <c r="A193" s="15">
        <v>157</v>
      </c>
      <c r="B193" s="19">
        <f t="shared" ca="1" si="8"/>
        <v>0.49173705090740349</v>
      </c>
      <c r="C193" s="20">
        <f t="shared" ca="1" si="10"/>
        <v>1.4917370509074035</v>
      </c>
      <c r="D193" s="19">
        <f t="shared" ca="1" si="9"/>
        <v>0.50826294909259651</v>
      </c>
      <c r="E193" s="20">
        <f t="shared" ca="1" si="11"/>
        <v>1.5082629490925965</v>
      </c>
    </row>
    <row r="194" spans="1:5" x14ac:dyDescent="0.15">
      <c r="A194" s="15">
        <v>158</v>
      </c>
      <c r="B194" s="19">
        <f t="shared" ca="1" si="8"/>
        <v>0.58261702459691322</v>
      </c>
      <c r="C194" s="20">
        <f t="shared" ca="1" si="10"/>
        <v>1.5826170245969133</v>
      </c>
      <c r="D194" s="19">
        <f t="shared" ca="1" si="9"/>
        <v>0.41738297540308678</v>
      </c>
      <c r="E194" s="20">
        <f t="shared" ca="1" si="11"/>
        <v>1.4173829754030867</v>
      </c>
    </row>
    <row r="195" spans="1:5" x14ac:dyDescent="0.15">
      <c r="A195" s="15">
        <v>159</v>
      </c>
      <c r="B195" s="19">
        <f t="shared" ca="1" si="8"/>
        <v>0.71975729804529209</v>
      </c>
      <c r="C195" s="20">
        <f t="shared" ca="1" si="10"/>
        <v>1.719757298045292</v>
      </c>
      <c r="D195" s="19">
        <f t="shared" ca="1" si="9"/>
        <v>0.28024270195470791</v>
      </c>
      <c r="E195" s="20">
        <f t="shared" ca="1" si="11"/>
        <v>0.28024270195470791</v>
      </c>
    </row>
    <row r="196" spans="1:5" x14ac:dyDescent="0.15">
      <c r="A196" s="15">
        <v>160</v>
      </c>
      <c r="B196" s="19">
        <f t="shared" ca="1" si="8"/>
        <v>0.7330994617153509</v>
      </c>
      <c r="C196" s="20">
        <f t="shared" ca="1" si="10"/>
        <v>1.733099461715351</v>
      </c>
      <c r="D196" s="19">
        <f t="shared" ca="1" si="9"/>
        <v>0.2669005382846491</v>
      </c>
      <c r="E196" s="20">
        <f t="shared" ca="1" si="11"/>
        <v>0.2669005382846491</v>
      </c>
    </row>
    <row r="197" spans="1:5" x14ac:dyDescent="0.15">
      <c r="A197" s="15">
        <v>161</v>
      </c>
      <c r="B197" s="19">
        <f t="shared" ca="1" si="8"/>
        <v>0.86658789680810866</v>
      </c>
      <c r="C197" s="20">
        <f t="shared" ca="1" si="10"/>
        <v>1.8665878968081087</v>
      </c>
      <c r="D197" s="19">
        <f t="shared" ca="1" si="9"/>
        <v>0.13341210319189134</v>
      </c>
      <c r="E197" s="20">
        <f t="shared" ca="1" si="11"/>
        <v>0.13341210319189134</v>
      </c>
    </row>
    <row r="198" spans="1:5" x14ac:dyDescent="0.15">
      <c r="A198" s="15">
        <v>162</v>
      </c>
      <c r="B198" s="19">
        <f t="shared" ca="1" si="8"/>
        <v>4.499965557227803E-2</v>
      </c>
      <c r="C198" s="20">
        <f t="shared" ca="1" si="10"/>
        <v>4.499965557227803E-2</v>
      </c>
      <c r="D198" s="19">
        <f t="shared" ca="1" si="9"/>
        <v>0.95500034442772197</v>
      </c>
      <c r="E198" s="20">
        <f t="shared" ca="1" si="11"/>
        <v>1.955000344427722</v>
      </c>
    </row>
    <row r="199" spans="1:5" x14ac:dyDescent="0.15">
      <c r="A199" s="15">
        <v>163</v>
      </c>
      <c r="B199" s="19">
        <f t="shared" ca="1" si="8"/>
        <v>0.35580909183924947</v>
      </c>
      <c r="C199" s="20">
        <f t="shared" ca="1" si="10"/>
        <v>0.35580909183924947</v>
      </c>
      <c r="D199" s="19">
        <f t="shared" ca="1" si="9"/>
        <v>0.64419090816075053</v>
      </c>
      <c r="E199" s="20">
        <f t="shared" ca="1" si="11"/>
        <v>1.6441909081607506</v>
      </c>
    </row>
    <row r="200" spans="1:5" x14ac:dyDescent="0.15">
      <c r="A200" s="15">
        <v>164</v>
      </c>
      <c r="B200" s="19">
        <f t="shared" ca="1" si="8"/>
        <v>0.12871113749158791</v>
      </c>
      <c r="C200" s="20">
        <f t="shared" ca="1" si="10"/>
        <v>0.12871113749158791</v>
      </c>
      <c r="D200" s="19">
        <f t="shared" ca="1" si="9"/>
        <v>0.87128886250841209</v>
      </c>
      <c r="E200" s="20">
        <f t="shared" ca="1" si="11"/>
        <v>1.8712888625084121</v>
      </c>
    </row>
    <row r="201" spans="1:5" x14ac:dyDescent="0.15">
      <c r="A201" s="15">
        <v>165</v>
      </c>
      <c r="B201" s="19">
        <f t="shared" ca="1" si="8"/>
        <v>0.92398417204943961</v>
      </c>
      <c r="C201" s="20">
        <f t="shared" ca="1" si="10"/>
        <v>1.9239841720494395</v>
      </c>
      <c r="D201" s="19">
        <f t="shared" ca="1" si="9"/>
        <v>7.6015827950560388E-2</v>
      </c>
      <c r="E201" s="20">
        <f t="shared" ca="1" si="11"/>
        <v>7.6015827950560388E-2</v>
      </c>
    </row>
    <row r="202" spans="1:5" x14ac:dyDescent="0.15">
      <c r="A202" s="15">
        <v>166</v>
      </c>
      <c r="B202" s="19">
        <f t="shared" ca="1" si="8"/>
        <v>0.99477621515067149</v>
      </c>
      <c r="C202" s="20">
        <f t="shared" ca="1" si="10"/>
        <v>1.9947762151506714</v>
      </c>
      <c r="D202" s="19">
        <f t="shared" ca="1" si="9"/>
        <v>5.2237848493285055E-3</v>
      </c>
      <c r="E202" s="20">
        <f t="shared" ca="1" si="11"/>
        <v>5.2237848493285055E-3</v>
      </c>
    </row>
    <row r="203" spans="1:5" x14ac:dyDescent="0.15">
      <c r="A203" s="15">
        <v>167</v>
      </c>
      <c r="B203" s="19">
        <f t="shared" ca="1" si="8"/>
        <v>0.48743954062917505</v>
      </c>
      <c r="C203" s="20">
        <f t="shared" ca="1" si="10"/>
        <v>1.4874395406291749</v>
      </c>
      <c r="D203" s="19">
        <f t="shared" ca="1" si="9"/>
        <v>0.51256045937082495</v>
      </c>
      <c r="E203" s="20">
        <f t="shared" ca="1" si="11"/>
        <v>1.5125604593708251</v>
      </c>
    </row>
    <row r="204" spans="1:5" x14ac:dyDescent="0.15">
      <c r="A204" s="15">
        <v>168</v>
      </c>
      <c r="B204" s="19">
        <f t="shared" ca="1" si="8"/>
        <v>8.9533422521087758E-2</v>
      </c>
      <c r="C204" s="20">
        <f t="shared" ca="1" si="10"/>
        <v>8.9533422521087758E-2</v>
      </c>
      <c r="D204" s="19">
        <f t="shared" ca="1" si="9"/>
        <v>0.91046657747891224</v>
      </c>
      <c r="E204" s="20">
        <f t="shared" ca="1" si="11"/>
        <v>1.9104665774789122</v>
      </c>
    </row>
    <row r="205" spans="1:5" x14ac:dyDescent="0.15">
      <c r="A205" s="15">
        <v>169</v>
      </c>
      <c r="B205" s="19">
        <f t="shared" ca="1" si="8"/>
        <v>0.40131063973304337</v>
      </c>
      <c r="C205" s="20">
        <f t="shared" ca="1" si="10"/>
        <v>1.4013106397330435</v>
      </c>
      <c r="D205" s="19">
        <f t="shared" ca="1" si="9"/>
        <v>0.59868936026695663</v>
      </c>
      <c r="E205" s="20">
        <f t="shared" ca="1" si="11"/>
        <v>1.5986893602669565</v>
      </c>
    </row>
    <row r="206" spans="1:5" x14ac:dyDescent="0.15">
      <c r="A206" s="15">
        <v>170</v>
      </c>
      <c r="B206" s="19">
        <f t="shared" ca="1" si="8"/>
        <v>0.14685522761167502</v>
      </c>
      <c r="C206" s="20">
        <f t="shared" ca="1" si="10"/>
        <v>0.14685522761167502</v>
      </c>
      <c r="D206" s="19">
        <f t="shared" ca="1" si="9"/>
        <v>0.85314477238832498</v>
      </c>
      <c r="E206" s="20">
        <f t="shared" ca="1" si="11"/>
        <v>1.853144772388325</v>
      </c>
    </row>
    <row r="207" spans="1:5" x14ac:dyDescent="0.15">
      <c r="A207" s="15">
        <v>171</v>
      </c>
      <c r="B207" s="19">
        <f t="shared" ca="1" si="8"/>
        <v>0.92515757605208171</v>
      </c>
      <c r="C207" s="20">
        <f t="shared" ca="1" si="10"/>
        <v>1.9251575760520816</v>
      </c>
      <c r="D207" s="19">
        <f t="shared" ca="1" si="9"/>
        <v>7.4842423947918291E-2</v>
      </c>
      <c r="E207" s="20">
        <f t="shared" ca="1" si="11"/>
        <v>7.4842423947918291E-2</v>
      </c>
    </row>
    <row r="208" spans="1:5" x14ac:dyDescent="0.15">
      <c r="A208" s="15">
        <v>172</v>
      </c>
      <c r="B208" s="19">
        <f t="shared" ca="1" si="8"/>
        <v>0.4493019366854667</v>
      </c>
      <c r="C208" s="20">
        <f t="shared" ca="1" si="10"/>
        <v>1.4493019366854667</v>
      </c>
      <c r="D208" s="19">
        <f t="shared" ca="1" si="9"/>
        <v>0.5506980633145333</v>
      </c>
      <c r="E208" s="20">
        <f t="shared" ca="1" si="11"/>
        <v>1.5506980633145333</v>
      </c>
    </row>
    <row r="209" spans="1:5" x14ac:dyDescent="0.15">
      <c r="A209" s="15">
        <v>173</v>
      </c>
      <c r="B209" s="19">
        <f t="shared" ca="1" si="8"/>
        <v>6.4012525427369016E-2</v>
      </c>
      <c r="C209" s="20">
        <f t="shared" ca="1" si="10"/>
        <v>6.4012525427369016E-2</v>
      </c>
      <c r="D209" s="19">
        <f t="shared" ca="1" si="9"/>
        <v>0.93598747457263098</v>
      </c>
      <c r="E209" s="20">
        <f t="shared" ca="1" si="11"/>
        <v>1.9359874745726309</v>
      </c>
    </row>
    <row r="210" spans="1:5" x14ac:dyDescent="0.15">
      <c r="A210" s="15">
        <v>174</v>
      </c>
      <c r="B210" s="19">
        <f t="shared" ca="1" si="8"/>
        <v>0.40777069622654927</v>
      </c>
      <c r="C210" s="20">
        <f t="shared" ca="1" si="10"/>
        <v>1.4077706962265493</v>
      </c>
      <c r="D210" s="19">
        <f t="shared" ca="1" si="9"/>
        <v>0.59222930377345073</v>
      </c>
      <c r="E210" s="20">
        <f t="shared" ca="1" si="11"/>
        <v>1.5922293037734507</v>
      </c>
    </row>
    <row r="211" spans="1:5" x14ac:dyDescent="0.15">
      <c r="A211" s="15">
        <v>175</v>
      </c>
      <c r="B211" s="19">
        <f t="shared" ca="1" si="8"/>
        <v>0.65423625516831296</v>
      </c>
      <c r="C211" s="20">
        <f t="shared" ca="1" si="10"/>
        <v>1.654236255168313</v>
      </c>
      <c r="D211" s="19">
        <f t="shared" ca="1" si="9"/>
        <v>0.34576374483168704</v>
      </c>
      <c r="E211" s="20">
        <f t="shared" ca="1" si="11"/>
        <v>0.34576374483168704</v>
      </c>
    </row>
    <row r="212" spans="1:5" x14ac:dyDescent="0.15">
      <c r="A212" s="15">
        <v>176</v>
      </c>
      <c r="B212" s="19">
        <f t="shared" ca="1" si="8"/>
        <v>0.12011517980744435</v>
      </c>
      <c r="C212" s="20">
        <f t="shared" ca="1" si="10"/>
        <v>0.12011517980744435</v>
      </c>
      <c r="D212" s="19">
        <f t="shared" ca="1" si="9"/>
        <v>0.87988482019255565</v>
      </c>
      <c r="E212" s="20">
        <f t="shared" ca="1" si="11"/>
        <v>1.8798848201925558</v>
      </c>
    </row>
    <row r="213" spans="1:5" x14ac:dyDescent="0.15">
      <c r="A213" s="15">
        <v>177</v>
      </c>
      <c r="B213" s="19">
        <f t="shared" ca="1" si="8"/>
        <v>0.51068667587454575</v>
      </c>
      <c r="C213" s="20">
        <f t="shared" ca="1" si="10"/>
        <v>1.5106866758745459</v>
      </c>
      <c r="D213" s="19">
        <f t="shared" ca="1" si="9"/>
        <v>0.48931332412545425</v>
      </c>
      <c r="E213" s="20">
        <f t="shared" ca="1" si="11"/>
        <v>1.4893133241254541</v>
      </c>
    </row>
    <row r="214" spans="1:5" x14ac:dyDescent="0.15">
      <c r="A214" s="15">
        <v>178</v>
      </c>
      <c r="B214" s="19">
        <f t="shared" ca="1" si="8"/>
        <v>0.38796827743244544</v>
      </c>
      <c r="C214" s="20">
        <f t="shared" ca="1" si="10"/>
        <v>0.38796827743244544</v>
      </c>
      <c r="D214" s="19">
        <f t="shared" ca="1" si="9"/>
        <v>0.61203172256755456</v>
      </c>
      <c r="E214" s="20">
        <f t="shared" ca="1" si="11"/>
        <v>1.6120317225675547</v>
      </c>
    </row>
    <row r="215" spans="1:5" x14ac:dyDescent="0.15">
      <c r="A215" s="15">
        <v>179</v>
      </c>
      <c r="B215" s="19">
        <f t="shared" ca="1" si="8"/>
        <v>0.32583202103092679</v>
      </c>
      <c r="C215" s="20">
        <f t="shared" ca="1" si="10"/>
        <v>0.32583202103092679</v>
      </c>
      <c r="D215" s="19">
        <f t="shared" ca="1" si="9"/>
        <v>0.67416797896907321</v>
      </c>
      <c r="E215" s="20">
        <f t="shared" ca="1" si="11"/>
        <v>1.6741679789690731</v>
      </c>
    </row>
    <row r="216" spans="1:5" x14ac:dyDescent="0.15">
      <c r="A216" s="15">
        <v>180</v>
      </c>
      <c r="B216" s="19">
        <f t="shared" ca="1" si="8"/>
        <v>0.58015968040350374</v>
      </c>
      <c r="C216" s="20">
        <f t="shared" ca="1" si="10"/>
        <v>1.5801596804035039</v>
      </c>
      <c r="D216" s="19">
        <f t="shared" ca="1" si="9"/>
        <v>0.41984031959649626</v>
      </c>
      <c r="E216" s="20">
        <f t="shared" ca="1" si="11"/>
        <v>1.4198403195964961</v>
      </c>
    </row>
    <row r="217" spans="1:5" x14ac:dyDescent="0.15">
      <c r="A217" s="15">
        <v>181</v>
      </c>
      <c r="B217" s="19">
        <f t="shared" ca="1" si="8"/>
        <v>0.34058054202963273</v>
      </c>
      <c r="C217" s="20">
        <f t="shared" ca="1" si="10"/>
        <v>0.34058054202963273</v>
      </c>
      <c r="D217" s="19">
        <f t="shared" ca="1" si="9"/>
        <v>0.65941945797036727</v>
      </c>
      <c r="E217" s="20">
        <f t="shared" ca="1" si="11"/>
        <v>1.6594194579703672</v>
      </c>
    </row>
    <row r="218" spans="1:5" x14ac:dyDescent="0.15">
      <c r="A218" s="15">
        <v>182</v>
      </c>
      <c r="B218" s="19">
        <f t="shared" ca="1" si="8"/>
        <v>0.68615250783325055</v>
      </c>
      <c r="C218" s="20">
        <f t="shared" ca="1" si="10"/>
        <v>1.6861525078332504</v>
      </c>
      <c r="D218" s="19">
        <f t="shared" ca="1" si="9"/>
        <v>0.31384749216674945</v>
      </c>
      <c r="E218" s="20">
        <f t="shared" ca="1" si="11"/>
        <v>0.31384749216674945</v>
      </c>
    </row>
    <row r="219" spans="1:5" x14ac:dyDescent="0.15">
      <c r="A219" s="15">
        <v>183</v>
      </c>
      <c r="B219" s="19">
        <f t="shared" ca="1" si="8"/>
        <v>0.61967454468709393</v>
      </c>
      <c r="C219" s="20">
        <f t="shared" ca="1" si="10"/>
        <v>1.6196745446870939</v>
      </c>
      <c r="D219" s="19">
        <f t="shared" ca="1" si="9"/>
        <v>0.38032545531290607</v>
      </c>
      <c r="E219" s="20">
        <f t="shared" ca="1" si="11"/>
        <v>0.38032545531290607</v>
      </c>
    </row>
    <row r="220" spans="1:5" x14ac:dyDescent="0.15">
      <c r="A220" s="15">
        <v>184</v>
      </c>
      <c r="B220" s="19">
        <f t="shared" ca="1" si="8"/>
        <v>0.42755499201799296</v>
      </c>
      <c r="C220" s="20">
        <f t="shared" ca="1" si="10"/>
        <v>1.4275549920179929</v>
      </c>
      <c r="D220" s="19">
        <f t="shared" ca="1" si="9"/>
        <v>0.57244500798200704</v>
      </c>
      <c r="E220" s="20">
        <f t="shared" ca="1" si="11"/>
        <v>1.5724450079820071</v>
      </c>
    </row>
    <row r="221" spans="1:5" x14ac:dyDescent="0.15">
      <c r="A221" s="15">
        <v>185</v>
      </c>
      <c r="B221" s="19">
        <f t="shared" ca="1" si="8"/>
        <v>0.89033703752660165</v>
      </c>
      <c r="C221" s="20">
        <f t="shared" ca="1" si="10"/>
        <v>1.8903370375266015</v>
      </c>
      <c r="D221" s="19">
        <f t="shared" ca="1" si="9"/>
        <v>0.10966296247339835</v>
      </c>
      <c r="E221" s="20">
        <f t="shared" ca="1" si="11"/>
        <v>0.10966296247339835</v>
      </c>
    </row>
    <row r="222" spans="1:5" x14ac:dyDescent="0.15">
      <c r="A222" s="15">
        <v>186</v>
      </c>
      <c r="B222" s="19">
        <f t="shared" ca="1" si="8"/>
        <v>0.51383669624542472</v>
      </c>
      <c r="C222" s="20">
        <f t="shared" ca="1" si="10"/>
        <v>1.5138366962454248</v>
      </c>
      <c r="D222" s="19">
        <f t="shared" ca="1" si="9"/>
        <v>0.48616330375457528</v>
      </c>
      <c r="E222" s="20">
        <f t="shared" ca="1" si="11"/>
        <v>1.4861633037545752</v>
      </c>
    </row>
    <row r="223" spans="1:5" x14ac:dyDescent="0.15">
      <c r="A223" s="15">
        <v>187</v>
      </c>
      <c r="B223" s="19">
        <f t="shared" ca="1" si="8"/>
        <v>0.50220527251374147</v>
      </c>
      <c r="C223" s="20">
        <f t="shared" ca="1" si="10"/>
        <v>1.5022052725137414</v>
      </c>
      <c r="D223" s="19">
        <f t="shared" ca="1" si="9"/>
        <v>0.49779472748625853</v>
      </c>
      <c r="E223" s="20">
        <f t="shared" ca="1" si="11"/>
        <v>1.4977947274862586</v>
      </c>
    </row>
    <row r="224" spans="1:5" x14ac:dyDescent="0.15">
      <c r="A224" s="15">
        <v>188</v>
      </c>
      <c r="B224" s="19">
        <f t="shared" ca="1" si="8"/>
        <v>0.68211829353443965</v>
      </c>
      <c r="C224" s="20">
        <f t="shared" ca="1" si="10"/>
        <v>1.6821182935344396</v>
      </c>
      <c r="D224" s="19">
        <f t="shared" ca="1" si="9"/>
        <v>0.31788170646556035</v>
      </c>
      <c r="E224" s="20">
        <f t="shared" ca="1" si="11"/>
        <v>0.31788170646556035</v>
      </c>
    </row>
    <row r="225" spans="1:5" x14ac:dyDescent="0.15">
      <c r="A225" s="15">
        <v>189</v>
      </c>
      <c r="B225" s="19">
        <f t="shared" ca="1" si="8"/>
        <v>0.89092133165407439</v>
      </c>
      <c r="C225" s="20">
        <f t="shared" ca="1" si="10"/>
        <v>1.8909213316540745</v>
      </c>
      <c r="D225" s="19">
        <f t="shared" ca="1" si="9"/>
        <v>0.10907866834592561</v>
      </c>
      <c r="E225" s="20">
        <f t="shared" ca="1" si="11"/>
        <v>0.10907866834592561</v>
      </c>
    </row>
    <row r="226" spans="1:5" x14ac:dyDescent="0.15">
      <c r="A226" s="15">
        <v>190</v>
      </c>
      <c r="B226" s="19">
        <f t="shared" ca="1" si="8"/>
        <v>0.39576802642357967</v>
      </c>
      <c r="C226" s="20">
        <f t="shared" ca="1" si="10"/>
        <v>0.39576802642357967</v>
      </c>
      <c r="D226" s="19">
        <f t="shared" ca="1" si="9"/>
        <v>0.60423197357642033</v>
      </c>
      <c r="E226" s="20">
        <f t="shared" ca="1" si="11"/>
        <v>1.6042319735764203</v>
      </c>
    </row>
    <row r="227" spans="1:5" x14ac:dyDescent="0.15">
      <c r="A227" s="15">
        <v>191</v>
      </c>
      <c r="B227" s="19">
        <f t="shared" ca="1" si="8"/>
        <v>0.86162878071067284</v>
      </c>
      <c r="C227" s="20">
        <f t="shared" ca="1" si="10"/>
        <v>1.8616287807106728</v>
      </c>
      <c r="D227" s="19">
        <f t="shared" ca="1" si="9"/>
        <v>0.13837121928932716</v>
      </c>
      <c r="E227" s="20">
        <f t="shared" ca="1" si="11"/>
        <v>0.13837121928932716</v>
      </c>
    </row>
    <row r="228" spans="1:5" x14ac:dyDescent="0.15">
      <c r="A228" s="15">
        <v>192</v>
      </c>
      <c r="B228" s="19">
        <f t="shared" ca="1" si="8"/>
        <v>0.1998517592778446</v>
      </c>
      <c r="C228" s="20">
        <f t="shared" ca="1" si="10"/>
        <v>0.1998517592778446</v>
      </c>
      <c r="D228" s="19">
        <f t="shared" ca="1" si="9"/>
        <v>0.8001482407221554</v>
      </c>
      <c r="E228" s="20">
        <f t="shared" ca="1" si="11"/>
        <v>1.8001482407221554</v>
      </c>
    </row>
    <row r="229" spans="1:5" x14ac:dyDescent="0.15">
      <c r="A229" s="15">
        <v>193</v>
      </c>
      <c r="B229" s="19">
        <f t="shared" ref="B229:B292" ca="1" si="12">RAND()</f>
        <v>0.28556066170429828</v>
      </c>
      <c r="C229" s="20">
        <f t="shared" ca="1" si="10"/>
        <v>0.28556066170429828</v>
      </c>
      <c r="D229" s="19">
        <f t="shared" ref="D229:D292" ca="1" si="13">1-B229</f>
        <v>0.71443933829570172</v>
      </c>
      <c r="E229" s="20">
        <f t="shared" ca="1" si="11"/>
        <v>1.7144393382957017</v>
      </c>
    </row>
    <row r="230" spans="1:5" x14ac:dyDescent="0.15">
      <c r="A230" s="15">
        <v>194</v>
      </c>
      <c r="B230" s="19">
        <f t="shared" ca="1" si="12"/>
        <v>0.62403181095505078</v>
      </c>
      <c r="C230" s="20">
        <f t="shared" ref="C230:C293" ca="1" si="14">IF(B230&lt;0.4,B230,1+B230)</f>
        <v>1.6240318109550507</v>
      </c>
      <c r="D230" s="19">
        <f t="shared" ca="1" si="13"/>
        <v>0.37596818904494922</v>
      </c>
      <c r="E230" s="20">
        <f t="shared" ref="E230:E293" ca="1" si="15">IF(D230&lt;0.4,D230,1+D230)</f>
        <v>0.37596818904494922</v>
      </c>
    </row>
    <row r="231" spans="1:5" x14ac:dyDescent="0.15">
      <c r="A231" s="15">
        <v>195</v>
      </c>
      <c r="B231" s="19">
        <f t="shared" ca="1" si="12"/>
        <v>0.41739979384610071</v>
      </c>
      <c r="C231" s="20">
        <f t="shared" ca="1" si="14"/>
        <v>1.4173997938461007</v>
      </c>
      <c r="D231" s="19">
        <f t="shared" ca="1" si="13"/>
        <v>0.58260020615389929</v>
      </c>
      <c r="E231" s="20">
        <f t="shared" ca="1" si="15"/>
        <v>1.5826002061538993</v>
      </c>
    </row>
    <row r="232" spans="1:5" x14ac:dyDescent="0.15">
      <c r="A232" s="15">
        <v>196</v>
      </c>
      <c r="B232" s="19">
        <f t="shared" ca="1" si="12"/>
        <v>3.2720531121585572E-2</v>
      </c>
      <c r="C232" s="20">
        <f t="shared" ca="1" si="14"/>
        <v>3.2720531121585572E-2</v>
      </c>
      <c r="D232" s="19">
        <f t="shared" ca="1" si="13"/>
        <v>0.96727946887841443</v>
      </c>
      <c r="E232" s="20">
        <f t="shared" ca="1" si="15"/>
        <v>1.9672794688784143</v>
      </c>
    </row>
    <row r="233" spans="1:5" x14ac:dyDescent="0.15">
      <c r="A233" s="15">
        <v>197</v>
      </c>
      <c r="B233" s="19">
        <f t="shared" ca="1" si="12"/>
        <v>0.16296910074186344</v>
      </c>
      <c r="C233" s="20">
        <f t="shared" ca="1" si="14"/>
        <v>0.16296910074186344</v>
      </c>
      <c r="D233" s="19">
        <f t="shared" ca="1" si="13"/>
        <v>0.83703089925813656</v>
      </c>
      <c r="E233" s="20">
        <f t="shared" ca="1" si="15"/>
        <v>1.8370308992581366</v>
      </c>
    </row>
    <row r="234" spans="1:5" x14ac:dyDescent="0.15">
      <c r="A234" s="15">
        <v>198</v>
      </c>
      <c r="B234" s="19">
        <f t="shared" ca="1" si="12"/>
        <v>2.5703245169090838E-2</v>
      </c>
      <c r="C234" s="20">
        <f t="shared" ca="1" si="14"/>
        <v>2.5703245169090838E-2</v>
      </c>
      <c r="D234" s="19">
        <f t="shared" ca="1" si="13"/>
        <v>0.97429675483090916</v>
      </c>
      <c r="E234" s="20">
        <f t="shared" ca="1" si="15"/>
        <v>1.9742967548309092</v>
      </c>
    </row>
    <row r="235" spans="1:5" x14ac:dyDescent="0.15">
      <c r="A235" s="15">
        <v>199</v>
      </c>
      <c r="B235" s="19">
        <f t="shared" ca="1" si="12"/>
        <v>0.15240863419633277</v>
      </c>
      <c r="C235" s="20">
        <f t="shared" ca="1" si="14"/>
        <v>0.15240863419633277</v>
      </c>
      <c r="D235" s="19">
        <f t="shared" ca="1" si="13"/>
        <v>0.84759136580366723</v>
      </c>
      <c r="E235" s="20">
        <f t="shared" ca="1" si="15"/>
        <v>1.8475913658036673</v>
      </c>
    </row>
    <row r="236" spans="1:5" x14ac:dyDescent="0.15">
      <c r="A236" s="15">
        <v>200</v>
      </c>
      <c r="B236" s="19">
        <f t="shared" ca="1" si="12"/>
        <v>0.82355780238146148</v>
      </c>
      <c r="C236" s="20">
        <f t="shared" ca="1" si="14"/>
        <v>1.8235578023814614</v>
      </c>
      <c r="D236" s="19">
        <f t="shared" ca="1" si="13"/>
        <v>0.17644219761853852</v>
      </c>
      <c r="E236" s="20">
        <f t="shared" ca="1" si="15"/>
        <v>0.17644219761853852</v>
      </c>
    </row>
    <row r="237" spans="1:5" x14ac:dyDescent="0.15">
      <c r="A237" s="15">
        <v>201</v>
      </c>
      <c r="B237" s="19">
        <f t="shared" ca="1" si="12"/>
        <v>0.74234507668932803</v>
      </c>
      <c r="C237" s="20">
        <f t="shared" ca="1" si="14"/>
        <v>1.742345076689328</v>
      </c>
      <c r="D237" s="19">
        <f t="shared" ca="1" si="13"/>
        <v>0.25765492331067197</v>
      </c>
      <c r="E237" s="20">
        <f t="shared" ca="1" si="15"/>
        <v>0.25765492331067197</v>
      </c>
    </row>
    <row r="238" spans="1:5" x14ac:dyDescent="0.15">
      <c r="A238" s="15">
        <v>202</v>
      </c>
      <c r="B238" s="19">
        <f t="shared" ca="1" si="12"/>
        <v>0.19047223142150926</v>
      </c>
      <c r="C238" s="20">
        <f t="shared" ca="1" si="14"/>
        <v>0.19047223142150926</v>
      </c>
      <c r="D238" s="19">
        <f t="shared" ca="1" si="13"/>
        <v>0.80952776857849074</v>
      </c>
      <c r="E238" s="20">
        <f t="shared" ca="1" si="15"/>
        <v>1.8095277685784907</v>
      </c>
    </row>
    <row r="239" spans="1:5" x14ac:dyDescent="0.15">
      <c r="A239" s="15">
        <v>203</v>
      </c>
      <c r="B239" s="19">
        <f t="shared" ca="1" si="12"/>
        <v>0.55877621923004783</v>
      </c>
      <c r="C239" s="20">
        <f t="shared" ca="1" si="14"/>
        <v>1.5587762192300478</v>
      </c>
      <c r="D239" s="19">
        <f t="shared" ca="1" si="13"/>
        <v>0.44122378076995217</v>
      </c>
      <c r="E239" s="20">
        <f t="shared" ca="1" si="15"/>
        <v>1.4412237807699522</v>
      </c>
    </row>
    <row r="240" spans="1:5" x14ac:dyDescent="0.15">
      <c r="A240" s="15">
        <v>204</v>
      </c>
      <c r="B240" s="19">
        <f t="shared" ca="1" si="12"/>
        <v>0.25271876442890229</v>
      </c>
      <c r="C240" s="20">
        <f t="shared" ca="1" si="14"/>
        <v>0.25271876442890229</v>
      </c>
      <c r="D240" s="19">
        <f t="shared" ca="1" si="13"/>
        <v>0.74728123557109771</v>
      </c>
      <c r="E240" s="20">
        <f t="shared" ca="1" si="15"/>
        <v>1.7472812355710978</v>
      </c>
    </row>
    <row r="241" spans="1:5" x14ac:dyDescent="0.15">
      <c r="A241" s="15">
        <v>205</v>
      </c>
      <c r="B241" s="19">
        <f t="shared" ca="1" si="12"/>
        <v>0.92699681692809455</v>
      </c>
      <c r="C241" s="20">
        <f t="shared" ca="1" si="14"/>
        <v>1.9269968169280944</v>
      </c>
      <c r="D241" s="19">
        <f t="shared" ca="1" si="13"/>
        <v>7.3003183071905453E-2</v>
      </c>
      <c r="E241" s="20">
        <f t="shared" ca="1" si="15"/>
        <v>7.3003183071905453E-2</v>
      </c>
    </row>
    <row r="242" spans="1:5" x14ac:dyDescent="0.15">
      <c r="A242" s="15">
        <v>206</v>
      </c>
      <c r="B242" s="19">
        <f t="shared" ca="1" si="12"/>
        <v>0.45727352389768794</v>
      </c>
      <c r="C242" s="20">
        <f t="shared" ca="1" si="14"/>
        <v>1.4572735238976879</v>
      </c>
      <c r="D242" s="19">
        <f t="shared" ca="1" si="13"/>
        <v>0.54272647610231206</v>
      </c>
      <c r="E242" s="20">
        <f t="shared" ca="1" si="15"/>
        <v>1.5427264761023121</v>
      </c>
    </row>
    <row r="243" spans="1:5" x14ac:dyDescent="0.15">
      <c r="A243" s="15">
        <v>207</v>
      </c>
      <c r="B243" s="19">
        <f t="shared" ca="1" si="12"/>
        <v>0.33348761978110819</v>
      </c>
      <c r="C243" s="20">
        <f t="shared" ca="1" si="14"/>
        <v>0.33348761978110819</v>
      </c>
      <c r="D243" s="19">
        <f t="shared" ca="1" si="13"/>
        <v>0.66651238021889181</v>
      </c>
      <c r="E243" s="20">
        <f t="shared" ca="1" si="15"/>
        <v>1.6665123802188919</v>
      </c>
    </row>
    <row r="244" spans="1:5" x14ac:dyDescent="0.15">
      <c r="A244" s="15">
        <v>208</v>
      </c>
      <c r="B244" s="19">
        <f t="shared" ca="1" si="12"/>
        <v>0.87902495020801596</v>
      </c>
      <c r="C244" s="20">
        <f t="shared" ca="1" si="14"/>
        <v>1.8790249502080161</v>
      </c>
      <c r="D244" s="19">
        <f t="shared" ca="1" si="13"/>
        <v>0.12097504979198404</v>
      </c>
      <c r="E244" s="20">
        <f t="shared" ca="1" si="15"/>
        <v>0.12097504979198404</v>
      </c>
    </row>
    <row r="245" spans="1:5" x14ac:dyDescent="0.15">
      <c r="A245" s="15">
        <v>209</v>
      </c>
      <c r="B245" s="19">
        <f t="shared" ca="1" si="12"/>
        <v>0.40972955019448398</v>
      </c>
      <c r="C245" s="20">
        <f t="shared" ca="1" si="14"/>
        <v>1.409729550194484</v>
      </c>
      <c r="D245" s="19">
        <f t="shared" ca="1" si="13"/>
        <v>0.59027044980551602</v>
      </c>
      <c r="E245" s="20">
        <f t="shared" ca="1" si="15"/>
        <v>1.590270449805516</v>
      </c>
    </row>
    <row r="246" spans="1:5" x14ac:dyDescent="0.15">
      <c r="A246" s="15">
        <v>210</v>
      </c>
      <c r="B246" s="19">
        <f t="shared" ca="1" si="12"/>
        <v>0.74290315828983711</v>
      </c>
      <c r="C246" s="20">
        <f t="shared" ca="1" si="14"/>
        <v>1.7429031582898371</v>
      </c>
      <c r="D246" s="19">
        <f t="shared" ca="1" si="13"/>
        <v>0.25709684171016289</v>
      </c>
      <c r="E246" s="20">
        <f t="shared" ca="1" si="15"/>
        <v>0.25709684171016289</v>
      </c>
    </row>
    <row r="247" spans="1:5" x14ac:dyDescent="0.15">
      <c r="A247" s="15">
        <v>211</v>
      </c>
      <c r="B247" s="19">
        <f t="shared" ca="1" si="12"/>
        <v>0.18323872088636506</v>
      </c>
      <c r="C247" s="20">
        <f t="shared" ca="1" si="14"/>
        <v>0.18323872088636506</v>
      </c>
      <c r="D247" s="19">
        <f t="shared" ca="1" si="13"/>
        <v>0.81676127911363494</v>
      </c>
      <c r="E247" s="20">
        <f t="shared" ca="1" si="15"/>
        <v>1.8167612791136349</v>
      </c>
    </row>
    <row r="248" spans="1:5" x14ac:dyDescent="0.15">
      <c r="A248" s="15">
        <v>212</v>
      </c>
      <c r="B248" s="19">
        <f t="shared" ca="1" si="12"/>
        <v>0.15390710641585881</v>
      </c>
      <c r="C248" s="20">
        <f t="shared" ca="1" si="14"/>
        <v>0.15390710641585881</v>
      </c>
      <c r="D248" s="19">
        <f t="shared" ca="1" si="13"/>
        <v>0.84609289358414119</v>
      </c>
      <c r="E248" s="20">
        <f t="shared" ca="1" si="15"/>
        <v>1.8460928935841412</v>
      </c>
    </row>
    <row r="249" spans="1:5" x14ac:dyDescent="0.15">
      <c r="A249" s="15">
        <v>213</v>
      </c>
      <c r="B249" s="19">
        <f t="shared" ca="1" si="12"/>
        <v>0.1674682411581363</v>
      </c>
      <c r="C249" s="20">
        <f t="shared" ca="1" si="14"/>
        <v>0.1674682411581363</v>
      </c>
      <c r="D249" s="19">
        <f t="shared" ca="1" si="13"/>
        <v>0.8325317588418637</v>
      </c>
      <c r="E249" s="20">
        <f t="shared" ca="1" si="15"/>
        <v>1.8325317588418637</v>
      </c>
    </row>
    <row r="250" spans="1:5" x14ac:dyDescent="0.15">
      <c r="A250" s="15">
        <v>214</v>
      </c>
      <c r="B250" s="19">
        <f t="shared" ca="1" si="12"/>
        <v>0.65400413455288209</v>
      </c>
      <c r="C250" s="20">
        <f t="shared" ca="1" si="14"/>
        <v>1.6540041345528822</v>
      </c>
      <c r="D250" s="19">
        <f t="shared" ca="1" si="13"/>
        <v>0.34599586544711791</v>
      </c>
      <c r="E250" s="20">
        <f t="shared" ca="1" si="15"/>
        <v>0.34599586544711791</v>
      </c>
    </row>
    <row r="251" spans="1:5" x14ac:dyDescent="0.15">
      <c r="A251" s="15">
        <v>215</v>
      </c>
      <c r="B251" s="19">
        <f t="shared" ca="1" si="12"/>
        <v>0.51109263607586941</v>
      </c>
      <c r="C251" s="20">
        <f t="shared" ca="1" si="14"/>
        <v>1.5110926360758694</v>
      </c>
      <c r="D251" s="19">
        <f t="shared" ca="1" si="13"/>
        <v>0.48890736392413059</v>
      </c>
      <c r="E251" s="20">
        <f t="shared" ca="1" si="15"/>
        <v>1.4889073639241306</v>
      </c>
    </row>
    <row r="252" spans="1:5" x14ac:dyDescent="0.15">
      <c r="A252" s="15">
        <v>216</v>
      </c>
      <c r="B252" s="19">
        <f t="shared" ca="1" si="12"/>
        <v>0.15193465647200444</v>
      </c>
      <c r="C252" s="20">
        <f t="shared" ca="1" si="14"/>
        <v>0.15193465647200444</v>
      </c>
      <c r="D252" s="19">
        <f t="shared" ca="1" si="13"/>
        <v>0.84806534352799556</v>
      </c>
      <c r="E252" s="20">
        <f t="shared" ca="1" si="15"/>
        <v>1.8480653435279955</v>
      </c>
    </row>
    <row r="253" spans="1:5" x14ac:dyDescent="0.15">
      <c r="A253" s="15">
        <v>217</v>
      </c>
      <c r="B253" s="19">
        <f t="shared" ca="1" si="12"/>
        <v>0.45344561155395913</v>
      </c>
      <c r="C253" s="20">
        <f t="shared" ca="1" si="14"/>
        <v>1.4534456115539591</v>
      </c>
      <c r="D253" s="19">
        <f t="shared" ca="1" si="13"/>
        <v>0.54655438844604087</v>
      </c>
      <c r="E253" s="20">
        <f t="shared" ca="1" si="15"/>
        <v>1.5465543884460409</v>
      </c>
    </row>
    <row r="254" spans="1:5" x14ac:dyDescent="0.15">
      <c r="A254" s="15">
        <v>218</v>
      </c>
      <c r="B254" s="19">
        <f t="shared" ca="1" si="12"/>
        <v>0.59643757281717169</v>
      </c>
      <c r="C254" s="20">
        <f t="shared" ca="1" si="14"/>
        <v>1.5964375728171718</v>
      </c>
      <c r="D254" s="19">
        <f t="shared" ca="1" si="13"/>
        <v>0.40356242718282831</v>
      </c>
      <c r="E254" s="20">
        <f t="shared" ca="1" si="15"/>
        <v>1.4035624271828282</v>
      </c>
    </row>
    <row r="255" spans="1:5" x14ac:dyDescent="0.15">
      <c r="A255" s="15">
        <v>219</v>
      </c>
      <c r="B255" s="19">
        <f t="shared" ca="1" si="12"/>
        <v>0.9214939918822489</v>
      </c>
      <c r="C255" s="20">
        <f t="shared" ca="1" si="14"/>
        <v>1.9214939918822489</v>
      </c>
      <c r="D255" s="19">
        <f t="shared" ca="1" si="13"/>
        <v>7.8506008117751103E-2</v>
      </c>
      <c r="E255" s="20">
        <f t="shared" ca="1" si="15"/>
        <v>7.8506008117751103E-2</v>
      </c>
    </row>
    <row r="256" spans="1:5" x14ac:dyDescent="0.15">
      <c r="A256" s="15">
        <v>220</v>
      </c>
      <c r="B256" s="19">
        <f t="shared" ca="1" si="12"/>
        <v>0.74739670977808348</v>
      </c>
      <c r="C256" s="20">
        <f t="shared" ca="1" si="14"/>
        <v>1.7473967097780836</v>
      </c>
      <c r="D256" s="19">
        <f t="shared" ca="1" si="13"/>
        <v>0.25260329022191652</v>
      </c>
      <c r="E256" s="20">
        <f t="shared" ca="1" si="15"/>
        <v>0.25260329022191652</v>
      </c>
    </row>
    <row r="257" spans="1:5" x14ac:dyDescent="0.15">
      <c r="A257" s="15">
        <v>221</v>
      </c>
      <c r="B257" s="19">
        <f t="shared" ca="1" si="12"/>
        <v>0.86308046450366627</v>
      </c>
      <c r="C257" s="20">
        <f t="shared" ca="1" si="14"/>
        <v>1.8630804645036663</v>
      </c>
      <c r="D257" s="19">
        <f t="shared" ca="1" si="13"/>
        <v>0.13691953549633373</v>
      </c>
      <c r="E257" s="20">
        <f t="shared" ca="1" si="15"/>
        <v>0.13691953549633373</v>
      </c>
    </row>
    <row r="258" spans="1:5" x14ac:dyDescent="0.15">
      <c r="A258" s="15">
        <v>222</v>
      </c>
      <c r="B258" s="19">
        <f t="shared" ca="1" si="12"/>
        <v>0.83873315185880915</v>
      </c>
      <c r="C258" s="20">
        <f t="shared" ca="1" si="14"/>
        <v>1.838733151858809</v>
      </c>
      <c r="D258" s="19">
        <f t="shared" ca="1" si="13"/>
        <v>0.16126684814119085</v>
      </c>
      <c r="E258" s="20">
        <f t="shared" ca="1" si="15"/>
        <v>0.16126684814119085</v>
      </c>
    </row>
    <row r="259" spans="1:5" x14ac:dyDescent="0.15">
      <c r="A259" s="15">
        <v>223</v>
      </c>
      <c r="B259" s="19">
        <f t="shared" ca="1" si="12"/>
        <v>3.9149821006648544E-2</v>
      </c>
      <c r="C259" s="20">
        <f t="shared" ca="1" si="14"/>
        <v>3.9149821006648544E-2</v>
      </c>
      <c r="D259" s="19">
        <f t="shared" ca="1" si="13"/>
        <v>0.96085017899335146</v>
      </c>
      <c r="E259" s="20">
        <f t="shared" ca="1" si="15"/>
        <v>1.9608501789933515</v>
      </c>
    </row>
    <row r="260" spans="1:5" x14ac:dyDescent="0.15">
      <c r="A260" s="15">
        <v>224</v>
      </c>
      <c r="B260" s="19">
        <f t="shared" ca="1" si="12"/>
        <v>0.4926563495149755</v>
      </c>
      <c r="C260" s="20">
        <f t="shared" ca="1" si="14"/>
        <v>1.4926563495149754</v>
      </c>
      <c r="D260" s="19">
        <f t="shared" ca="1" si="13"/>
        <v>0.5073436504850245</v>
      </c>
      <c r="E260" s="20">
        <f t="shared" ca="1" si="15"/>
        <v>1.5073436504850246</v>
      </c>
    </row>
    <row r="261" spans="1:5" x14ac:dyDescent="0.15">
      <c r="A261" s="15">
        <v>225</v>
      </c>
      <c r="B261" s="19">
        <f t="shared" ca="1" si="12"/>
        <v>0.61380608645439294</v>
      </c>
      <c r="C261" s="20">
        <f t="shared" ca="1" si="14"/>
        <v>1.6138060864543928</v>
      </c>
      <c r="D261" s="19">
        <f t="shared" ca="1" si="13"/>
        <v>0.38619391354560706</v>
      </c>
      <c r="E261" s="20">
        <f t="shared" ca="1" si="15"/>
        <v>0.38619391354560706</v>
      </c>
    </row>
    <row r="262" spans="1:5" x14ac:dyDescent="0.15">
      <c r="A262" s="15">
        <v>226</v>
      </c>
      <c r="B262" s="19">
        <f t="shared" ca="1" si="12"/>
        <v>0.23525123190909003</v>
      </c>
      <c r="C262" s="20">
        <f t="shared" ca="1" si="14"/>
        <v>0.23525123190909003</v>
      </c>
      <c r="D262" s="19">
        <f t="shared" ca="1" si="13"/>
        <v>0.76474876809090997</v>
      </c>
      <c r="E262" s="20">
        <f t="shared" ca="1" si="15"/>
        <v>1.76474876809091</v>
      </c>
    </row>
    <row r="263" spans="1:5" x14ac:dyDescent="0.15">
      <c r="A263" s="15">
        <v>227</v>
      </c>
      <c r="B263" s="19">
        <f t="shared" ca="1" si="12"/>
        <v>0.40947093861553685</v>
      </c>
      <c r="C263" s="20">
        <f t="shared" ca="1" si="14"/>
        <v>1.4094709386155369</v>
      </c>
      <c r="D263" s="19">
        <f t="shared" ca="1" si="13"/>
        <v>0.59052906138446315</v>
      </c>
      <c r="E263" s="20">
        <f t="shared" ca="1" si="15"/>
        <v>1.5905290613844631</v>
      </c>
    </row>
    <row r="264" spans="1:5" x14ac:dyDescent="0.15">
      <c r="A264" s="15">
        <v>228</v>
      </c>
      <c r="B264" s="19">
        <f t="shared" ca="1" si="12"/>
        <v>0.5558605161101472</v>
      </c>
      <c r="C264" s="20">
        <f t="shared" ca="1" si="14"/>
        <v>1.5558605161101471</v>
      </c>
      <c r="D264" s="19">
        <f t="shared" ca="1" si="13"/>
        <v>0.4441394838898528</v>
      </c>
      <c r="E264" s="20">
        <f t="shared" ca="1" si="15"/>
        <v>1.4441394838898529</v>
      </c>
    </row>
    <row r="265" spans="1:5" x14ac:dyDescent="0.15">
      <c r="A265" s="15">
        <v>229</v>
      </c>
      <c r="B265" s="19">
        <f t="shared" ca="1" si="12"/>
        <v>0.74318834162619485</v>
      </c>
      <c r="C265" s="20">
        <f t="shared" ca="1" si="14"/>
        <v>1.7431883416261948</v>
      </c>
      <c r="D265" s="19">
        <f t="shared" ca="1" si="13"/>
        <v>0.25681165837380515</v>
      </c>
      <c r="E265" s="20">
        <f t="shared" ca="1" si="15"/>
        <v>0.25681165837380515</v>
      </c>
    </row>
    <row r="266" spans="1:5" x14ac:dyDescent="0.15">
      <c r="A266" s="15">
        <v>230</v>
      </c>
      <c r="B266" s="19">
        <f t="shared" ca="1" si="12"/>
        <v>0.32914984737875264</v>
      </c>
      <c r="C266" s="20">
        <f t="shared" ca="1" si="14"/>
        <v>0.32914984737875264</v>
      </c>
      <c r="D266" s="19">
        <f t="shared" ca="1" si="13"/>
        <v>0.67085015262124736</v>
      </c>
      <c r="E266" s="20">
        <f t="shared" ca="1" si="15"/>
        <v>1.6708501526212474</v>
      </c>
    </row>
    <row r="267" spans="1:5" x14ac:dyDescent="0.15">
      <c r="A267" s="15">
        <v>231</v>
      </c>
      <c r="B267" s="19">
        <f t="shared" ca="1" si="12"/>
        <v>3.4545880777275495E-2</v>
      </c>
      <c r="C267" s="20">
        <f t="shared" ca="1" si="14"/>
        <v>3.4545880777275495E-2</v>
      </c>
      <c r="D267" s="19">
        <f t="shared" ca="1" si="13"/>
        <v>0.96545411922272451</v>
      </c>
      <c r="E267" s="20">
        <f t="shared" ca="1" si="15"/>
        <v>1.9654541192227244</v>
      </c>
    </row>
    <row r="268" spans="1:5" x14ac:dyDescent="0.15">
      <c r="A268" s="15">
        <v>232</v>
      </c>
      <c r="B268" s="19">
        <f t="shared" ca="1" si="12"/>
        <v>0.45273020581111945</v>
      </c>
      <c r="C268" s="20">
        <f t="shared" ca="1" si="14"/>
        <v>1.4527302058111196</v>
      </c>
      <c r="D268" s="19">
        <f t="shared" ca="1" si="13"/>
        <v>0.54726979418888055</v>
      </c>
      <c r="E268" s="20">
        <f t="shared" ca="1" si="15"/>
        <v>1.5472697941888804</v>
      </c>
    </row>
    <row r="269" spans="1:5" x14ac:dyDescent="0.15">
      <c r="A269" s="15">
        <v>233</v>
      </c>
      <c r="B269" s="19">
        <f t="shared" ca="1" si="12"/>
        <v>0.38189686097544584</v>
      </c>
      <c r="C269" s="20">
        <f t="shared" ca="1" si="14"/>
        <v>0.38189686097544584</v>
      </c>
      <c r="D269" s="19">
        <f t="shared" ca="1" si="13"/>
        <v>0.61810313902455416</v>
      </c>
      <c r="E269" s="20">
        <f t="shared" ca="1" si="15"/>
        <v>1.6181031390245542</v>
      </c>
    </row>
    <row r="270" spans="1:5" x14ac:dyDescent="0.15">
      <c r="A270" s="15">
        <v>234</v>
      </c>
      <c r="B270" s="19">
        <f t="shared" ca="1" si="12"/>
        <v>0.21528132339671358</v>
      </c>
      <c r="C270" s="20">
        <f t="shared" ca="1" si="14"/>
        <v>0.21528132339671358</v>
      </c>
      <c r="D270" s="19">
        <f t="shared" ca="1" si="13"/>
        <v>0.78471867660328642</v>
      </c>
      <c r="E270" s="20">
        <f t="shared" ca="1" si="15"/>
        <v>1.7847186766032865</v>
      </c>
    </row>
    <row r="271" spans="1:5" x14ac:dyDescent="0.15">
      <c r="A271" s="15">
        <v>235</v>
      </c>
      <c r="B271" s="19">
        <f t="shared" ca="1" si="12"/>
        <v>0.38961318718483573</v>
      </c>
      <c r="C271" s="20">
        <f t="shared" ca="1" si="14"/>
        <v>0.38961318718483573</v>
      </c>
      <c r="D271" s="19">
        <f t="shared" ca="1" si="13"/>
        <v>0.61038681281516427</v>
      </c>
      <c r="E271" s="20">
        <f t="shared" ca="1" si="15"/>
        <v>1.6103868128151642</v>
      </c>
    </row>
    <row r="272" spans="1:5" x14ac:dyDescent="0.15">
      <c r="A272" s="15">
        <v>236</v>
      </c>
      <c r="B272" s="19">
        <f t="shared" ca="1" si="12"/>
        <v>0.3571513344382703</v>
      </c>
      <c r="C272" s="20">
        <f t="shared" ca="1" si="14"/>
        <v>0.3571513344382703</v>
      </c>
      <c r="D272" s="19">
        <f t="shared" ca="1" si="13"/>
        <v>0.6428486655617297</v>
      </c>
      <c r="E272" s="20">
        <f t="shared" ca="1" si="15"/>
        <v>1.6428486655617296</v>
      </c>
    </row>
    <row r="273" spans="1:5" x14ac:dyDescent="0.15">
      <c r="A273" s="15">
        <v>237</v>
      </c>
      <c r="B273" s="19">
        <f t="shared" ca="1" si="12"/>
        <v>7.4501237202672099E-2</v>
      </c>
      <c r="C273" s="20">
        <f t="shared" ca="1" si="14"/>
        <v>7.4501237202672099E-2</v>
      </c>
      <c r="D273" s="19">
        <f t="shared" ca="1" si="13"/>
        <v>0.9254987627973279</v>
      </c>
      <c r="E273" s="20">
        <f t="shared" ca="1" si="15"/>
        <v>1.9254987627973279</v>
      </c>
    </row>
    <row r="274" spans="1:5" x14ac:dyDescent="0.15">
      <c r="A274" s="15">
        <v>238</v>
      </c>
      <c r="B274" s="19">
        <f t="shared" ca="1" si="12"/>
        <v>0.11715686241717227</v>
      </c>
      <c r="C274" s="20">
        <f t="shared" ca="1" si="14"/>
        <v>0.11715686241717227</v>
      </c>
      <c r="D274" s="19">
        <f t="shared" ca="1" si="13"/>
        <v>0.88284313758282773</v>
      </c>
      <c r="E274" s="20">
        <f t="shared" ca="1" si="15"/>
        <v>1.8828431375828276</v>
      </c>
    </row>
    <row r="275" spans="1:5" x14ac:dyDescent="0.15">
      <c r="A275" s="15">
        <v>239</v>
      </c>
      <c r="B275" s="19">
        <f t="shared" ca="1" si="12"/>
        <v>0.9425910099460526</v>
      </c>
      <c r="C275" s="20">
        <f t="shared" ca="1" si="14"/>
        <v>1.9425910099460526</v>
      </c>
      <c r="D275" s="19">
        <f t="shared" ca="1" si="13"/>
        <v>5.7408990053947395E-2</v>
      </c>
      <c r="E275" s="20">
        <f t="shared" ca="1" si="15"/>
        <v>5.7408990053947395E-2</v>
      </c>
    </row>
    <row r="276" spans="1:5" x14ac:dyDescent="0.15">
      <c r="A276" s="15">
        <v>240</v>
      </c>
      <c r="B276" s="19">
        <f t="shared" ca="1" si="12"/>
        <v>0.49261901522560669</v>
      </c>
      <c r="C276" s="20">
        <f t="shared" ca="1" si="14"/>
        <v>1.4926190152256067</v>
      </c>
      <c r="D276" s="19">
        <f t="shared" ca="1" si="13"/>
        <v>0.50738098477439331</v>
      </c>
      <c r="E276" s="20">
        <f t="shared" ca="1" si="15"/>
        <v>1.5073809847743933</v>
      </c>
    </row>
    <row r="277" spans="1:5" x14ac:dyDescent="0.15">
      <c r="A277" s="15">
        <v>241</v>
      </c>
      <c r="B277" s="19">
        <f t="shared" ca="1" si="12"/>
        <v>0.50510556725344458</v>
      </c>
      <c r="C277" s="20">
        <f t="shared" ca="1" si="14"/>
        <v>1.5051055672534446</v>
      </c>
      <c r="D277" s="19">
        <f t="shared" ca="1" si="13"/>
        <v>0.49489443274655542</v>
      </c>
      <c r="E277" s="20">
        <f t="shared" ca="1" si="15"/>
        <v>1.4948944327465554</v>
      </c>
    </row>
    <row r="278" spans="1:5" x14ac:dyDescent="0.15">
      <c r="A278" s="15">
        <v>242</v>
      </c>
      <c r="B278" s="19">
        <f t="shared" ca="1" si="12"/>
        <v>0.39082126563886943</v>
      </c>
      <c r="C278" s="20">
        <f t="shared" ca="1" si="14"/>
        <v>0.39082126563886943</v>
      </c>
      <c r="D278" s="19">
        <f t="shared" ca="1" si="13"/>
        <v>0.60917873436113057</v>
      </c>
      <c r="E278" s="20">
        <f t="shared" ca="1" si="15"/>
        <v>1.6091787343611306</v>
      </c>
    </row>
    <row r="279" spans="1:5" x14ac:dyDescent="0.15">
      <c r="A279" s="15">
        <v>243</v>
      </c>
      <c r="B279" s="19">
        <f t="shared" ca="1" si="12"/>
        <v>0.1594554706935708</v>
      </c>
      <c r="C279" s="20">
        <f t="shared" ca="1" si="14"/>
        <v>0.1594554706935708</v>
      </c>
      <c r="D279" s="19">
        <f t="shared" ca="1" si="13"/>
        <v>0.8405445293064292</v>
      </c>
      <c r="E279" s="20">
        <f t="shared" ca="1" si="15"/>
        <v>1.8405445293064293</v>
      </c>
    </row>
    <row r="280" spans="1:5" x14ac:dyDescent="0.15">
      <c r="A280" s="15">
        <v>244</v>
      </c>
      <c r="B280" s="19">
        <f t="shared" ca="1" si="12"/>
        <v>0.53049129370855896</v>
      </c>
      <c r="C280" s="20">
        <f t="shared" ca="1" si="14"/>
        <v>1.5304912937085589</v>
      </c>
      <c r="D280" s="19">
        <f t="shared" ca="1" si="13"/>
        <v>0.46950870629144104</v>
      </c>
      <c r="E280" s="20">
        <f t="shared" ca="1" si="15"/>
        <v>1.4695087062914411</v>
      </c>
    </row>
    <row r="281" spans="1:5" x14ac:dyDescent="0.15">
      <c r="A281" s="15">
        <v>245</v>
      </c>
      <c r="B281" s="19">
        <f t="shared" ca="1" si="12"/>
        <v>0.8005608649443442</v>
      </c>
      <c r="C281" s="20">
        <f t="shared" ca="1" si="14"/>
        <v>1.8005608649443441</v>
      </c>
      <c r="D281" s="19">
        <f t="shared" ca="1" si="13"/>
        <v>0.1994391350556558</v>
      </c>
      <c r="E281" s="20">
        <f t="shared" ca="1" si="15"/>
        <v>0.1994391350556558</v>
      </c>
    </row>
    <row r="282" spans="1:5" x14ac:dyDescent="0.15">
      <c r="A282" s="15">
        <v>246</v>
      </c>
      <c r="B282" s="19">
        <f t="shared" ca="1" si="12"/>
        <v>0.97389753438297388</v>
      </c>
      <c r="C282" s="20">
        <f t="shared" ca="1" si="14"/>
        <v>1.9738975343829739</v>
      </c>
      <c r="D282" s="19">
        <f t="shared" ca="1" si="13"/>
        <v>2.6102465617026116E-2</v>
      </c>
      <c r="E282" s="20">
        <f t="shared" ca="1" si="15"/>
        <v>2.6102465617026116E-2</v>
      </c>
    </row>
    <row r="283" spans="1:5" x14ac:dyDescent="0.15">
      <c r="A283" s="15">
        <v>247</v>
      </c>
      <c r="B283" s="19">
        <f t="shared" ca="1" si="12"/>
        <v>1.8334208907067051E-4</v>
      </c>
      <c r="C283" s="20">
        <f t="shared" ca="1" si="14"/>
        <v>1.8334208907067051E-4</v>
      </c>
      <c r="D283" s="19">
        <f t="shared" ca="1" si="13"/>
        <v>0.99981665791092933</v>
      </c>
      <c r="E283" s="20">
        <f t="shared" ca="1" si="15"/>
        <v>1.9998166579109293</v>
      </c>
    </row>
    <row r="284" spans="1:5" x14ac:dyDescent="0.15">
      <c r="A284" s="15">
        <v>248</v>
      </c>
      <c r="B284" s="19">
        <f t="shared" ca="1" si="12"/>
        <v>0.59945628743568036</v>
      </c>
      <c r="C284" s="20">
        <f t="shared" ca="1" si="14"/>
        <v>1.5994562874356804</v>
      </c>
      <c r="D284" s="19">
        <f t="shared" ca="1" si="13"/>
        <v>0.40054371256431964</v>
      </c>
      <c r="E284" s="20">
        <f t="shared" ca="1" si="15"/>
        <v>1.4005437125643196</v>
      </c>
    </row>
    <row r="285" spans="1:5" x14ac:dyDescent="0.15">
      <c r="A285" s="15">
        <v>249</v>
      </c>
      <c r="B285" s="19">
        <f t="shared" ca="1" si="12"/>
        <v>0.13173882441710161</v>
      </c>
      <c r="C285" s="20">
        <f t="shared" ca="1" si="14"/>
        <v>0.13173882441710161</v>
      </c>
      <c r="D285" s="19">
        <f t="shared" ca="1" si="13"/>
        <v>0.86826117558289839</v>
      </c>
      <c r="E285" s="20">
        <f t="shared" ca="1" si="15"/>
        <v>1.8682611755828984</v>
      </c>
    </row>
    <row r="286" spans="1:5" x14ac:dyDescent="0.15">
      <c r="A286" s="15">
        <v>250</v>
      </c>
      <c r="B286" s="19">
        <f t="shared" ca="1" si="12"/>
        <v>0.22810825075694896</v>
      </c>
      <c r="C286" s="20">
        <f t="shared" ca="1" si="14"/>
        <v>0.22810825075694896</v>
      </c>
      <c r="D286" s="19">
        <f t="shared" ca="1" si="13"/>
        <v>0.77189174924305104</v>
      </c>
      <c r="E286" s="20">
        <f t="shared" ca="1" si="15"/>
        <v>1.771891749243051</v>
      </c>
    </row>
    <row r="287" spans="1:5" x14ac:dyDescent="0.15">
      <c r="A287" s="15">
        <v>251</v>
      </c>
      <c r="B287" s="19">
        <f t="shared" ca="1" si="12"/>
        <v>0.63350653538055313</v>
      </c>
      <c r="C287" s="20">
        <f t="shared" ca="1" si="14"/>
        <v>1.6335065353805531</v>
      </c>
      <c r="D287" s="19">
        <f t="shared" ca="1" si="13"/>
        <v>0.36649346461944687</v>
      </c>
      <c r="E287" s="20">
        <f t="shared" ca="1" si="15"/>
        <v>0.36649346461944687</v>
      </c>
    </row>
    <row r="288" spans="1:5" x14ac:dyDescent="0.15">
      <c r="A288" s="15">
        <v>252</v>
      </c>
      <c r="B288" s="19">
        <f t="shared" ca="1" si="12"/>
        <v>0.61490172402530441</v>
      </c>
      <c r="C288" s="20">
        <f t="shared" ca="1" si="14"/>
        <v>1.6149017240253043</v>
      </c>
      <c r="D288" s="19">
        <f t="shared" ca="1" si="13"/>
        <v>0.38509827597469559</v>
      </c>
      <c r="E288" s="20">
        <f t="shared" ca="1" si="15"/>
        <v>0.38509827597469559</v>
      </c>
    </row>
    <row r="289" spans="1:5" x14ac:dyDescent="0.15">
      <c r="A289" s="15">
        <v>253</v>
      </c>
      <c r="B289" s="19">
        <f t="shared" ca="1" si="12"/>
        <v>0.25810949524682714</v>
      </c>
      <c r="C289" s="20">
        <f t="shared" ca="1" si="14"/>
        <v>0.25810949524682714</v>
      </c>
      <c r="D289" s="19">
        <f t="shared" ca="1" si="13"/>
        <v>0.74189050475317286</v>
      </c>
      <c r="E289" s="20">
        <f t="shared" ca="1" si="15"/>
        <v>1.7418905047531728</v>
      </c>
    </row>
    <row r="290" spans="1:5" x14ac:dyDescent="0.15">
      <c r="A290" s="15">
        <v>254</v>
      </c>
      <c r="B290" s="19">
        <f t="shared" ca="1" si="12"/>
        <v>0.66965593131076651</v>
      </c>
      <c r="C290" s="20">
        <f t="shared" ca="1" si="14"/>
        <v>1.6696559313107664</v>
      </c>
      <c r="D290" s="19">
        <f t="shared" ca="1" si="13"/>
        <v>0.33034406868923349</v>
      </c>
      <c r="E290" s="20">
        <f t="shared" ca="1" si="15"/>
        <v>0.33034406868923349</v>
      </c>
    </row>
    <row r="291" spans="1:5" x14ac:dyDescent="0.15">
      <c r="A291" s="15">
        <v>255</v>
      </c>
      <c r="B291" s="19">
        <f t="shared" ca="1" si="12"/>
        <v>0.80795132892746091</v>
      </c>
      <c r="C291" s="20">
        <f t="shared" ca="1" si="14"/>
        <v>1.8079513289274609</v>
      </c>
      <c r="D291" s="19">
        <f t="shared" ca="1" si="13"/>
        <v>0.19204867107253909</v>
      </c>
      <c r="E291" s="20">
        <f t="shared" ca="1" si="15"/>
        <v>0.19204867107253909</v>
      </c>
    </row>
    <row r="292" spans="1:5" x14ac:dyDescent="0.15">
      <c r="A292" s="15">
        <v>256</v>
      </c>
      <c r="B292" s="19">
        <f t="shared" ca="1" si="12"/>
        <v>0.43518464784994193</v>
      </c>
      <c r="C292" s="20">
        <f t="shared" ca="1" si="14"/>
        <v>1.4351846478499419</v>
      </c>
      <c r="D292" s="19">
        <f t="shared" ca="1" si="13"/>
        <v>0.56481535215005807</v>
      </c>
      <c r="E292" s="20">
        <f t="shared" ca="1" si="15"/>
        <v>1.5648153521500581</v>
      </c>
    </row>
    <row r="293" spans="1:5" x14ac:dyDescent="0.15">
      <c r="A293" s="15">
        <v>257</v>
      </c>
      <c r="B293" s="19">
        <f t="shared" ref="B293:B336" ca="1" si="16">RAND()</f>
        <v>0.26759360378415997</v>
      </c>
      <c r="C293" s="20">
        <f t="shared" ca="1" si="14"/>
        <v>0.26759360378415997</v>
      </c>
      <c r="D293" s="19">
        <f t="shared" ref="D293:D336" ca="1" si="17">1-B293</f>
        <v>0.73240639621584003</v>
      </c>
      <c r="E293" s="20">
        <f t="shared" ca="1" si="15"/>
        <v>1.73240639621584</v>
      </c>
    </row>
    <row r="294" spans="1:5" x14ac:dyDescent="0.15">
      <c r="A294" s="15">
        <v>258</v>
      </c>
      <c r="B294" s="19">
        <f t="shared" ca="1" si="16"/>
        <v>0.87105305969640523</v>
      </c>
      <c r="C294" s="20">
        <f t="shared" ref="C294:C336" ca="1" si="18">IF(B294&lt;0.4,B294,1+B294)</f>
        <v>1.8710530596964052</v>
      </c>
      <c r="D294" s="19">
        <f t="shared" ca="1" si="17"/>
        <v>0.12894694030359477</v>
      </c>
      <c r="E294" s="20">
        <f t="shared" ref="E294:E336" ca="1" si="19">IF(D294&lt;0.4,D294,1+D294)</f>
        <v>0.12894694030359477</v>
      </c>
    </row>
    <row r="295" spans="1:5" x14ac:dyDescent="0.15">
      <c r="A295" s="15">
        <v>259</v>
      </c>
      <c r="B295" s="19">
        <f t="shared" ca="1" si="16"/>
        <v>0.29345140740021558</v>
      </c>
      <c r="C295" s="20">
        <f t="shared" ca="1" si="18"/>
        <v>0.29345140740021558</v>
      </c>
      <c r="D295" s="19">
        <f t="shared" ca="1" si="17"/>
        <v>0.70654859259978442</v>
      </c>
      <c r="E295" s="20">
        <f t="shared" ca="1" si="19"/>
        <v>1.7065485925997845</v>
      </c>
    </row>
    <row r="296" spans="1:5" x14ac:dyDescent="0.15">
      <c r="A296" s="15">
        <v>260</v>
      </c>
      <c r="B296" s="19">
        <f t="shared" ca="1" si="16"/>
        <v>0.36340031076981871</v>
      </c>
      <c r="C296" s="20">
        <f t="shared" ca="1" si="18"/>
        <v>0.36340031076981871</v>
      </c>
      <c r="D296" s="19">
        <f t="shared" ca="1" si="17"/>
        <v>0.63659968923018129</v>
      </c>
      <c r="E296" s="20">
        <f t="shared" ca="1" si="19"/>
        <v>1.6365996892301813</v>
      </c>
    </row>
    <row r="297" spans="1:5" x14ac:dyDescent="0.15">
      <c r="A297" s="15">
        <v>261</v>
      </c>
      <c r="B297" s="19">
        <f t="shared" ca="1" si="16"/>
        <v>0.36200948841834169</v>
      </c>
      <c r="C297" s="20">
        <f t="shared" ca="1" si="18"/>
        <v>0.36200948841834169</v>
      </c>
      <c r="D297" s="19">
        <f t="shared" ca="1" si="17"/>
        <v>0.63799051158165831</v>
      </c>
      <c r="E297" s="20">
        <f t="shared" ca="1" si="19"/>
        <v>1.6379905115816582</v>
      </c>
    </row>
    <row r="298" spans="1:5" x14ac:dyDescent="0.15">
      <c r="A298" s="15">
        <v>262</v>
      </c>
      <c r="B298" s="19">
        <f t="shared" ca="1" si="16"/>
        <v>0.60036473969001414</v>
      </c>
      <c r="C298" s="20">
        <f t="shared" ca="1" si="18"/>
        <v>1.600364739690014</v>
      </c>
      <c r="D298" s="19">
        <f t="shared" ca="1" si="17"/>
        <v>0.39963526030998586</v>
      </c>
      <c r="E298" s="20">
        <f t="shared" ca="1" si="19"/>
        <v>0.39963526030998586</v>
      </c>
    </row>
    <row r="299" spans="1:5" x14ac:dyDescent="0.15">
      <c r="A299" s="15">
        <v>263</v>
      </c>
      <c r="B299" s="19">
        <f t="shared" ca="1" si="16"/>
        <v>0.19275339636029099</v>
      </c>
      <c r="C299" s="20">
        <f t="shared" ca="1" si="18"/>
        <v>0.19275339636029099</v>
      </c>
      <c r="D299" s="19">
        <f t="shared" ca="1" si="17"/>
        <v>0.80724660363970901</v>
      </c>
      <c r="E299" s="20">
        <f t="shared" ca="1" si="19"/>
        <v>1.807246603639709</v>
      </c>
    </row>
    <row r="300" spans="1:5" x14ac:dyDescent="0.15">
      <c r="A300" s="15">
        <v>264</v>
      </c>
      <c r="B300" s="19">
        <f t="shared" ca="1" si="16"/>
        <v>0.65689020304009937</v>
      </c>
      <c r="C300" s="20">
        <f t="shared" ca="1" si="18"/>
        <v>1.6568902030400994</v>
      </c>
      <c r="D300" s="19">
        <f t="shared" ca="1" si="17"/>
        <v>0.34310979695990063</v>
      </c>
      <c r="E300" s="20">
        <f t="shared" ca="1" si="19"/>
        <v>0.34310979695990063</v>
      </c>
    </row>
    <row r="301" spans="1:5" x14ac:dyDescent="0.15">
      <c r="A301" s="15">
        <v>265</v>
      </c>
      <c r="B301" s="19">
        <f t="shared" ca="1" si="16"/>
        <v>0.13749140278973671</v>
      </c>
      <c r="C301" s="20">
        <f t="shared" ca="1" si="18"/>
        <v>0.13749140278973671</v>
      </c>
      <c r="D301" s="19">
        <f t="shared" ca="1" si="17"/>
        <v>0.86250859721026329</v>
      </c>
      <c r="E301" s="20">
        <f t="shared" ca="1" si="19"/>
        <v>1.8625085972102633</v>
      </c>
    </row>
    <row r="302" spans="1:5" x14ac:dyDescent="0.15">
      <c r="A302" s="15">
        <v>266</v>
      </c>
      <c r="B302" s="19">
        <f t="shared" ca="1" si="16"/>
        <v>0.82047115425416739</v>
      </c>
      <c r="C302" s="20">
        <f t="shared" ca="1" si="18"/>
        <v>1.8204711542541674</v>
      </c>
      <c r="D302" s="19">
        <f t="shared" ca="1" si="17"/>
        <v>0.17952884574583261</v>
      </c>
      <c r="E302" s="20">
        <f t="shared" ca="1" si="19"/>
        <v>0.17952884574583261</v>
      </c>
    </row>
    <row r="303" spans="1:5" x14ac:dyDescent="0.15">
      <c r="A303" s="15">
        <v>267</v>
      </c>
      <c r="B303" s="19">
        <f t="shared" ca="1" si="16"/>
        <v>0.48361333435479203</v>
      </c>
      <c r="C303" s="20">
        <f t="shared" ca="1" si="18"/>
        <v>1.4836133343547919</v>
      </c>
      <c r="D303" s="19">
        <f t="shared" ca="1" si="17"/>
        <v>0.51638666564520797</v>
      </c>
      <c r="E303" s="20">
        <f t="shared" ca="1" si="19"/>
        <v>1.5163866656452081</v>
      </c>
    </row>
    <row r="304" spans="1:5" x14ac:dyDescent="0.15">
      <c r="A304" s="15">
        <v>268</v>
      </c>
      <c r="B304" s="19">
        <f t="shared" ca="1" si="16"/>
        <v>0.60450079578857174</v>
      </c>
      <c r="C304" s="20">
        <f t="shared" ca="1" si="18"/>
        <v>1.6045007957885717</v>
      </c>
      <c r="D304" s="19">
        <f t="shared" ca="1" si="17"/>
        <v>0.39549920421142826</v>
      </c>
      <c r="E304" s="20">
        <f t="shared" ca="1" si="19"/>
        <v>0.39549920421142826</v>
      </c>
    </row>
    <row r="305" spans="1:5" x14ac:dyDescent="0.15">
      <c r="A305" s="15">
        <v>269</v>
      </c>
      <c r="B305" s="19">
        <f t="shared" ca="1" si="16"/>
        <v>0.15097108241497104</v>
      </c>
      <c r="C305" s="20">
        <f t="shared" ca="1" si="18"/>
        <v>0.15097108241497104</v>
      </c>
      <c r="D305" s="19">
        <f t="shared" ca="1" si="17"/>
        <v>0.84902891758502896</v>
      </c>
      <c r="E305" s="20">
        <f t="shared" ca="1" si="19"/>
        <v>1.849028917585029</v>
      </c>
    </row>
    <row r="306" spans="1:5" x14ac:dyDescent="0.15">
      <c r="A306" s="15">
        <v>270</v>
      </c>
      <c r="B306" s="19">
        <f t="shared" ca="1" si="16"/>
        <v>0.43162928314912685</v>
      </c>
      <c r="C306" s="20">
        <f t="shared" ca="1" si="18"/>
        <v>1.4316292831491269</v>
      </c>
      <c r="D306" s="19">
        <f t="shared" ca="1" si="17"/>
        <v>0.56837071685087315</v>
      </c>
      <c r="E306" s="20">
        <f t="shared" ca="1" si="19"/>
        <v>1.5683707168508731</v>
      </c>
    </row>
    <row r="307" spans="1:5" x14ac:dyDescent="0.15">
      <c r="A307" s="15">
        <v>271</v>
      </c>
      <c r="B307" s="19">
        <f t="shared" ca="1" si="16"/>
        <v>0.49435946022299393</v>
      </c>
      <c r="C307" s="20">
        <f t="shared" ca="1" si="18"/>
        <v>1.4943594602229939</v>
      </c>
      <c r="D307" s="19">
        <f t="shared" ca="1" si="17"/>
        <v>0.50564053977700607</v>
      </c>
      <c r="E307" s="20">
        <f t="shared" ca="1" si="19"/>
        <v>1.5056405397770061</v>
      </c>
    </row>
    <row r="308" spans="1:5" x14ac:dyDescent="0.15">
      <c r="A308" s="15">
        <v>272</v>
      </c>
      <c r="B308" s="19">
        <f t="shared" ca="1" si="16"/>
        <v>0.59944676521121054</v>
      </c>
      <c r="C308" s="20">
        <f t="shared" ca="1" si="18"/>
        <v>1.5994467652112105</v>
      </c>
      <c r="D308" s="19">
        <f t="shared" ca="1" si="17"/>
        <v>0.40055323478878946</v>
      </c>
      <c r="E308" s="20">
        <f t="shared" ca="1" si="19"/>
        <v>1.4005532347887895</v>
      </c>
    </row>
    <row r="309" spans="1:5" x14ac:dyDescent="0.15">
      <c r="A309" s="15">
        <v>273</v>
      </c>
      <c r="B309" s="19">
        <f t="shared" ca="1" si="16"/>
        <v>0.88782858830489764</v>
      </c>
      <c r="C309" s="20">
        <f t="shared" ca="1" si="18"/>
        <v>1.8878285883048975</v>
      </c>
      <c r="D309" s="19">
        <f t="shared" ca="1" si="17"/>
        <v>0.11217141169510236</v>
      </c>
      <c r="E309" s="20">
        <f t="shared" ca="1" si="19"/>
        <v>0.11217141169510236</v>
      </c>
    </row>
    <row r="310" spans="1:5" x14ac:dyDescent="0.15">
      <c r="A310" s="15">
        <v>274</v>
      </c>
      <c r="B310" s="19">
        <f t="shared" ca="1" si="16"/>
        <v>0.5944042731553868</v>
      </c>
      <c r="C310" s="20">
        <f t="shared" ca="1" si="18"/>
        <v>1.5944042731553867</v>
      </c>
      <c r="D310" s="19">
        <f t="shared" ca="1" si="17"/>
        <v>0.4055957268446132</v>
      </c>
      <c r="E310" s="20">
        <f t="shared" ca="1" si="19"/>
        <v>1.4055957268446133</v>
      </c>
    </row>
    <row r="311" spans="1:5" x14ac:dyDescent="0.15">
      <c r="A311" s="15">
        <v>275</v>
      </c>
      <c r="B311" s="19">
        <f t="shared" ca="1" si="16"/>
        <v>1.7573249328421969E-3</v>
      </c>
      <c r="C311" s="20">
        <f t="shared" ca="1" si="18"/>
        <v>1.7573249328421969E-3</v>
      </c>
      <c r="D311" s="19">
        <f t="shared" ca="1" si="17"/>
        <v>0.9982426750671578</v>
      </c>
      <c r="E311" s="20">
        <f t="shared" ca="1" si="19"/>
        <v>1.9982426750671578</v>
      </c>
    </row>
    <row r="312" spans="1:5" x14ac:dyDescent="0.15">
      <c r="A312" s="15">
        <v>276</v>
      </c>
      <c r="B312" s="19">
        <f t="shared" ca="1" si="16"/>
        <v>0.16089607189721844</v>
      </c>
      <c r="C312" s="20">
        <f t="shared" ca="1" si="18"/>
        <v>0.16089607189721844</v>
      </c>
      <c r="D312" s="19">
        <f t="shared" ca="1" si="17"/>
        <v>0.83910392810278156</v>
      </c>
      <c r="E312" s="20">
        <f t="shared" ca="1" si="19"/>
        <v>1.8391039281027814</v>
      </c>
    </row>
    <row r="313" spans="1:5" x14ac:dyDescent="0.15">
      <c r="A313" s="15">
        <v>277</v>
      </c>
      <c r="B313" s="19">
        <f t="shared" ca="1" si="16"/>
        <v>0.40724306337991789</v>
      </c>
      <c r="C313" s="20">
        <f t="shared" ca="1" si="18"/>
        <v>1.407243063379918</v>
      </c>
      <c r="D313" s="19">
        <f t="shared" ca="1" si="17"/>
        <v>0.59275693662008211</v>
      </c>
      <c r="E313" s="20">
        <f t="shared" ca="1" si="19"/>
        <v>1.592756936620082</v>
      </c>
    </row>
    <row r="314" spans="1:5" x14ac:dyDescent="0.15">
      <c r="A314" s="15">
        <v>278</v>
      </c>
      <c r="B314" s="19">
        <f t="shared" ca="1" si="16"/>
        <v>0.13343769965709784</v>
      </c>
      <c r="C314" s="20">
        <f t="shared" ca="1" si="18"/>
        <v>0.13343769965709784</v>
      </c>
      <c r="D314" s="19">
        <f t="shared" ca="1" si="17"/>
        <v>0.86656230034290216</v>
      </c>
      <c r="E314" s="20">
        <f t="shared" ca="1" si="19"/>
        <v>1.8665623003429022</v>
      </c>
    </row>
    <row r="315" spans="1:5" x14ac:dyDescent="0.15">
      <c r="A315" s="15">
        <v>279</v>
      </c>
      <c r="B315" s="19">
        <f t="shared" ca="1" si="16"/>
        <v>0.26432422124453181</v>
      </c>
      <c r="C315" s="20">
        <f t="shared" ca="1" si="18"/>
        <v>0.26432422124453181</v>
      </c>
      <c r="D315" s="19">
        <f t="shared" ca="1" si="17"/>
        <v>0.73567577875546819</v>
      </c>
      <c r="E315" s="20">
        <f t="shared" ca="1" si="19"/>
        <v>1.7356757787554682</v>
      </c>
    </row>
    <row r="316" spans="1:5" x14ac:dyDescent="0.15">
      <c r="A316" s="15">
        <v>280</v>
      </c>
      <c r="B316" s="19">
        <f t="shared" ca="1" si="16"/>
        <v>8.7551436001342076E-2</v>
      </c>
      <c r="C316" s="20">
        <f t="shared" ca="1" si="18"/>
        <v>8.7551436001342076E-2</v>
      </c>
      <c r="D316" s="19">
        <f t="shared" ca="1" si="17"/>
        <v>0.91244856399865792</v>
      </c>
      <c r="E316" s="20">
        <f t="shared" ca="1" si="19"/>
        <v>1.9124485639986579</v>
      </c>
    </row>
    <row r="317" spans="1:5" x14ac:dyDescent="0.15">
      <c r="A317" s="15">
        <v>281</v>
      </c>
      <c r="B317" s="19">
        <f t="shared" ca="1" si="16"/>
        <v>0.9377449351333621</v>
      </c>
      <c r="C317" s="20">
        <f t="shared" ca="1" si="18"/>
        <v>1.9377449351333622</v>
      </c>
      <c r="D317" s="19">
        <f t="shared" ca="1" si="17"/>
        <v>6.2255064866637899E-2</v>
      </c>
      <c r="E317" s="20">
        <f t="shared" ca="1" si="19"/>
        <v>6.2255064866637899E-2</v>
      </c>
    </row>
    <row r="318" spans="1:5" x14ac:dyDescent="0.15">
      <c r="A318" s="15">
        <v>282</v>
      </c>
      <c r="B318" s="19">
        <f t="shared" ca="1" si="16"/>
        <v>0.4824863691195449</v>
      </c>
      <c r="C318" s="20">
        <f t="shared" ca="1" si="18"/>
        <v>1.4824863691195449</v>
      </c>
      <c r="D318" s="19">
        <f t="shared" ca="1" si="17"/>
        <v>0.5175136308804551</v>
      </c>
      <c r="E318" s="20">
        <f t="shared" ca="1" si="19"/>
        <v>1.5175136308804551</v>
      </c>
    </row>
    <row r="319" spans="1:5" x14ac:dyDescent="0.15">
      <c r="A319" s="15">
        <v>283</v>
      </c>
      <c r="B319" s="19">
        <f t="shared" ca="1" si="16"/>
        <v>0.45391648641062554</v>
      </c>
      <c r="C319" s="20">
        <f t="shared" ca="1" si="18"/>
        <v>1.4539164864106255</v>
      </c>
      <c r="D319" s="19">
        <f t="shared" ca="1" si="17"/>
        <v>0.54608351358937446</v>
      </c>
      <c r="E319" s="20">
        <f t="shared" ca="1" si="19"/>
        <v>1.5460835135893745</v>
      </c>
    </row>
    <row r="320" spans="1:5" x14ac:dyDescent="0.15">
      <c r="A320" s="15">
        <v>284</v>
      </c>
      <c r="B320" s="19">
        <f t="shared" ca="1" si="16"/>
        <v>0.81139149483554518</v>
      </c>
      <c r="C320" s="20">
        <f t="shared" ca="1" si="18"/>
        <v>1.8113914948355452</v>
      </c>
      <c r="D320" s="19">
        <f t="shared" ca="1" si="17"/>
        <v>0.18860850516445482</v>
      </c>
      <c r="E320" s="20">
        <f t="shared" ca="1" si="19"/>
        <v>0.18860850516445482</v>
      </c>
    </row>
    <row r="321" spans="1:5" x14ac:dyDescent="0.15">
      <c r="A321" s="15">
        <v>285</v>
      </c>
      <c r="B321" s="19">
        <f t="shared" ca="1" si="16"/>
        <v>0.9099093673777181</v>
      </c>
      <c r="C321" s="20">
        <f t="shared" ca="1" si="18"/>
        <v>1.9099093673777181</v>
      </c>
      <c r="D321" s="19">
        <f t="shared" ca="1" si="17"/>
        <v>9.0090632622281897E-2</v>
      </c>
      <c r="E321" s="20">
        <f t="shared" ca="1" si="19"/>
        <v>9.0090632622281897E-2</v>
      </c>
    </row>
    <row r="322" spans="1:5" x14ac:dyDescent="0.15">
      <c r="A322" s="15">
        <v>286</v>
      </c>
      <c r="B322" s="19">
        <f t="shared" ca="1" si="16"/>
        <v>0.65128881947733686</v>
      </c>
      <c r="C322" s="20">
        <f t="shared" ca="1" si="18"/>
        <v>1.6512888194773367</v>
      </c>
      <c r="D322" s="19">
        <f t="shared" ca="1" si="17"/>
        <v>0.34871118052266314</v>
      </c>
      <c r="E322" s="20">
        <f t="shared" ca="1" si="19"/>
        <v>0.34871118052266314</v>
      </c>
    </row>
    <row r="323" spans="1:5" x14ac:dyDescent="0.15">
      <c r="A323" s="15">
        <v>287</v>
      </c>
      <c r="B323" s="19">
        <f t="shared" ca="1" si="16"/>
        <v>0.41925822015139869</v>
      </c>
      <c r="C323" s="20">
        <f t="shared" ca="1" si="18"/>
        <v>1.4192582201513986</v>
      </c>
      <c r="D323" s="19">
        <f t="shared" ca="1" si="17"/>
        <v>0.58074177984860131</v>
      </c>
      <c r="E323" s="20">
        <f t="shared" ca="1" si="19"/>
        <v>1.5807417798486014</v>
      </c>
    </row>
    <row r="324" spans="1:5" x14ac:dyDescent="0.15">
      <c r="A324" s="15">
        <v>288</v>
      </c>
      <c r="B324" s="19">
        <f t="shared" ca="1" si="16"/>
        <v>0.30481688366559723</v>
      </c>
      <c r="C324" s="20">
        <f t="shared" ca="1" si="18"/>
        <v>0.30481688366559723</v>
      </c>
      <c r="D324" s="19">
        <f t="shared" ca="1" si="17"/>
        <v>0.69518311633440277</v>
      </c>
      <c r="E324" s="20">
        <f t="shared" ca="1" si="19"/>
        <v>1.6951831163344027</v>
      </c>
    </row>
    <row r="325" spans="1:5" x14ac:dyDescent="0.15">
      <c r="A325" s="15">
        <v>289</v>
      </c>
      <c r="B325" s="19">
        <f t="shared" ca="1" si="16"/>
        <v>0.27245215530573041</v>
      </c>
      <c r="C325" s="20">
        <f t="shared" ca="1" si="18"/>
        <v>0.27245215530573041</v>
      </c>
      <c r="D325" s="19">
        <f t="shared" ca="1" si="17"/>
        <v>0.72754784469426959</v>
      </c>
      <c r="E325" s="20">
        <f t="shared" ca="1" si="19"/>
        <v>1.7275478446942696</v>
      </c>
    </row>
    <row r="326" spans="1:5" x14ac:dyDescent="0.15">
      <c r="A326" s="15">
        <v>290</v>
      </c>
      <c r="B326" s="19">
        <f t="shared" ca="1" si="16"/>
        <v>0.51547076581519879</v>
      </c>
      <c r="C326" s="20">
        <f t="shared" ca="1" si="18"/>
        <v>1.5154707658151989</v>
      </c>
      <c r="D326" s="19">
        <f t="shared" ca="1" si="17"/>
        <v>0.48452923418480121</v>
      </c>
      <c r="E326" s="20">
        <f t="shared" ca="1" si="19"/>
        <v>1.4845292341848011</v>
      </c>
    </row>
    <row r="327" spans="1:5" x14ac:dyDescent="0.15">
      <c r="A327" s="15">
        <v>291</v>
      </c>
      <c r="B327" s="19">
        <f t="shared" ca="1" si="16"/>
        <v>0.85735624465868387</v>
      </c>
      <c r="C327" s="20">
        <f t="shared" ca="1" si="18"/>
        <v>1.8573562446586838</v>
      </c>
      <c r="D327" s="19">
        <f t="shared" ca="1" si="17"/>
        <v>0.14264375534131613</v>
      </c>
      <c r="E327" s="20">
        <f t="shared" ca="1" si="19"/>
        <v>0.14264375534131613</v>
      </c>
    </row>
    <row r="328" spans="1:5" x14ac:dyDescent="0.15">
      <c r="A328" s="15">
        <v>292</v>
      </c>
      <c r="B328" s="19">
        <f t="shared" ca="1" si="16"/>
        <v>0.63861855308811366</v>
      </c>
      <c r="C328" s="20">
        <f t="shared" ca="1" si="18"/>
        <v>1.6386185530881137</v>
      </c>
      <c r="D328" s="19">
        <f t="shared" ca="1" si="17"/>
        <v>0.36138144691188634</v>
      </c>
      <c r="E328" s="20">
        <f t="shared" ca="1" si="19"/>
        <v>0.36138144691188634</v>
      </c>
    </row>
    <row r="329" spans="1:5" x14ac:dyDescent="0.15">
      <c r="A329" s="15">
        <v>293</v>
      </c>
      <c r="B329" s="19">
        <f t="shared" ca="1" si="16"/>
        <v>0.5731147710355996</v>
      </c>
      <c r="C329" s="20">
        <f t="shared" ca="1" si="18"/>
        <v>1.5731147710355997</v>
      </c>
      <c r="D329" s="19">
        <f t="shared" ca="1" si="17"/>
        <v>0.4268852289644004</v>
      </c>
      <c r="E329" s="20">
        <f t="shared" ca="1" si="19"/>
        <v>1.4268852289644003</v>
      </c>
    </row>
    <row r="330" spans="1:5" x14ac:dyDescent="0.15">
      <c r="A330" s="15">
        <v>294</v>
      </c>
      <c r="B330" s="19">
        <f t="shared" ca="1" si="16"/>
        <v>0.33383421012712955</v>
      </c>
      <c r="C330" s="20">
        <f t="shared" ca="1" si="18"/>
        <v>0.33383421012712955</v>
      </c>
      <c r="D330" s="19">
        <f t="shared" ca="1" si="17"/>
        <v>0.66616578987287045</v>
      </c>
      <c r="E330" s="20">
        <f t="shared" ca="1" si="19"/>
        <v>1.6661657898728706</v>
      </c>
    </row>
    <row r="331" spans="1:5" x14ac:dyDescent="0.15">
      <c r="A331" s="15">
        <v>295</v>
      </c>
      <c r="B331" s="19">
        <f t="shared" ca="1" si="16"/>
        <v>6.4616953558958579E-2</v>
      </c>
      <c r="C331" s="20">
        <f t="shared" ca="1" si="18"/>
        <v>6.4616953558958579E-2</v>
      </c>
      <c r="D331" s="19">
        <f t="shared" ca="1" si="17"/>
        <v>0.93538304644104142</v>
      </c>
      <c r="E331" s="20">
        <f t="shared" ca="1" si="19"/>
        <v>1.9353830464410415</v>
      </c>
    </row>
    <row r="332" spans="1:5" x14ac:dyDescent="0.15">
      <c r="A332" s="15">
        <v>296</v>
      </c>
      <c r="B332" s="19">
        <f t="shared" ca="1" si="16"/>
        <v>0.69034125009449909</v>
      </c>
      <c r="C332" s="20">
        <f t="shared" ca="1" si="18"/>
        <v>1.690341250094499</v>
      </c>
      <c r="D332" s="19">
        <f t="shared" ca="1" si="17"/>
        <v>0.30965874990550091</v>
      </c>
      <c r="E332" s="20">
        <f t="shared" ca="1" si="19"/>
        <v>0.30965874990550091</v>
      </c>
    </row>
    <row r="333" spans="1:5" x14ac:dyDescent="0.15">
      <c r="A333" s="15">
        <v>297</v>
      </c>
      <c r="B333" s="19">
        <f t="shared" ca="1" si="16"/>
        <v>0.35944622331267539</v>
      </c>
      <c r="C333" s="20">
        <f t="shared" ca="1" si="18"/>
        <v>0.35944622331267539</v>
      </c>
      <c r="D333" s="19">
        <f t="shared" ca="1" si="17"/>
        <v>0.64055377668732461</v>
      </c>
      <c r="E333" s="20">
        <f t="shared" ca="1" si="19"/>
        <v>1.6405537766873246</v>
      </c>
    </row>
    <row r="334" spans="1:5" x14ac:dyDescent="0.15">
      <c r="A334" s="15">
        <v>298</v>
      </c>
      <c r="B334" s="19">
        <f t="shared" ca="1" si="16"/>
        <v>0.68829047464287041</v>
      </c>
      <c r="C334" s="20">
        <f t="shared" ca="1" si="18"/>
        <v>1.6882904746428704</v>
      </c>
      <c r="D334" s="19">
        <f t="shared" ca="1" si="17"/>
        <v>0.31170952535712959</v>
      </c>
      <c r="E334" s="20">
        <f t="shared" ca="1" si="19"/>
        <v>0.31170952535712959</v>
      </c>
    </row>
    <row r="335" spans="1:5" x14ac:dyDescent="0.15">
      <c r="A335" s="15">
        <v>299</v>
      </c>
      <c r="B335" s="19">
        <f t="shared" ca="1" si="16"/>
        <v>0.418278537280527</v>
      </c>
      <c r="C335" s="20">
        <f t="shared" ca="1" si="18"/>
        <v>1.4182785372805271</v>
      </c>
      <c r="D335" s="19">
        <f t="shared" ca="1" si="17"/>
        <v>0.581721462719473</v>
      </c>
      <c r="E335" s="20">
        <f t="shared" ca="1" si="19"/>
        <v>1.5817214627194729</v>
      </c>
    </row>
    <row r="336" spans="1:5" x14ac:dyDescent="0.15">
      <c r="A336" s="15">
        <v>300</v>
      </c>
      <c r="B336" s="19">
        <f t="shared" ca="1" si="16"/>
        <v>0.72305264619356391</v>
      </c>
      <c r="C336" s="20">
        <f t="shared" ca="1" si="18"/>
        <v>1.723052646193564</v>
      </c>
      <c r="D336" s="19">
        <f t="shared" ca="1" si="17"/>
        <v>0.27694735380643609</v>
      </c>
      <c r="E336" s="20">
        <f t="shared" ca="1" si="19"/>
        <v>0.27694735380643609</v>
      </c>
    </row>
  </sheetData>
  <phoneticPr fontId="1"/>
  <printOptions headings="1" gridLines="1"/>
  <pageMargins left="0.75" right="0.75" top="1" bottom="1" header="0.5" footer="0.5"/>
  <pageSetup paperSize="0" orientation="portrait" horizontalDpi="4294967292" verticalDpi="4294967292"/>
  <headerFooter alignWithMargins="0"/>
  <ignoredErrors>
    <ignoredError sqref="D37:D336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20C30-99DD-B141-929C-DCDA57608A74}">
  <dimension ref="A1"/>
  <sheetViews>
    <sheetView zoomScale="159" workbookViewId="0">
      <selection activeCell="E23" sqref="E23"/>
    </sheetView>
  </sheetViews>
  <sheetFormatPr baseColWidth="10" defaultRowHeight="13" x14ac:dyDescent="0.2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511"/>
  <sheetViews>
    <sheetView zoomScale="150" zoomScaleNormal="150" workbookViewId="0">
      <selection activeCell="J17" sqref="J17"/>
    </sheetView>
  </sheetViews>
  <sheetFormatPr baseColWidth="10" defaultColWidth="10.83203125" defaultRowHeight="14" x14ac:dyDescent="0.2"/>
  <cols>
    <col min="1" max="1" width="13" style="1" customWidth="1"/>
    <col min="2" max="2" width="18.6640625" style="1" customWidth="1"/>
    <col min="3" max="4" width="12.1640625" style="1" bestFit="1" customWidth="1"/>
    <col min="5" max="5" width="14.83203125" style="1" customWidth="1"/>
    <col min="6" max="6" width="12.1640625" style="1" bestFit="1" customWidth="1"/>
    <col min="7" max="8" width="10.83203125" style="1" customWidth="1"/>
    <col min="9" max="9" width="5.83203125" style="5" customWidth="1"/>
    <col min="10" max="11" width="10.83203125" style="5"/>
    <col min="12" max="12" width="13.6640625" style="5" customWidth="1"/>
    <col min="13" max="16384" width="10.83203125" style="5"/>
  </cols>
  <sheetData>
    <row r="1" spans="1:12" x14ac:dyDescent="0.2">
      <c r="A1" s="126" t="s">
        <v>115</v>
      </c>
    </row>
    <row r="2" spans="1:12" x14ac:dyDescent="0.2">
      <c r="B2" s="11" t="s">
        <v>29</v>
      </c>
      <c r="C2" s="24">
        <v>5</v>
      </c>
      <c r="D2" s="14" t="s">
        <v>116</v>
      </c>
      <c r="G2" s="5"/>
    </row>
    <row r="3" spans="1:12" x14ac:dyDescent="0.2">
      <c r="B3" s="11" t="s">
        <v>31</v>
      </c>
      <c r="C3" s="36">
        <v>2</v>
      </c>
      <c r="D3" s="14"/>
    </row>
    <row r="4" spans="1:12" x14ac:dyDescent="0.2">
      <c r="B4" s="11" t="s">
        <v>32</v>
      </c>
      <c r="C4" s="36">
        <v>4</v>
      </c>
      <c r="D4" s="14" t="s">
        <v>117</v>
      </c>
    </row>
    <row r="5" spans="1:12" ht="15" thickBot="1" x14ac:dyDescent="0.25"/>
    <row r="6" spans="1:12" x14ac:dyDescent="0.2">
      <c r="C6" s="11" t="s">
        <v>33</v>
      </c>
      <c r="D6" s="25">
        <f ca="1">AVERAGE(G12:G111)</f>
        <v>19.827903674281046</v>
      </c>
      <c r="E6" s="14" t="s">
        <v>30</v>
      </c>
      <c r="G6" s="5"/>
    </row>
    <row r="7" spans="1:12" ht="15" thickBot="1" x14ac:dyDescent="0.25">
      <c r="C7" s="11" t="s">
        <v>34</v>
      </c>
      <c r="D7" s="26">
        <f ca="1">AVERAGE(H12:H111)</f>
        <v>23.826744318816086</v>
      </c>
      <c r="E7" s="14" t="s">
        <v>30</v>
      </c>
    </row>
    <row r="9" spans="1:12" x14ac:dyDescent="0.2">
      <c r="B9" s="2" t="s">
        <v>36</v>
      </c>
      <c r="C9" s="1" t="s">
        <v>28</v>
      </c>
      <c r="D9" s="1" t="s">
        <v>28</v>
      </c>
      <c r="E9" s="1" t="s">
        <v>27</v>
      </c>
      <c r="F9" s="6" t="s">
        <v>28</v>
      </c>
      <c r="G9" s="1" t="s">
        <v>28</v>
      </c>
      <c r="H9" s="1" t="s">
        <v>28</v>
      </c>
    </row>
    <row r="10" spans="1:12" x14ac:dyDescent="0.2">
      <c r="A10" s="1" t="s">
        <v>35</v>
      </c>
      <c r="B10" s="2" t="s">
        <v>28</v>
      </c>
      <c r="C10" s="1" t="s">
        <v>37</v>
      </c>
      <c r="D10" s="1" t="s">
        <v>27</v>
      </c>
      <c r="E10" s="1" t="s">
        <v>28</v>
      </c>
      <c r="F10" s="6" t="s">
        <v>27</v>
      </c>
      <c r="G10" s="1" t="s">
        <v>38</v>
      </c>
      <c r="H10" s="1" t="s">
        <v>38</v>
      </c>
    </row>
    <row r="11" spans="1:12" ht="15" thickBot="1" x14ac:dyDescent="0.25">
      <c r="A11" s="3" t="s">
        <v>39</v>
      </c>
      <c r="B11" s="92" t="s">
        <v>97</v>
      </c>
      <c r="C11" s="3" t="s">
        <v>39</v>
      </c>
      <c r="D11" s="3" t="s">
        <v>40</v>
      </c>
      <c r="E11" s="93" t="s">
        <v>113</v>
      </c>
      <c r="F11" s="7" t="s">
        <v>41</v>
      </c>
      <c r="G11" s="3" t="s">
        <v>42</v>
      </c>
      <c r="H11" s="3" t="s">
        <v>43</v>
      </c>
    </row>
    <row r="12" spans="1:12" x14ac:dyDescent="0.2">
      <c r="A12" s="1">
        <v>1</v>
      </c>
      <c r="B12" s="27">
        <f ca="1">-$C$2*LN(RAND())</f>
        <v>10.950013531855094</v>
      </c>
      <c r="C12" s="23">
        <f ca="1">B12</f>
        <v>10.950013531855094</v>
      </c>
      <c r="D12" s="23">
        <f ca="1">C12</f>
        <v>10.950013531855094</v>
      </c>
      <c r="E12" s="23">
        <f ca="1">$C$4*2*RAND()</f>
        <v>4.36367219639701</v>
      </c>
      <c r="F12" s="28">
        <f t="shared" ref="F12:F43" ca="1" si="0">D12+E12</f>
        <v>15.313685728252104</v>
      </c>
      <c r="G12" s="23">
        <f t="shared" ref="G12:G43" ca="1" si="1">D12-C12</f>
        <v>0</v>
      </c>
      <c r="H12" s="23">
        <f ca="1">F12-D12</f>
        <v>4.36367219639701</v>
      </c>
    </row>
    <row r="13" spans="1:12" x14ac:dyDescent="0.2">
      <c r="A13" s="1">
        <v>2</v>
      </c>
      <c r="B13" s="27">
        <f t="shared" ref="B12:B43" ca="1" si="2">-$C$2*LN(RAND())</f>
        <v>14.962323689072841</v>
      </c>
      <c r="C13" s="23">
        <f t="shared" ref="C13:C44" ca="1" si="3">C12+B13</f>
        <v>25.912337220927935</v>
      </c>
      <c r="D13" s="23">
        <f t="shared" ref="D13:D44" ca="1" si="4">MAX(F12,C13)</f>
        <v>25.912337220927935</v>
      </c>
      <c r="E13" s="23">
        <f t="shared" ref="E13:E43" ca="1" si="5">$C$4*2*RAND()</f>
        <v>3.7693646835424266</v>
      </c>
      <c r="F13" s="28">
        <f t="shared" ca="1" si="0"/>
        <v>29.681701904470362</v>
      </c>
      <c r="G13" s="23">
        <f t="shared" ca="1" si="1"/>
        <v>0</v>
      </c>
      <c r="H13" s="23">
        <f t="shared" ref="H13:H43" ca="1" si="6">F13-C13</f>
        <v>3.7693646835424275</v>
      </c>
      <c r="J13" s="125" t="s">
        <v>57</v>
      </c>
      <c r="K13" s="125"/>
      <c r="L13" s="125"/>
    </row>
    <row r="14" spans="1:12" x14ac:dyDescent="0.2">
      <c r="A14" s="1">
        <v>3</v>
      </c>
      <c r="B14" s="27">
        <f t="shared" ca="1" si="2"/>
        <v>0.16975841008321968</v>
      </c>
      <c r="C14" s="23">
        <f t="shared" ca="1" si="3"/>
        <v>26.082095631011153</v>
      </c>
      <c r="D14" s="23">
        <f t="shared" ca="1" si="4"/>
        <v>29.681701904470362</v>
      </c>
      <c r="E14" s="23">
        <f t="shared" ca="1" si="5"/>
        <v>7.7579760552364796</v>
      </c>
      <c r="F14" s="28">
        <f t="shared" ca="1" si="0"/>
        <v>37.439677959706842</v>
      </c>
      <c r="G14" s="23">
        <f t="shared" ca="1" si="1"/>
        <v>3.5996062734592087</v>
      </c>
      <c r="H14" s="23">
        <f t="shared" ca="1" si="6"/>
        <v>11.357582328695688</v>
      </c>
    </row>
    <row r="15" spans="1:12" x14ac:dyDescent="0.2">
      <c r="A15" s="1">
        <v>4</v>
      </c>
      <c r="B15" s="27">
        <f t="shared" ca="1" si="2"/>
        <v>0.28801589563489483</v>
      </c>
      <c r="C15" s="23">
        <f t="shared" ca="1" si="3"/>
        <v>26.370111526646049</v>
      </c>
      <c r="D15" s="23">
        <f t="shared" ca="1" si="4"/>
        <v>37.439677959706842</v>
      </c>
      <c r="E15" s="23">
        <f t="shared" ca="1" si="5"/>
        <v>4.7511843316947608</v>
      </c>
      <c r="F15" s="28">
        <f t="shared" ca="1" si="0"/>
        <v>42.190862291401601</v>
      </c>
      <c r="G15" s="23">
        <f t="shared" ca="1" si="1"/>
        <v>11.069566433060793</v>
      </c>
      <c r="H15" s="23">
        <f t="shared" ca="1" si="6"/>
        <v>15.820750764755552</v>
      </c>
    </row>
    <row r="16" spans="1:12" x14ac:dyDescent="0.2">
      <c r="A16" s="1">
        <v>5</v>
      </c>
      <c r="B16" s="27">
        <f t="shared" ca="1" si="2"/>
        <v>0.30049433602149911</v>
      </c>
      <c r="C16" s="23">
        <f t="shared" ca="1" si="3"/>
        <v>26.67060586266755</v>
      </c>
      <c r="D16" s="23">
        <f t="shared" ca="1" si="4"/>
        <v>42.190862291401601</v>
      </c>
      <c r="E16" s="23">
        <f t="shared" ca="1" si="5"/>
        <v>1.0134650830878522</v>
      </c>
      <c r="F16" s="28">
        <f t="shared" ca="1" si="0"/>
        <v>43.204327374489452</v>
      </c>
      <c r="G16" s="23">
        <f t="shared" ca="1" si="1"/>
        <v>15.520256428734051</v>
      </c>
      <c r="H16" s="23">
        <f t="shared" ca="1" si="6"/>
        <v>16.533721511821902</v>
      </c>
    </row>
    <row r="17" spans="1:8" x14ac:dyDescent="0.2">
      <c r="A17" s="1">
        <v>6</v>
      </c>
      <c r="B17" s="27">
        <f t="shared" ca="1" si="2"/>
        <v>0.8460537940158035</v>
      </c>
      <c r="C17" s="23">
        <f t="shared" ca="1" si="3"/>
        <v>27.516659656683352</v>
      </c>
      <c r="D17" s="23">
        <f t="shared" ca="1" si="4"/>
        <v>43.204327374489452</v>
      </c>
      <c r="E17" s="23">
        <f t="shared" ca="1" si="5"/>
        <v>2.7264631884862096</v>
      </c>
      <c r="F17" s="28">
        <f t="shared" ca="1" si="0"/>
        <v>45.930790562975659</v>
      </c>
      <c r="G17" s="23">
        <f t="shared" ca="1" si="1"/>
        <v>15.6876677178061</v>
      </c>
      <c r="H17" s="23">
        <f t="shared" ca="1" si="6"/>
        <v>18.414130906292307</v>
      </c>
    </row>
    <row r="18" spans="1:8" x14ac:dyDescent="0.2">
      <c r="A18" s="1">
        <v>7</v>
      </c>
      <c r="B18" s="27">
        <f t="shared" ca="1" si="2"/>
        <v>2.825590386934989</v>
      </c>
      <c r="C18" s="23">
        <f t="shared" ca="1" si="3"/>
        <v>30.342250043618343</v>
      </c>
      <c r="D18" s="23">
        <f t="shared" ca="1" si="4"/>
        <v>45.930790562975659</v>
      </c>
      <c r="E18" s="23">
        <f t="shared" ca="1" si="5"/>
        <v>6.4039368741793279</v>
      </c>
      <c r="F18" s="28">
        <f t="shared" ca="1" si="0"/>
        <v>52.334727437154989</v>
      </c>
      <c r="G18" s="23">
        <f t="shared" ca="1" si="1"/>
        <v>15.588540519357316</v>
      </c>
      <c r="H18" s="23">
        <f t="shared" ca="1" si="6"/>
        <v>21.992477393536646</v>
      </c>
    </row>
    <row r="19" spans="1:8" x14ac:dyDescent="0.2">
      <c r="A19" s="1">
        <v>8</v>
      </c>
      <c r="B19" s="27">
        <f t="shared" ca="1" si="2"/>
        <v>2.18569055408308</v>
      </c>
      <c r="C19" s="23">
        <f t="shared" ca="1" si="3"/>
        <v>32.527940597701424</v>
      </c>
      <c r="D19" s="23">
        <f t="shared" ca="1" si="4"/>
        <v>52.334727437154989</v>
      </c>
      <c r="E19" s="23">
        <f t="shared" ca="1" si="5"/>
        <v>6.2973390486786762</v>
      </c>
      <c r="F19" s="28">
        <f t="shared" ca="1" si="0"/>
        <v>58.632066485833661</v>
      </c>
      <c r="G19" s="23">
        <f t="shared" ca="1" si="1"/>
        <v>19.806786839453565</v>
      </c>
      <c r="H19" s="23">
        <f t="shared" ca="1" si="6"/>
        <v>26.104125888132238</v>
      </c>
    </row>
    <row r="20" spans="1:8" x14ac:dyDescent="0.2">
      <c r="A20" s="1">
        <v>9</v>
      </c>
      <c r="B20" s="27">
        <f t="shared" ca="1" si="2"/>
        <v>8.8946044054562279</v>
      </c>
      <c r="C20" s="23">
        <f t="shared" ca="1" si="3"/>
        <v>41.422545003157651</v>
      </c>
      <c r="D20" s="23">
        <f t="shared" ca="1" si="4"/>
        <v>58.632066485833661</v>
      </c>
      <c r="E20" s="23">
        <f t="shared" ca="1" si="5"/>
        <v>0.11259007396642939</v>
      </c>
      <c r="F20" s="28">
        <f t="shared" ca="1" si="0"/>
        <v>58.744656559800092</v>
      </c>
      <c r="G20" s="23">
        <f t="shared" ca="1" si="1"/>
        <v>17.20952148267601</v>
      </c>
      <c r="H20" s="23">
        <f t="shared" ca="1" si="6"/>
        <v>17.32211155664244</v>
      </c>
    </row>
    <row r="21" spans="1:8" x14ac:dyDescent="0.2">
      <c r="A21" s="1">
        <v>10</v>
      </c>
      <c r="B21" s="27">
        <f t="shared" ca="1" si="2"/>
        <v>2.5788795634292243</v>
      </c>
      <c r="C21" s="23">
        <f t="shared" ca="1" si="3"/>
        <v>44.001424566586877</v>
      </c>
      <c r="D21" s="23">
        <f t="shared" ca="1" si="4"/>
        <v>58.744656559800092</v>
      </c>
      <c r="E21" s="23">
        <f t="shared" ca="1" si="5"/>
        <v>5.4732108261554311</v>
      </c>
      <c r="F21" s="28">
        <f t="shared" ca="1" si="0"/>
        <v>64.217867385955529</v>
      </c>
      <c r="G21" s="23">
        <f t="shared" ca="1" si="1"/>
        <v>14.743231993213215</v>
      </c>
      <c r="H21" s="23">
        <f t="shared" ca="1" si="6"/>
        <v>20.216442819368652</v>
      </c>
    </row>
    <row r="22" spans="1:8" x14ac:dyDescent="0.2">
      <c r="A22" s="1">
        <v>11</v>
      </c>
      <c r="B22" s="27">
        <f t="shared" ca="1" si="2"/>
        <v>3.2478128950000338</v>
      </c>
      <c r="C22" s="23">
        <f t="shared" ca="1" si="3"/>
        <v>47.249237461586908</v>
      </c>
      <c r="D22" s="23">
        <f t="shared" ca="1" si="4"/>
        <v>64.217867385955529</v>
      </c>
      <c r="E22" s="23">
        <f t="shared" ca="1" si="5"/>
        <v>7.8728910458733203E-2</v>
      </c>
      <c r="F22" s="28">
        <f t="shared" ca="1" si="0"/>
        <v>64.296596296414265</v>
      </c>
      <c r="G22" s="23">
        <f t="shared" ca="1" si="1"/>
        <v>16.968629924368621</v>
      </c>
      <c r="H22" s="23">
        <f t="shared" ca="1" si="6"/>
        <v>17.047358834827357</v>
      </c>
    </row>
    <row r="23" spans="1:8" x14ac:dyDescent="0.2">
      <c r="A23" s="1">
        <v>12</v>
      </c>
      <c r="B23" s="27">
        <f t="shared" ca="1" si="2"/>
        <v>3.177386848288934</v>
      </c>
      <c r="C23" s="23">
        <f t="shared" ca="1" si="3"/>
        <v>50.426624309875841</v>
      </c>
      <c r="D23" s="23">
        <f t="shared" ca="1" si="4"/>
        <v>64.296596296414265</v>
      </c>
      <c r="E23" s="23">
        <f t="shared" ca="1" si="5"/>
        <v>4.1551836910093147</v>
      </c>
      <c r="F23" s="28">
        <f t="shared" ca="1" si="0"/>
        <v>68.451779987423578</v>
      </c>
      <c r="G23" s="23">
        <f t="shared" ca="1" si="1"/>
        <v>13.869971986538424</v>
      </c>
      <c r="H23" s="23">
        <f t="shared" ca="1" si="6"/>
        <v>18.025155677547737</v>
      </c>
    </row>
    <row r="24" spans="1:8" x14ac:dyDescent="0.2">
      <c r="A24" s="1">
        <v>13</v>
      </c>
      <c r="B24" s="27">
        <f t="shared" ca="1" si="2"/>
        <v>0.20750494688130605</v>
      </c>
      <c r="C24" s="23">
        <f t="shared" ca="1" si="3"/>
        <v>50.634129256757149</v>
      </c>
      <c r="D24" s="23">
        <f t="shared" ca="1" si="4"/>
        <v>68.451779987423578</v>
      </c>
      <c r="E24" s="23">
        <f t="shared" ca="1" si="5"/>
        <v>3.6578202005652969</v>
      </c>
      <c r="F24" s="28">
        <f t="shared" ca="1" si="0"/>
        <v>72.109600187988875</v>
      </c>
      <c r="G24" s="23">
        <f t="shared" ca="1" si="1"/>
        <v>17.817650730666429</v>
      </c>
      <c r="H24" s="23">
        <f t="shared" ca="1" si="6"/>
        <v>21.475470931231726</v>
      </c>
    </row>
    <row r="25" spans="1:8" x14ac:dyDescent="0.2">
      <c r="A25" s="1">
        <v>14</v>
      </c>
      <c r="B25" s="27">
        <f t="shared" ca="1" si="2"/>
        <v>7.4318055073765876</v>
      </c>
      <c r="C25" s="23">
        <f t="shared" ca="1" si="3"/>
        <v>58.065934764133736</v>
      </c>
      <c r="D25" s="23">
        <f t="shared" ca="1" si="4"/>
        <v>72.109600187988875</v>
      </c>
      <c r="E25" s="23">
        <f t="shared" ca="1" si="5"/>
        <v>2.487952006148527</v>
      </c>
      <c r="F25" s="28">
        <f t="shared" ca="1" si="0"/>
        <v>74.597552194137407</v>
      </c>
      <c r="G25" s="23">
        <f t="shared" ca="1" si="1"/>
        <v>14.043665423855138</v>
      </c>
      <c r="H25" s="23">
        <f t="shared" ca="1" si="6"/>
        <v>16.531617430003671</v>
      </c>
    </row>
    <row r="26" spans="1:8" x14ac:dyDescent="0.2">
      <c r="A26" s="1">
        <v>15</v>
      </c>
      <c r="B26" s="27">
        <f t="shared" ca="1" si="2"/>
        <v>3.5706854441986025</v>
      </c>
      <c r="C26" s="23">
        <f t="shared" ca="1" si="3"/>
        <v>61.636620208332339</v>
      </c>
      <c r="D26" s="23">
        <f t="shared" ca="1" si="4"/>
        <v>74.597552194137407</v>
      </c>
      <c r="E26" s="23">
        <f t="shared" ca="1" si="5"/>
        <v>0.80993608278519424</v>
      </c>
      <c r="F26" s="28">
        <f t="shared" ca="1" si="0"/>
        <v>75.407488276922606</v>
      </c>
      <c r="G26" s="23">
        <f t="shared" ca="1" si="1"/>
        <v>12.960931985805068</v>
      </c>
      <c r="H26" s="23">
        <f t="shared" ca="1" si="6"/>
        <v>13.770868068590268</v>
      </c>
    </row>
    <row r="27" spans="1:8" x14ac:dyDescent="0.2">
      <c r="A27" s="1">
        <v>16</v>
      </c>
      <c r="B27" s="27">
        <f t="shared" ca="1" si="2"/>
        <v>10.133628509335191</v>
      </c>
      <c r="C27" s="23">
        <f t="shared" ca="1" si="3"/>
        <v>71.770248717667528</v>
      </c>
      <c r="D27" s="23">
        <f t="shared" ca="1" si="4"/>
        <v>75.407488276922606</v>
      </c>
      <c r="E27" s="23">
        <f t="shared" ca="1" si="5"/>
        <v>1.7870873045993605</v>
      </c>
      <c r="F27" s="28">
        <f t="shared" ca="1" si="0"/>
        <v>77.194575581521974</v>
      </c>
      <c r="G27" s="23">
        <f t="shared" ca="1" si="1"/>
        <v>3.6372395592550788</v>
      </c>
      <c r="H27" s="23">
        <f t="shared" ca="1" si="6"/>
        <v>5.4243268638544464</v>
      </c>
    </row>
    <row r="28" spans="1:8" x14ac:dyDescent="0.2">
      <c r="A28" s="1">
        <v>17</v>
      </c>
      <c r="B28" s="27">
        <f t="shared" ca="1" si="2"/>
        <v>2.9436168265847602</v>
      </c>
      <c r="C28" s="23">
        <f t="shared" ca="1" si="3"/>
        <v>74.713865544252286</v>
      </c>
      <c r="D28" s="23">
        <f t="shared" ca="1" si="4"/>
        <v>77.194575581521974</v>
      </c>
      <c r="E28" s="23">
        <f t="shared" ca="1" si="5"/>
        <v>3.1746554191573475</v>
      </c>
      <c r="F28" s="28">
        <f t="shared" ca="1" si="0"/>
        <v>80.369231000679321</v>
      </c>
      <c r="G28" s="23">
        <f t="shared" ca="1" si="1"/>
        <v>2.480710037269688</v>
      </c>
      <c r="H28" s="23">
        <f t="shared" ca="1" si="6"/>
        <v>5.6553654564270346</v>
      </c>
    </row>
    <row r="29" spans="1:8" x14ac:dyDescent="0.2">
      <c r="A29" s="1">
        <v>18</v>
      </c>
      <c r="B29" s="27">
        <f t="shared" ca="1" si="2"/>
        <v>9.6560376943095783</v>
      </c>
      <c r="C29" s="23">
        <f t="shared" ca="1" si="3"/>
        <v>84.369903238561861</v>
      </c>
      <c r="D29" s="23">
        <f t="shared" ca="1" si="4"/>
        <v>84.369903238561861</v>
      </c>
      <c r="E29" s="23">
        <f t="shared" ca="1" si="5"/>
        <v>1.25478415098803</v>
      </c>
      <c r="F29" s="28">
        <f t="shared" ca="1" si="0"/>
        <v>85.624687389549891</v>
      </c>
      <c r="G29" s="23">
        <f t="shared" ca="1" si="1"/>
        <v>0</v>
      </c>
      <c r="H29" s="23">
        <f t="shared" ca="1" si="6"/>
        <v>1.25478415098803</v>
      </c>
    </row>
    <row r="30" spans="1:8" x14ac:dyDescent="0.2">
      <c r="A30" s="1">
        <v>19</v>
      </c>
      <c r="B30" s="27">
        <f t="shared" ca="1" si="2"/>
        <v>3.7826311817247706</v>
      </c>
      <c r="C30" s="23">
        <f t="shared" ca="1" si="3"/>
        <v>88.152534420286628</v>
      </c>
      <c r="D30" s="23">
        <f t="shared" ca="1" si="4"/>
        <v>88.152534420286628</v>
      </c>
      <c r="E30" s="23">
        <f t="shared" ca="1" si="5"/>
        <v>7.0257990155602643</v>
      </c>
      <c r="F30" s="28">
        <f t="shared" ca="1" si="0"/>
        <v>95.178333435846895</v>
      </c>
      <c r="G30" s="23">
        <f t="shared" ca="1" si="1"/>
        <v>0</v>
      </c>
      <c r="H30" s="23">
        <f t="shared" ca="1" si="6"/>
        <v>7.025799015560267</v>
      </c>
    </row>
    <row r="31" spans="1:8" x14ac:dyDescent="0.2">
      <c r="A31" s="1">
        <v>20</v>
      </c>
      <c r="B31" s="27">
        <f t="shared" ca="1" si="2"/>
        <v>2.8879486146511404</v>
      </c>
      <c r="C31" s="23">
        <f t="shared" ca="1" si="3"/>
        <v>91.040483034937765</v>
      </c>
      <c r="D31" s="23">
        <f t="shared" ca="1" si="4"/>
        <v>95.178333435846895</v>
      </c>
      <c r="E31" s="23">
        <f t="shared" ca="1" si="5"/>
        <v>0.32420174747630082</v>
      </c>
      <c r="F31" s="28">
        <f t="shared" ca="1" si="0"/>
        <v>95.502535183323189</v>
      </c>
      <c r="G31" s="23">
        <f t="shared" ca="1" si="1"/>
        <v>4.1378504009091301</v>
      </c>
      <c r="H31" s="23">
        <f t="shared" ca="1" si="6"/>
        <v>4.4620521483854247</v>
      </c>
    </row>
    <row r="32" spans="1:8" x14ac:dyDescent="0.2">
      <c r="A32" s="1">
        <v>21</v>
      </c>
      <c r="B32" s="27">
        <f t="shared" ca="1" si="2"/>
        <v>0.5326795965233404</v>
      </c>
      <c r="C32" s="23">
        <f t="shared" ca="1" si="3"/>
        <v>91.573162631461102</v>
      </c>
      <c r="D32" s="23">
        <f t="shared" ca="1" si="4"/>
        <v>95.502535183323189</v>
      </c>
      <c r="E32" s="23">
        <f t="shared" ca="1" si="5"/>
        <v>5.6400993306906297</v>
      </c>
      <c r="F32" s="28">
        <f t="shared" ca="1" si="0"/>
        <v>101.14263451401382</v>
      </c>
      <c r="G32" s="23">
        <f t="shared" ca="1" si="1"/>
        <v>3.9293725518620874</v>
      </c>
      <c r="H32" s="23">
        <f t="shared" ca="1" si="6"/>
        <v>9.569471882552719</v>
      </c>
    </row>
    <row r="33" spans="1:8" x14ac:dyDescent="0.2">
      <c r="A33" s="1">
        <v>22</v>
      </c>
      <c r="B33" s="27">
        <f t="shared" ca="1" si="2"/>
        <v>0.21810571715651889</v>
      </c>
      <c r="C33" s="23">
        <f t="shared" ca="1" si="3"/>
        <v>91.791268348617621</v>
      </c>
      <c r="D33" s="23">
        <f t="shared" ca="1" si="4"/>
        <v>101.14263451401382</v>
      </c>
      <c r="E33" s="23">
        <f t="shared" ca="1" si="5"/>
        <v>3.7298552242837468</v>
      </c>
      <c r="F33" s="28">
        <f t="shared" ca="1" si="0"/>
        <v>104.87248973829757</v>
      </c>
      <c r="G33" s="23">
        <f t="shared" ca="1" si="1"/>
        <v>9.3513661653962004</v>
      </c>
      <c r="H33" s="23">
        <f t="shared" ca="1" si="6"/>
        <v>13.081221389679953</v>
      </c>
    </row>
    <row r="34" spans="1:8" x14ac:dyDescent="0.2">
      <c r="A34" s="1">
        <v>23</v>
      </c>
      <c r="B34" s="27">
        <f t="shared" ca="1" si="2"/>
        <v>8.3537543932016618</v>
      </c>
      <c r="C34" s="23">
        <f t="shared" ca="1" si="3"/>
        <v>100.14502274181928</v>
      </c>
      <c r="D34" s="23">
        <f t="shared" ca="1" si="4"/>
        <v>104.87248973829757</v>
      </c>
      <c r="E34" s="23">
        <f t="shared" ca="1" si="5"/>
        <v>4.5939975724942483</v>
      </c>
      <c r="F34" s="28">
        <f t="shared" ca="1" si="0"/>
        <v>109.46648731079182</v>
      </c>
      <c r="G34" s="23">
        <f t="shared" ca="1" si="1"/>
        <v>4.7274669964782987</v>
      </c>
      <c r="H34" s="23">
        <f t="shared" ca="1" si="6"/>
        <v>9.3214645689725444</v>
      </c>
    </row>
    <row r="35" spans="1:8" x14ac:dyDescent="0.2">
      <c r="A35" s="1">
        <v>24</v>
      </c>
      <c r="B35" s="27">
        <f t="shared" ca="1" si="2"/>
        <v>2.722523000121551</v>
      </c>
      <c r="C35" s="23">
        <f t="shared" ca="1" si="3"/>
        <v>102.86754574194083</v>
      </c>
      <c r="D35" s="23">
        <f t="shared" ca="1" si="4"/>
        <v>109.46648731079182</v>
      </c>
      <c r="E35" s="23">
        <f t="shared" ca="1" si="5"/>
        <v>7.9163380350930179</v>
      </c>
      <c r="F35" s="28">
        <f t="shared" ca="1" si="0"/>
        <v>117.38282534588484</v>
      </c>
      <c r="G35" s="23">
        <f t="shared" ca="1" si="1"/>
        <v>6.5989415688509894</v>
      </c>
      <c r="H35" s="23">
        <f t="shared" ca="1" si="6"/>
        <v>14.515279603944009</v>
      </c>
    </row>
    <row r="36" spans="1:8" x14ac:dyDescent="0.2">
      <c r="A36" s="1">
        <v>25</v>
      </c>
      <c r="B36" s="27">
        <f t="shared" ca="1" si="2"/>
        <v>1.6091867799248214</v>
      </c>
      <c r="C36" s="23">
        <f t="shared" ca="1" si="3"/>
        <v>104.47673252186566</v>
      </c>
      <c r="D36" s="23">
        <f t="shared" ca="1" si="4"/>
        <v>117.38282534588484</v>
      </c>
      <c r="E36" s="23">
        <f t="shared" ca="1" si="5"/>
        <v>5.5311819601287535</v>
      </c>
      <c r="F36" s="28">
        <f t="shared" ca="1" si="0"/>
        <v>122.91400730601359</v>
      </c>
      <c r="G36" s="23">
        <f t="shared" ca="1" si="1"/>
        <v>12.906092824019183</v>
      </c>
      <c r="H36" s="23">
        <f t="shared" ca="1" si="6"/>
        <v>18.437274784147931</v>
      </c>
    </row>
    <row r="37" spans="1:8" x14ac:dyDescent="0.2">
      <c r="A37" s="1">
        <v>26</v>
      </c>
      <c r="B37" s="27">
        <f t="shared" ca="1" si="2"/>
        <v>3.5450133813173452</v>
      </c>
      <c r="C37" s="23">
        <f t="shared" ca="1" si="3"/>
        <v>108.021745903183</v>
      </c>
      <c r="D37" s="23">
        <f t="shared" ca="1" si="4"/>
        <v>122.91400730601359</v>
      </c>
      <c r="E37" s="23">
        <f t="shared" ca="1" si="5"/>
        <v>6.2437518422280327</v>
      </c>
      <c r="F37" s="28">
        <f t="shared" ca="1" si="0"/>
        <v>129.15775914824161</v>
      </c>
      <c r="G37" s="23">
        <f t="shared" ca="1" si="1"/>
        <v>14.892261402830584</v>
      </c>
      <c r="H37" s="23">
        <f t="shared" ca="1" si="6"/>
        <v>21.136013245058606</v>
      </c>
    </row>
    <row r="38" spans="1:8" x14ac:dyDescent="0.2">
      <c r="A38" s="1">
        <v>27</v>
      </c>
      <c r="B38" s="27">
        <f t="shared" ca="1" si="2"/>
        <v>2.0562927279776906</v>
      </c>
      <c r="C38" s="23">
        <f t="shared" ca="1" si="3"/>
        <v>110.07803863116069</v>
      </c>
      <c r="D38" s="23">
        <f t="shared" ca="1" si="4"/>
        <v>129.15775914824161</v>
      </c>
      <c r="E38" s="23">
        <f t="shared" ca="1" si="5"/>
        <v>2.4847426889964899</v>
      </c>
      <c r="F38" s="28">
        <f t="shared" ca="1" si="0"/>
        <v>131.64250183723809</v>
      </c>
      <c r="G38" s="23">
        <f t="shared" ca="1" si="1"/>
        <v>19.079720517080915</v>
      </c>
      <c r="H38" s="23">
        <f t="shared" ca="1" si="6"/>
        <v>21.564463206077392</v>
      </c>
    </row>
    <row r="39" spans="1:8" x14ac:dyDescent="0.2">
      <c r="A39" s="1">
        <v>28</v>
      </c>
      <c r="B39" s="27">
        <f t="shared" ca="1" si="2"/>
        <v>8.3226838043320779</v>
      </c>
      <c r="C39" s="23">
        <f t="shared" ca="1" si="3"/>
        <v>118.40072243549277</v>
      </c>
      <c r="D39" s="23">
        <f t="shared" ca="1" si="4"/>
        <v>131.64250183723809</v>
      </c>
      <c r="E39" s="23">
        <f t="shared" ca="1" si="5"/>
        <v>5.4599401882167768</v>
      </c>
      <c r="F39" s="28">
        <f t="shared" ca="1" si="0"/>
        <v>137.10244202545488</v>
      </c>
      <c r="G39" s="23">
        <f t="shared" ca="1" si="1"/>
        <v>13.241779401745319</v>
      </c>
      <c r="H39" s="23">
        <f t="shared" ca="1" si="6"/>
        <v>18.70171958996211</v>
      </c>
    </row>
    <row r="40" spans="1:8" x14ac:dyDescent="0.2">
      <c r="A40" s="1">
        <v>29</v>
      </c>
      <c r="B40" s="27">
        <f t="shared" ca="1" si="2"/>
        <v>5.5116063701097806</v>
      </c>
      <c r="C40" s="23">
        <f t="shared" ca="1" si="3"/>
        <v>123.91232880560254</v>
      </c>
      <c r="D40" s="23">
        <f t="shared" ca="1" si="4"/>
        <v>137.10244202545488</v>
      </c>
      <c r="E40" s="23">
        <f t="shared" ca="1" si="5"/>
        <v>3.8035009308307428</v>
      </c>
      <c r="F40" s="28">
        <f t="shared" ca="1" si="0"/>
        <v>140.90594295628563</v>
      </c>
      <c r="G40" s="23">
        <f t="shared" ca="1" si="1"/>
        <v>13.190113219852336</v>
      </c>
      <c r="H40" s="23">
        <f t="shared" ca="1" si="6"/>
        <v>16.993614150683086</v>
      </c>
    </row>
    <row r="41" spans="1:8" x14ac:dyDescent="0.2">
      <c r="A41" s="1">
        <v>30</v>
      </c>
      <c r="B41" s="27">
        <f t="shared" ca="1" si="2"/>
        <v>2.4270233335507201</v>
      </c>
      <c r="C41" s="23">
        <f t="shared" ca="1" si="3"/>
        <v>126.33935213915326</v>
      </c>
      <c r="D41" s="23">
        <f t="shared" ca="1" si="4"/>
        <v>140.90594295628563</v>
      </c>
      <c r="E41" s="23">
        <f t="shared" ca="1" si="5"/>
        <v>6.2085964763661794</v>
      </c>
      <c r="F41" s="28">
        <f t="shared" ca="1" si="0"/>
        <v>147.11453943265181</v>
      </c>
      <c r="G41" s="23">
        <f t="shared" ca="1" si="1"/>
        <v>14.566590817132365</v>
      </c>
      <c r="H41" s="23">
        <f t="shared" ca="1" si="6"/>
        <v>20.775187293498547</v>
      </c>
    </row>
    <row r="42" spans="1:8" x14ac:dyDescent="0.2">
      <c r="A42" s="1">
        <v>31</v>
      </c>
      <c r="B42" s="27">
        <f t="shared" ca="1" si="2"/>
        <v>1.644755504360373</v>
      </c>
      <c r="C42" s="23">
        <f t="shared" ca="1" si="3"/>
        <v>127.98410764351364</v>
      </c>
      <c r="D42" s="23">
        <f t="shared" ca="1" si="4"/>
        <v>147.11453943265181</v>
      </c>
      <c r="E42" s="23">
        <f t="shared" ca="1" si="5"/>
        <v>5.5332022126530607</v>
      </c>
      <c r="F42" s="28">
        <f t="shared" ca="1" si="0"/>
        <v>152.64774164530488</v>
      </c>
      <c r="G42" s="23">
        <f t="shared" ca="1" si="1"/>
        <v>19.130431789138171</v>
      </c>
      <c r="H42" s="23">
        <f t="shared" ca="1" si="6"/>
        <v>24.663634001791237</v>
      </c>
    </row>
    <row r="43" spans="1:8" x14ac:dyDescent="0.2">
      <c r="A43" s="1">
        <v>32</v>
      </c>
      <c r="B43" s="27">
        <f t="shared" ca="1" si="2"/>
        <v>1.2106164464870668</v>
      </c>
      <c r="C43" s="23">
        <f t="shared" ca="1" si="3"/>
        <v>129.1947240900007</v>
      </c>
      <c r="D43" s="23">
        <f t="shared" ca="1" si="4"/>
        <v>152.64774164530488</v>
      </c>
      <c r="E43" s="23">
        <f t="shared" ca="1" si="5"/>
        <v>7.3721496259798895</v>
      </c>
      <c r="F43" s="28">
        <f t="shared" ca="1" si="0"/>
        <v>160.01989127128476</v>
      </c>
      <c r="G43" s="23">
        <f t="shared" ca="1" si="1"/>
        <v>23.453017555304172</v>
      </c>
      <c r="H43" s="23">
        <f t="shared" ca="1" si="6"/>
        <v>30.825167181284058</v>
      </c>
    </row>
    <row r="44" spans="1:8" x14ac:dyDescent="0.2">
      <c r="A44" s="1">
        <v>33</v>
      </c>
      <c r="B44" s="27">
        <f t="shared" ref="B44:B75" ca="1" si="7">-$C$2*LN(RAND())</f>
        <v>2.9743538724044121</v>
      </c>
      <c r="C44" s="23">
        <f t="shared" ca="1" si="3"/>
        <v>132.16907796240511</v>
      </c>
      <c r="D44" s="23">
        <f t="shared" ca="1" si="4"/>
        <v>160.01989127128476</v>
      </c>
      <c r="E44" s="23">
        <f t="shared" ref="E44:E75" ca="1" si="8">$C$4*2*RAND()</f>
        <v>4.9878222276161548</v>
      </c>
      <c r="F44" s="28">
        <f t="shared" ref="F44:F75" ca="1" si="9">D44+E44</f>
        <v>165.00771349890093</v>
      </c>
      <c r="G44" s="23">
        <f t="shared" ref="G44:G75" ca="1" si="10">D44-C44</f>
        <v>27.850813308879651</v>
      </c>
      <c r="H44" s="23">
        <f t="shared" ref="H44:H75" ca="1" si="11">F44-C44</f>
        <v>32.838635536495815</v>
      </c>
    </row>
    <row r="45" spans="1:8" x14ac:dyDescent="0.2">
      <c r="A45" s="1">
        <v>34</v>
      </c>
      <c r="B45" s="27">
        <f t="shared" ca="1" si="7"/>
        <v>6.4876740210142572</v>
      </c>
      <c r="C45" s="23">
        <f t="shared" ref="C45:C76" ca="1" si="12">C44+B45</f>
        <v>138.65675198341938</v>
      </c>
      <c r="D45" s="23">
        <f t="shared" ref="D45:D76" ca="1" si="13">MAX(F44,C45)</f>
        <v>165.00771349890093</v>
      </c>
      <c r="E45" s="23">
        <f t="shared" ca="1" si="8"/>
        <v>5.2269638908662355</v>
      </c>
      <c r="F45" s="28">
        <f t="shared" ca="1" si="9"/>
        <v>170.23467738976717</v>
      </c>
      <c r="G45" s="23">
        <f t="shared" ca="1" si="10"/>
        <v>26.350961515481544</v>
      </c>
      <c r="H45" s="23">
        <f t="shared" ca="1" si="11"/>
        <v>31.577925406347788</v>
      </c>
    </row>
    <row r="46" spans="1:8" x14ac:dyDescent="0.2">
      <c r="A46" s="1">
        <v>35</v>
      </c>
      <c r="B46" s="27">
        <f t="shared" ca="1" si="7"/>
        <v>1.9327720971795002</v>
      </c>
      <c r="C46" s="23">
        <f t="shared" ca="1" si="12"/>
        <v>140.58952408059889</v>
      </c>
      <c r="D46" s="23">
        <f t="shared" ca="1" si="13"/>
        <v>170.23467738976717</v>
      </c>
      <c r="E46" s="23">
        <f t="shared" ca="1" si="8"/>
        <v>6.1407082935163642</v>
      </c>
      <c r="F46" s="28">
        <f t="shared" ca="1" si="9"/>
        <v>176.37538568328353</v>
      </c>
      <c r="G46" s="23">
        <f t="shared" ca="1" si="10"/>
        <v>29.645153309168279</v>
      </c>
      <c r="H46" s="23">
        <f t="shared" ca="1" si="11"/>
        <v>35.785861602684633</v>
      </c>
    </row>
    <row r="47" spans="1:8" x14ac:dyDescent="0.2">
      <c r="A47" s="1">
        <v>36</v>
      </c>
      <c r="B47" s="27">
        <f t="shared" ca="1" si="7"/>
        <v>2.2531236167922306</v>
      </c>
      <c r="C47" s="23">
        <f t="shared" ca="1" si="12"/>
        <v>142.84264769739113</v>
      </c>
      <c r="D47" s="23">
        <f t="shared" ca="1" si="13"/>
        <v>176.37538568328353</v>
      </c>
      <c r="E47" s="23">
        <f t="shared" ca="1" si="8"/>
        <v>5.6153641863713819</v>
      </c>
      <c r="F47" s="28">
        <f t="shared" ca="1" si="9"/>
        <v>181.99074986965491</v>
      </c>
      <c r="G47" s="23">
        <f t="shared" ca="1" si="10"/>
        <v>33.532737985892396</v>
      </c>
      <c r="H47" s="23">
        <f t="shared" ca="1" si="11"/>
        <v>39.148102172263776</v>
      </c>
    </row>
    <row r="48" spans="1:8" x14ac:dyDescent="0.2">
      <c r="A48" s="1">
        <v>37</v>
      </c>
      <c r="B48" s="27">
        <f t="shared" ca="1" si="7"/>
        <v>4.7329833206300043</v>
      </c>
      <c r="C48" s="23">
        <f t="shared" ca="1" si="12"/>
        <v>147.57563101802114</v>
      </c>
      <c r="D48" s="23">
        <f t="shared" ca="1" si="13"/>
        <v>181.99074986965491</v>
      </c>
      <c r="E48" s="23">
        <f t="shared" ca="1" si="8"/>
        <v>5.4293596881375805</v>
      </c>
      <c r="F48" s="28">
        <f t="shared" ca="1" si="9"/>
        <v>187.4201095577925</v>
      </c>
      <c r="G48" s="23">
        <f t="shared" ca="1" si="10"/>
        <v>34.415118851633764</v>
      </c>
      <c r="H48" s="23">
        <f t="shared" ca="1" si="11"/>
        <v>39.844478539771359</v>
      </c>
    </row>
    <row r="49" spans="1:8" x14ac:dyDescent="0.2">
      <c r="A49" s="1">
        <v>38</v>
      </c>
      <c r="B49" s="27">
        <f t="shared" ca="1" si="7"/>
        <v>6.1146533385665442</v>
      </c>
      <c r="C49" s="23">
        <f t="shared" ca="1" si="12"/>
        <v>153.69028435658768</v>
      </c>
      <c r="D49" s="23">
        <f t="shared" ca="1" si="13"/>
        <v>187.4201095577925</v>
      </c>
      <c r="E49" s="23">
        <f t="shared" ca="1" si="8"/>
        <v>6.8090164897430734</v>
      </c>
      <c r="F49" s="28">
        <f t="shared" ca="1" si="9"/>
        <v>194.22912604753557</v>
      </c>
      <c r="G49" s="23">
        <f t="shared" ca="1" si="10"/>
        <v>33.729825201204818</v>
      </c>
      <c r="H49" s="23">
        <f t="shared" ca="1" si="11"/>
        <v>40.538841690947891</v>
      </c>
    </row>
    <row r="50" spans="1:8" x14ac:dyDescent="0.2">
      <c r="A50" s="1">
        <v>39</v>
      </c>
      <c r="B50" s="27">
        <f t="shared" ca="1" si="7"/>
        <v>2.9318307582626635</v>
      </c>
      <c r="C50" s="23">
        <f t="shared" ca="1" si="12"/>
        <v>156.62211511485035</v>
      </c>
      <c r="D50" s="23">
        <f t="shared" ca="1" si="13"/>
        <v>194.22912604753557</v>
      </c>
      <c r="E50" s="23">
        <f t="shared" ca="1" si="8"/>
        <v>0.90370465291517554</v>
      </c>
      <c r="F50" s="28">
        <f t="shared" ca="1" si="9"/>
        <v>195.13283070045074</v>
      </c>
      <c r="G50" s="23">
        <f t="shared" ca="1" si="10"/>
        <v>37.607010932685228</v>
      </c>
      <c r="H50" s="23">
        <f t="shared" ca="1" si="11"/>
        <v>38.510715585600394</v>
      </c>
    </row>
    <row r="51" spans="1:8" x14ac:dyDescent="0.2">
      <c r="A51" s="1">
        <v>40</v>
      </c>
      <c r="B51" s="27">
        <f t="shared" ca="1" si="7"/>
        <v>0.78985724723154127</v>
      </c>
      <c r="C51" s="23">
        <f t="shared" ca="1" si="12"/>
        <v>157.41197236208188</v>
      </c>
      <c r="D51" s="23">
        <f t="shared" ca="1" si="13"/>
        <v>195.13283070045074</v>
      </c>
      <c r="E51" s="23">
        <f t="shared" ca="1" si="8"/>
        <v>0.92164667013184953</v>
      </c>
      <c r="F51" s="28">
        <f t="shared" ca="1" si="9"/>
        <v>196.05447737058259</v>
      </c>
      <c r="G51" s="23">
        <f t="shared" ca="1" si="10"/>
        <v>37.720858338368856</v>
      </c>
      <c r="H51" s="23">
        <f t="shared" ca="1" si="11"/>
        <v>38.642505008500706</v>
      </c>
    </row>
    <row r="52" spans="1:8" x14ac:dyDescent="0.2">
      <c r="A52" s="1">
        <v>41</v>
      </c>
      <c r="B52" s="27">
        <f t="shared" ca="1" si="7"/>
        <v>5.6351444198444254</v>
      </c>
      <c r="C52" s="23">
        <f t="shared" ca="1" si="12"/>
        <v>163.04711678192632</v>
      </c>
      <c r="D52" s="23">
        <f t="shared" ca="1" si="13"/>
        <v>196.05447737058259</v>
      </c>
      <c r="E52" s="23">
        <f t="shared" ca="1" si="8"/>
        <v>0.2031584681503773</v>
      </c>
      <c r="F52" s="28">
        <f t="shared" ca="1" si="9"/>
        <v>196.25763583873297</v>
      </c>
      <c r="G52" s="23">
        <f t="shared" ca="1" si="10"/>
        <v>33.007360588656269</v>
      </c>
      <c r="H52" s="23">
        <f t="shared" ca="1" si="11"/>
        <v>33.210519056806646</v>
      </c>
    </row>
    <row r="53" spans="1:8" x14ac:dyDescent="0.2">
      <c r="A53" s="1">
        <v>42</v>
      </c>
      <c r="B53" s="27">
        <f t="shared" ca="1" si="7"/>
        <v>3.5351807941125957</v>
      </c>
      <c r="C53" s="23">
        <f t="shared" ca="1" si="12"/>
        <v>166.58229757603891</v>
      </c>
      <c r="D53" s="23">
        <f t="shared" ca="1" si="13"/>
        <v>196.25763583873297</v>
      </c>
      <c r="E53" s="23">
        <f t="shared" ca="1" si="8"/>
        <v>4.956995451022097</v>
      </c>
      <c r="F53" s="28">
        <f t="shared" ca="1" si="9"/>
        <v>201.21463128975506</v>
      </c>
      <c r="G53" s="23">
        <f t="shared" ca="1" si="10"/>
        <v>29.675338262694055</v>
      </c>
      <c r="H53" s="23">
        <f t="shared" ca="1" si="11"/>
        <v>34.63233371371615</v>
      </c>
    </row>
    <row r="54" spans="1:8" x14ac:dyDescent="0.2">
      <c r="A54" s="1">
        <v>43</v>
      </c>
      <c r="B54" s="27">
        <f t="shared" ca="1" si="7"/>
        <v>5.2148528961327564E-3</v>
      </c>
      <c r="C54" s="23">
        <f t="shared" ca="1" si="12"/>
        <v>166.58751242893504</v>
      </c>
      <c r="D54" s="23">
        <f t="shared" ca="1" si="13"/>
        <v>201.21463128975506</v>
      </c>
      <c r="E54" s="23">
        <f t="shared" ca="1" si="8"/>
        <v>4.2271307361364876</v>
      </c>
      <c r="F54" s="28">
        <f t="shared" ca="1" si="9"/>
        <v>205.44176202589153</v>
      </c>
      <c r="G54" s="23">
        <f t="shared" ca="1" si="10"/>
        <v>34.627118860820019</v>
      </c>
      <c r="H54" s="23">
        <f t="shared" ca="1" si="11"/>
        <v>38.854249596956492</v>
      </c>
    </row>
    <row r="55" spans="1:8" x14ac:dyDescent="0.2">
      <c r="A55" s="1">
        <v>44</v>
      </c>
      <c r="B55" s="27">
        <f t="shared" ca="1" si="7"/>
        <v>3.8946023934365703</v>
      </c>
      <c r="C55" s="23">
        <f t="shared" ca="1" si="12"/>
        <v>170.48211482237161</v>
      </c>
      <c r="D55" s="23">
        <f t="shared" ca="1" si="13"/>
        <v>205.44176202589153</v>
      </c>
      <c r="E55" s="23">
        <f t="shared" ca="1" si="8"/>
        <v>5.5596312932795895</v>
      </c>
      <c r="F55" s="28">
        <f t="shared" ca="1" si="9"/>
        <v>211.00139331917111</v>
      </c>
      <c r="G55" s="23">
        <f t="shared" ca="1" si="10"/>
        <v>34.959647203519921</v>
      </c>
      <c r="H55" s="23">
        <f t="shared" ca="1" si="11"/>
        <v>40.519278496799501</v>
      </c>
    </row>
    <row r="56" spans="1:8" x14ac:dyDescent="0.2">
      <c r="A56" s="1">
        <v>45</v>
      </c>
      <c r="B56" s="27">
        <f t="shared" ca="1" si="7"/>
        <v>5.5813076214523551</v>
      </c>
      <c r="C56" s="23">
        <f t="shared" ca="1" si="12"/>
        <v>176.06342244382398</v>
      </c>
      <c r="D56" s="23">
        <f t="shared" ca="1" si="13"/>
        <v>211.00139331917111</v>
      </c>
      <c r="E56" s="23">
        <f t="shared" ca="1" si="8"/>
        <v>1.798118887571305</v>
      </c>
      <c r="F56" s="28">
        <f t="shared" ca="1" si="9"/>
        <v>212.79951220674241</v>
      </c>
      <c r="G56" s="23">
        <f t="shared" ca="1" si="10"/>
        <v>34.937970875347133</v>
      </c>
      <c r="H56" s="23">
        <f t="shared" ca="1" si="11"/>
        <v>36.736089762918425</v>
      </c>
    </row>
    <row r="57" spans="1:8" x14ac:dyDescent="0.2">
      <c r="A57" s="1">
        <v>46</v>
      </c>
      <c r="B57" s="27">
        <f t="shared" ca="1" si="7"/>
        <v>0.72480208516707179</v>
      </c>
      <c r="C57" s="23">
        <f t="shared" ca="1" si="12"/>
        <v>176.78822452899107</v>
      </c>
      <c r="D57" s="23">
        <f t="shared" ca="1" si="13"/>
        <v>212.79951220674241</v>
      </c>
      <c r="E57" s="23">
        <f t="shared" ca="1" si="8"/>
        <v>7.4254990782583183</v>
      </c>
      <c r="F57" s="28">
        <f t="shared" ca="1" si="9"/>
        <v>220.22501128500073</v>
      </c>
      <c r="G57" s="23">
        <f t="shared" ca="1" si="10"/>
        <v>36.011287677751341</v>
      </c>
      <c r="H57" s="23">
        <f t="shared" ca="1" si="11"/>
        <v>43.436786756009667</v>
      </c>
    </row>
    <row r="58" spans="1:8" x14ac:dyDescent="0.2">
      <c r="A58" s="1">
        <v>47</v>
      </c>
      <c r="B58" s="27">
        <f t="shared" ca="1" si="7"/>
        <v>2.0610682664733271</v>
      </c>
      <c r="C58" s="23">
        <f t="shared" ca="1" si="12"/>
        <v>178.84929279546438</v>
      </c>
      <c r="D58" s="23">
        <f t="shared" ca="1" si="13"/>
        <v>220.22501128500073</v>
      </c>
      <c r="E58" s="23">
        <f t="shared" ca="1" si="8"/>
        <v>2.6842989054869397</v>
      </c>
      <c r="F58" s="28">
        <f t="shared" ca="1" si="9"/>
        <v>222.90931019048767</v>
      </c>
      <c r="G58" s="23">
        <f t="shared" ca="1" si="10"/>
        <v>41.375718489536354</v>
      </c>
      <c r="H58" s="23">
        <f t="shared" ca="1" si="11"/>
        <v>44.060017395023294</v>
      </c>
    </row>
    <row r="59" spans="1:8" x14ac:dyDescent="0.2">
      <c r="A59" s="1">
        <v>48</v>
      </c>
      <c r="B59" s="27">
        <f t="shared" ca="1" si="7"/>
        <v>16.976489050196907</v>
      </c>
      <c r="C59" s="23">
        <f t="shared" ca="1" si="12"/>
        <v>195.82578184566128</v>
      </c>
      <c r="D59" s="23">
        <f t="shared" ca="1" si="13"/>
        <v>222.90931019048767</v>
      </c>
      <c r="E59" s="23">
        <f t="shared" ca="1" si="8"/>
        <v>6.3273922922181836</v>
      </c>
      <c r="F59" s="28">
        <f t="shared" ca="1" si="9"/>
        <v>229.23670248270585</v>
      </c>
      <c r="G59" s="23">
        <f t="shared" ca="1" si="10"/>
        <v>27.083528344826391</v>
      </c>
      <c r="H59" s="23">
        <f t="shared" ca="1" si="11"/>
        <v>33.410920637044569</v>
      </c>
    </row>
    <row r="60" spans="1:8" x14ac:dyDescent="0.2">
      <c r="A60" s="1">
        <v>49</v>
      </c>
      <c r="B60" s="27">
        <f t="shared" ca="1" si="7"/>
        <v>0.40555718650369105</v>
      </c>
      <c r="C60" s="23">
        <f t="shared" ca="1" si="12"/>
        <v>196.23133903216498</v>
      </c>
      <c r="D60" s="23">
        <f t="shared" ca="1" si="13"/>
        <v>229.23670248270585</v>
      </c>
      <c r="E60" s="23">
        <f t="shared" ca="1" si="8"/>
        <v>4.3355234728378802</v>
      </c>
      <c r="F60" s="28">
        <f t="shared" ca="1" si="9"/>
        <v>233.57222595554373</v>
      </c>
      <c r="G60" s="23">
        <f t="shared" ca="1" si="10"/>
        <v>33.00536345054087</v>
      </c>
      <c r="H60" s="23">
        <f t="shared" ca="1" si="11"/>
        <v>37.340886923378747</v>
      </c>
    </row>
    <row r="61" spans="1:8" x14ac:dyDescent="0.2">
      <c r="A61" s="1">
        <v>50</v>
      </c>
      <c r="B61" s="27">
        <f t="shared" ca="1" si="7"/>
        <v>3.8035686813032394</v>
      </c>
      <c r="C61" s="23">
        <f t="shared" ca="1" si="12"/>
        <v>200.03490771346821</v>
      </c>
      <c r="D61" s="23">
        <f t="shared" ca="1" si="13"/>
        <v>233.57222595554373</v>
      </c>
      <c r="E61" s="23">
        <f t="shared" ca="1" si="8"/>
        <v>2.4731531134247264</v>
      </c>
      <c r="F61" s="28">
        <f t="shared" ca="1" si="9"/>
        <v>236.04537906896846</v>
      </c>
      <c r="G61" s="23">
        <f t="shared" ca="1" si="10"/>
        <v>33.537318242075514</v>
      </c>
      <c r="H61" s="23">
        <f t="shared" ca="1" si="11"/>
        <v>36.010471355500243</v>
      </c>
    </row>
    <row r="62" spans="1:8" x14ac:dyDescent="0.2">
      <c r="A62" s="1">
        <v>51</v>
      </c>
      <c r="B62" s="27">
        <f t="shared" ca="1" si="7"/>
        <v>3.1797993475314409E-2</v>
      </c>
      <c r="C62" s="23">
        <f t="shared" ca="1" si="12"/>
        <v>200.06670570694354</v>
      </c>
      <c r="D62" s="23">
        <f t="shared" ca="1" si="13"/>
        <v>236.04537906896846</v>
      </c>
      <c r="E62" s="23">
        <f t="shared" ca="1" si="8"/>
        <v>4.9781778965486758</v>
      </c>
      <c r="F62" s="28">
        <f t="shared" ca="1" si="9"/>
        <v>241.02355696551714</v>
      </c>
      <c r="G62" s="23">
        <f t="shared" ca="1" si="10"/>
        <v>35.978673362024921</v>
      </c>
      <c r="H62" s="23">
        <f t="shared" ca="1" si="11"/>
        <v>40.956851258573607</v>
      </c>
    </row>
    <row r="63" spans="1:8" x14ac:dyDescent="0.2">
      <c r="A63" s="1">
        <v>52</v>
      </c>
      <c r="B63" s="27">
        <f t="shared" ca="1" si="7"/>
        <v>6.7071016213369914</v>
      </c>
      <c r="C63" s="23">
        <f t="shared" ca="1" si="12"/>
        <v>206.77380732828053</v>
      </c>
      <c r="D63" s="23">
        <f t="shared" ca="1" si="13"/>
        <v>241.02355696551714</v>
      </c>
      <c r="E63" s="23">
        <f t="shared" ca="1" si="8"/>
        <v>3.3390794785101008</v>
      </c>
      <c r="F63" s="28">
        <f t="shared" ca="1" si="9"/>
        <v>244.36263644402726</v>
      </c>
      <c r="G63" s="23">
        <f t="shared" ca="1" si="10"/>
        <v>34.249749637236619</v>
      </c>
      <c r="H63" s="23">
        <f t="shared" ca="1" si="11"/>
        <v>37.588829115746734</v>
      </c>
    </row>
    <row r="64" spans="1:8" x14ac:dyDescent="0.2">
      <c r="A64" s="1">
        <v>53</v>
      </c>
      <c r="B64" s="27">
        <f t="shared" ca="1" si="7"/>
        <v>1.8196142965125346</v>
      </c>
      <c r="C64" s="23">
        <f t="shared" ca="1" si="12"/>
        <v>208.59342162479305</v>
      </c>
      <c r="D64" s="23">
        <f t="shared" ca="1" si="13"/>
        <v>244.36263644402726</v>
      </c>
      <c r="E64" s="23">
        <f t="shared" ca="1" si="8"/>
        <v>3.8881964916341971</v>
      </c>
      <c r="F64" s="28">
        <f t="shared" ca="1" si="9"/>
        <v>248.25083293566146</v>
      </c>
      <c r="G64" s="23">
        <f t="shared" ca="1" si="10"/>
        <v>35.769214819234207</v>
      </c>
      <c r="H64" s="23">
        <f t="shared" ca="1" si="11"/>
        <v>39.657411310868412</v>
      </c>
    </row>
    <row r="65" spans="1:8" x14ac:dyDescent="0.2">
      <c r="A65" s="1">
        <v>54</v>
      </c>
      <c r="B65" s="27">
        <f t="shared" ca="1" si="7"/>
        <v>1.841279210508338</v>
      </c>
      <c r="C65" s="23">
        <f t="shared" ca="1" si="12"/>
        <v>210.43470083530138</v>
      </c>
      <c r="D65" s="23">
        <f t="shared" ca="1" si="13"/>
        <v>248.25083293566146</v>
      </c>
      <c r="E65" s="23">
        <f t="shared" ca="1" si="8"/>
        <v>5.9439360299026909</v>
      </c>
      <c r="F65" s="28">
        <f t="shared" ca="1" si="9"/>
        <v>254.19476896556415</v>
      </c>
      <c r="G65" s="23">
        <f t="shared" ca="1" si="10"/>
        <v>37.816132100360079</v>
      </c>
      <c r="H65" s="23">
        <f t="shared" ca="1" si="11"/>
        <v>43.760068130262766</v>
      </c>
    </row>
    <row r="66" spans="1:8" x14ac:dyDescent="0.2">
      <c r="A66" s="1">
        <v>55</v>
      </c>
      <c r="B66" s="27">
        <f t="shared" ca="1" si="7"/>
        <v>0.79323253913789982</v>
      </c>
      <c r="C66" s="23">
        <f t="shared" ca="1" si="12"/>
        <v>211.22793337443929</v>
      </c>
      <c r="D66" s="23">
        <f t="shared" ca="1" si="13"/>
        <v>254.19476896556415</v>
      </c>
      <c r="E66" s="23">
        <f t="shared" ca="1" si="8"/>
        <v>6.1839272128185199</v>
      </c>
      <c r="F66" s="28">
        <f t="shared" ca="1" si="9"/>
        <v>260.37869617838265</v>
      </c>
      <c r="G66" s="23">
        <f t="shared" ca="1" si="10"/>
        <v>42.966835591124863</v>
      </c>
      <c r="H66" s="23">
        <f t="shared" ca="1" si="11"/>
        <v>49.150762803943365</v>
      </c>
    </row>
    <row r="67" spans="1:8" x14ac:dyDescent="0.2">
      <c r="A67" s="1">
        <v>56</v>
      </c>
      <c r="B67" s="27">
        <f t="shared" ca="1" si="7"/>
        <v>2.320564753781051</v>
      </c>
      <c r="C67" s="23">
        <f t="shared" ca="1" si="12"/>
        <v>213.54849812822033</v>
      </c>
      <c r="D67" s="23">
        <f t="shared" ca="1" si="13"/>
        <v>260.37869617838265</v>
      </c>
      <c r="E67" s="23">
        <f t="shared" ca="1" si="8"/>
        <v>4.1553576482108747</v>
      </c>
      <c r="F67" s="28">
        <f t="shared" ca="1" si="9"/>
        <v>264.53405382659355</v>
      </c>
      <c r="G67" s="23">
        <f t="shared" ca="1" si="10"/>
        <v>46.830198050162323</v>
      </c>
      <c r="H67" s="23">
        <f t="shared" ca="1" si="11"/>
        <v>50.985555698373219</v>
      </c>
    </row>
    <row r="68" spans="1:8" x14ac:dyDescent="0.2">
      <c r="A68" s="1">
        <v>57</v>
      </c>
      <c r="B68" s="27">
        <f t="shared" ca="1" si="7"/>
        <v>4.7956393104940256</v>
      </c>
      <c r="C68" s="23">
        <f t="shared" ca="1" si="12"/>
        <v>218.34413743871437</v>
      </c>
      <c r="D68" s="23">
        <f t="shared" ca="1" si="13"/>
        <v>264.53405382659355</v>
      </c>
      <c r="E68" s="23">
        <f t="shared" ca="1" si="8"/>
        <v>0.73817642132554084</v>
      </c>
      <c r="F68" s="28">
        <f t="shared" ca="1" si="9"/>
        <v>265.27223024791908</v>
      </c>
      <c r="G68" s="23">
        <f t="shared" ca="1" si="10"/>
        <v>46.18991638787918</v>
      </c>
      <c r="H68" s="23">
        <f t="shared" ca="1" si="11"/>
        <v>46.928092809204713</v>
      </c>
    </row>
    <row r="69" spans="1:8" x14ac:dyDescent="0.2">
      <c r="A69" s="1">
        <v>58</v>
      </c>
      <c r="B69" s="27">
        <f t="shared" ca="1" si="7"/>
        <v>3.7663395631212788</v>
      </c>
      <c r="C69" s="23">
        <f t="shared" ca="1" si="12"/>
        <v>222.11047700183565</v>
      </c>
      <c r="D69" s="23">
        <f t="shared" ca="1" si="13"/>
        <v>265.27223024791908</v>
      </c>
      <c r="E69" s="23">
        <f t="shared" ca="1" si="8"/>
        <v>7.1455830953710926</v>
      </c>
      <c r="F69" s="28">
        <f t="shared" ca="1" si="9"/>
        <v>272.41781334329016</v>
      </c>
      <c r="G69" s="23">
        <f t="shared" ca="1" si="10"/>
        <v>43.161753246083435</v>
      </c>
      <c r="H69" s="23">
        <f t="shared" ca="1" si="11"/>
        <v>50.307336341454516</v>
      </c>
    </row>
    <row r="70" spans="1:8" x14ac:dyDescent="0.2">
      <c r="A70" s="1">
        <v>59</v>
      </c>
      <c r="B70" s="27">
        <f t="shared" ca="1" si="7"/>
        <v>4.7101864321192464</v>
      </c>
      <c r="C70" s="23">
        <f t="shared" ca="1" si="12"/>
        <v>226.82066343395491</v>
      </c>
      <c r="D70" s="23">
        <f t="shared" ca="1" si="13"/>
        <v>272.41781334329016</v>
      </c>
      <c r="E70" s="23">
        <f t="shared" ca="1" si="8"/>
        <v>3.5499402491044734</v>
      </c>
      <c r="F70" s="28">
        <f t="shared" ca="1" si="9"/>
        <v>275.96775359239462</v>
      </c>
      <c r="G70" s="23">
        <f t="shared" ca="1" si="10"/>
        <v>45.597149909335258</v>
      </c>
      <c r="H70" s="23">
        <f t="shared" ca="1" si="11"/>
        <v>49.14709015843971</v>
      </c>
    </row>
    <row r="71" spans="1:8" x14ac:dyDescent="0.2">
      <c r="A71" s="1">
        <v>60</v>
      </c>
      <c r="B71" s="27">
        <f t="shared" ca="1" si="7"/>
        <v>3.2486447282741793</v>
      </c>
      <c r="C71" s="23">
        <f t="shared" ca="1" si="12"/>
        <v>230.06930816222908</v>
      </c>
      <c r="D71" s="23">
        <f t="shared" ca="1" si="13"/>
        <v>275.96775359239462</v>
      </c>
      <c r="E71" s="23">
        <f t="shared" ca="1" si="8"/>
        <v>3.7698181115238238</v>
      </c>
      <c r="F71" s="28">
        <f t="shared" ca="1" si="9"/>
        <v>279.73757170391843</v>
      </c>
      <c r="G71" s="23">
        <f t="shared" ca="1" si="10"/>
        <v>45.898445430165538</v>
      </c>
      <c r="H71" s="23">
        <f t="shared" ca="1" si="11"/>
        <v>49.668263541689356</v>
      </c>
    </row>
    <row r="72" spans="1:8" x14ac:dyDescent="0.2">
      <c r="A72" s="1">
        <v>61</v>
      </c>
      <c r="B72" s="27">
        <f t="shared" ca="1" si="7"/>
        <v>6.3546023333348511</v>
      </c>
      <c r="C72" s="23">
        <f t="shared" ca="1" si="12"/>
        <v>236.42391049556392</v>
      </c>
      <c r="D72" s="23">
        <f t="shared" ca="1" si="13"/>
        <v>279.73757170391843</v>
      </c>
      <c r="E72" s="23">
        <f t="shared" ca="1" si="8"/>
        <v>6.6198048144391377</v>
      </c>
      <c r="F72" s="28">
        <f t="shared" ca="1" si="9"/>
        <v>286.35737651835757</v>
      </c>
      <c r="G72" s="23">
        <f t="shared" ca="1" si="10"/>
        <v>43.313661208354517</v>
      </c>
      <c r="H72" s="23">
        <f t="shared" ca="1" si="11"/>
        <v>49.933466022793652</v>
      </c>
    </row>
    <row r="73" spans="1:8" x14ac:dyDescent="0.2">
      <c r="A73" s="1">
        <v>62</v>
      </c>
      <c r="B73" s="27">
        <f t="shared" ca="1" si="7"/>
        <v>0.77124394728502055</v>
      </c>
      <c r="C73" s="23">
        <f t="shared" ca="1" si="12"/>
        <v>237.19515444284895</v>
      </c>
      <c r="D73" s="23">
        <f t="shared" ca="1" si="13"/>
        <v>286.35737651835757</v>
      </c>
      <c r="E73" s="23">
        <f t="shared" ca="1" si="8"/>
        <v>1.0410348587757241</v>
      </c>
      <c r="F73" s="28">
        <f t="shared" ca="1" si="9"/>
        <v>287.3984113771333</v>
      </c>
      <c r="G73" s="23">
        <f t="shared" ca="1" si="10"/>
        <v>49.162222075508623</v>
      </c>
      <c r="H73" s="23">
        <f t="shared" ca="1" si="11"/>
        <v>50.203256934284354</v>
      </c>
    </row>
    <row r="74" spans="1:8" x14ac:dyDescent="0.2">
      <c r="A74" s="1">
        <v>63</v>
      </c>
      <c r="B74" s="27">
        <f t="shared" ca="1" si="7"/>
        <v>3.5985928999034753</v>
      </c>
      <c r="C74" s="23">
        <f t="shared" ca="1" si="12"/>
        <v>240.79374734275243</v>
      </c>
      <c r="D74" s="23">
        <f t="shared" ca="1" si="13"/>
        <v>287.3984113771333</v>
      </c>
      <c r="E74" s="23">
        <f t="shared" ca="1" si="8"/>
        <v>3.1799604758649602</v>
      </c>
      <c r="F74" s="28">
        <f t="shared" ca="1" si="9"/>
        <v>290.57837185299826</v>
      </c>
      <c r="G74" s="23">
        <f t="shared" ca="1" si="10"/>
        <v>46.604664034380875</v>
      </c>
      <c r="H74" s="23">
        <f t="shared" ca="1" si="11"/>
        <v>49.784624510245834</v>
      </c>
    </row>
    <row r="75" spans="1:8" x14ac:dyDescent="0.2">
      <c r="A75" s="1">
        <v>64</v>
      </c>
      <c r="B75" s="27">
        <f t="shared" ca="1" si="7"/>
        <v>6.0266015599845222</v>
      </c>
      <c r="C75" s="23">
        <f t="shared" ca="1" si="12"/>
        <v>246.82034890273695</v>
      </c>
      <c r="D75" s="23">
        <f t="shared" ca="1" si="13"/>
        <v>290.57837185299826</v>
      </c>
      <c r="E75" s="23">
        <f t="shared" ca="1" si="8"/>
        <v>5.9265655340422692</v>
      </c>
      <c r="F75" s="28">
        <f t="shared" ca="1" si="9"/>
        <v>296.50493738704051</v>
      </c>
      <c r="G75" s="23">
        <f t="shared" ca="1" si="10"/>
        <v>43.758022950261307</v>
      </c>
      <c r="H75" s="23">
        <f t="shared" ca="1" si="11"/>
        <v>49.684588484303561</v>
      </c>
    </row>
    <row r="76" spans="1:8" x14ac:dyDescent="0.2">
      <c r="A76" s="1">
        <v>65</v>
      </c>
      <c r="B76" s="27">
        <f t="shared" ref="B76:B111" ca="1" si="14">-$C$2*LN(RAND())</f>
        <v>19.777325368506943</v>
      </c>
      <c r="C76" s="23">
        <f t="shared" ca="1" si="12"/>
        <v>266.59767427124387</v>
      </c>
      <c r="D76" s="23">
        <f t="shared" ca="1" si="13"/>
        <v>296.50493738704051</v>
      </c>
      <c r="E76" s="23">
        <f t="shared" ref="E76:E111" ca="1" si="15">$C$4*2*RAND()</f>
        <v>5.4342954704274877</v>
      </c>
      <c r="F76" s="28">
        <f t="shared" ref="F76:F107" ca="1" si="16">D76+E76</f>
        <v>301.93923285746803</v>
      </c>
      <c r="G76" s="23">
        <f t="shared" ref="G76:G111" ca="1" si="17">D76-C76</f>
        <v>29.907263115796638</v>
      </c>
      <c r="H76" s="23">
        <f t="shared" ref="H76:H111" ca="1" si="18">F76-C76</f>
        <v>35.341558586224153</v>
      </c>
    </row>
    <row r="77" spans="1:8" x14ac:dyDescent="0.2">
      <c r="A77" s="1">
        <v>66</v>
      </c>
      <c r="B77" s="27">
        <f t="shared" ca="1" si="14"/>
        <v>2.2191514823831748</v>
      </c>
      <c r="C77" s="23">
        <f t="shared" ref="C77:C108" ca="1" si="19">C76+B77</f>
        <v>268.81682575362703</v>
      </c>
      <c r="D77" s="23">
        <f t="shared" ref="D77:D108" ca="1" si="20">MAX(F76,C77)</f>
        <v>301.93923285746803</v>
      </c>
      <c r="E77" s="23">
        <f t="shared" ca="1" si="15"/>
        <v>1.2058990130737399</v>
      </c>
      <c r="F77" s="28">
        <f t="shared" ca="1" si="16"/>
        <v>303.14513187054177</v>
      </c>
      <c r="G77" s="23">
        <f t="shared" ca="1" si="17"/>
        <v>33.122407103840999</v>
      </c>
      <c r="H77" s="23">
        <f t="shared" ca="1" si="18"/>
        <v>34.328306116914746</v>
      </c>
    </row>
    <row r="78" spans="1:8" x14ac:dyDescent="0.2">
      <c r="A78" s="1">
        <v>67</v>
      </c>
      <c r="B78" s="27">
        <f t="shared" ca="1" si="14"/>
        <v>0.25900317218177005</v>
      </c>
      <c r="C78" s="23">
        <f t="shared" ca="1" si="19"/>
        <v>269.07582892580882</v>
      </c>
      <c r="D78" s="23">
        <f t="shared" ca="1" si="20"/>
        <v>303.14513187054177</v>
      </c>
      <c r="E78" s="23">
        <f t="shared" ca="1" si="15"/>
        <v>1.847601946212408</v>
      </c>
      <c r="F78" s="28">
        <f t="shared" ca="1" si="16"/>
        <v>304.9927338167542</v>
      </c>
      <c r="G78" s="23">
        <f t="shared" ca="1" si="17"/>
        <v>34.069302944732954</v>
      </c>
      <c r="H78" s="23">
        <f t="shared" ca="1" si="18"/>
        <v>35.916904890945375</v>
      </c>
    </row>
    <row r="79" spans="1:8" x14ac:dyDescent="0.2">
      <c r="A79" s="1">
        <v>68</v>
      </c>
      <c r="B79" s="27">
        <f t="shared" ca="1" si="14"/>
        <v>2.7191033233933664</v>
      </c>
      <c r="C79" s="23">
        <f t="shared" ca="1" si="19"/>
        <v>271.79493224920219</v>
      </c>
      <c r="D79" s="23">
        <f t="shared" ca="1" si="20"/>
        <v>304.9927338167542</v>
      </c>
      <c r="E79" s="23">
        <f t="shared" ca="1" si="15"/>
        <v>3.7231014751510267</v>
      </c>
      <c r="F79" s="28">
        <f t="shared" ca="1" si="16"/>
        <v>308.71583529190525</v>
      </c>
      <c r="G79" s="23">
        <f t="shared" ca="1" si="17"/>
        <v>33.197801567552006</v>
      </c>
      <c r="H79" s="23">
        <f t="shared" ca="1" si="18"/>
        <v>36.92090304270306</v>
      </c>
    </row>
    <row r="80" spans="1:8" x14ac:dyDescent="0.2">
      <c r="A80" s="1">
        <v>69</v>
      </c>
      <c r="B80" s="27">
        <f t="shared" ca="1" si="14"/>
        <v>6.9166876615802755</v>
      </c>
      <c r="C80" s="23">
        <f t="shared" ca="1" si="19"/>
        <v>278.71161991078247</v>
      </c>
      <c r="D80" s="23">
        <f t="shared" ca="1" si="20"/>
        <v>308.71583529190525</v>
      </c>
      <c r="E80" s="23">
        <f t="shared" ca="1" si="15"/>
        <v>2.3199962652339234</v>
      </c>
      <c r="F80" s="28">
        <f t="shared" ca="1" si="16"/>
        <v>311.03583155713915</v>
      </c>
      <c r="G80" s="23">
        <f t="shared" ca="1" si="17"/>
        <v>30.004215381122776</v>
      </c>
      <c r="H80" s="23">
        <f t="shared" ca="1" si="18"/>
        <v>32.324211646356673</v>
      </c>
    </row>
    <row r="81" spans="1:8" x14ac:dyDescent="0.2">
      <c r="A81" s="1">
        <v>70</v>
      </c>
      <c r="B81" s="27">
        <f t="shared" ca="1" si="14"/>
        <v>8.3210063106958501</v>
      </c>
      <c r="C81" s="23">
        <f t="shared" ca="1" si="19"/>
        <v>287.03262622147832</v>
      </c>
      <c r="D81" s="23">
        <f t="shared" ca="1" si="20"/>
        <v>311.03583155713915</v>
      </c>
      <c r="E81" s="23">
        <f t="shared" ca="1" si="15"/>
        <v>2.1327600712196482</v>
      </c>
      <c r="F81" s="28">
        <f t="shared" ca="1" si="16"/>
        <v>313.1685916283588</v>
      </c>
      <c r="G81" s="23">
        <f t="shared" ca="1" si="17"/>
        <v>24.003205335660823</v>
      </c>
      <c r="H81" s="23">
        <f t="shared" ca="1" si="18"/>
        <v>26.135965406880473</v>
      </c>
    </row>
    <row r="82" spans="1:8" x14ac:dyDescent="0.2">
      <c r="A82" s="1">
        <v>71</v>
      </c>
      <c r="B82" s="27">
        <f t="shared" ca="1" si="14"/>
        <v>8.7379937764258511</v>
      </c>
      <c r="C82" s="23">
        <f t="shared" ca="1" si="19"/>
        <v>295.77061999790419</v>
      </c>
      <c r="D82" s="23">
        <f t="shared" ca="1" si="20"/>
        <v>313.1685916283588</v>
      </c>
      <c r="E82" s="23">
        <f t="shared" ca="1" si="15"/>
        <v>0.24804069952881402</v>
      </c>
      <c r="F82" s="28">
        <f t="shared" ca="1" si="16"/>
        <v>313.41663232788761</v>
      </c>
      <c r="G82" s="23">
        <f t="shared" ca="1" si="17"/>
        <v>17.397971630454606</v>
      </c>
      <c r="H82" s="23">
        <f t="shared" ca="1" si="18"/>
        <v>17.646012329983421</v>
      </c>
    </row>
    <row r="83" spans="1:8" x14ac:dyDescent="0.2">
      <c r="A83" s="1">
        <v>72</v>
      </c>
      <c r="B83" s="27">
        <f t="shared" ca="1" si="14"/>
        <v>0.38006734166406103</v>
      </c>
      <c r="C83" s="23">
        <f t="shared" ca="1" si="19"/>
        <v>296.15068733956826</v>
      </c>
      <c r="D83" s="23">
        <f t="shared" ca="1" si="20"/>
        <v>313.41663232788761</v>
      </c>
      <c r="E83" s="23">
        <f t="shared" ca="1" si="15"/>
        <v>5.5092273283129032</v>
      </c>
      <c r="F83" s="28">
        <f t="shared" ca="1" si="16"/>
        <v>318.92585965620049</v>
      </c>
      <c r="G83" s="23">
        <f t="shared" ca="1" si="17"/>
        <v>17.265944988319347</v>
      </c>
      <c r="H83" s="23">
        <f t="shared" ca="1" si="18"/>
        <v>22.775172316632222</v>
      </c>
    </row>
    <row r="84" spans="1:8" x14ac:dyDescent="0.2">
      <c r="A84" s="1">
        <v>73</v>
      </c>
      <c r="B84" s="27">
        <f t="shared" ca="1" si="14"/>
        <v>7.2356524097404042</v>
      </c>
      <c r="C84" s="23">
        <f t="shared" ca="1" si="19"/>
        <v>303.38633974930866</v>
      </c>
      <c r="D84" s="23">
        <f t="shared" ca="1" si="20"/>
        <v>318.92585965620049</v>
      </c>
      <c r="E84" s="23">
        <f t="shared" ca="1" si="15"/>
        <v>3.7941565673578133</v>
      </c>
      <c r="F84" s="28">
        <f t="shared" ca="1" si="16"/>
        <v>322.72001622355828</v>
      </c>
      <c r="G84" s="23">
        <f t="shared" ca="1" si="17"/>
        <v>15.539519906891826</v>
      </c>
      <c r="H84" s="23">
        <f t="shared" ca="1" si="18"/>
        <v>19.333676474249614</v>
      </c>
    </row>
    <row r="85" spans="1:8" x14ac:dyDescent="0.2">
      <c r="A85" s="1">
        <v>74</v>
      </c>
      <c r="B85" s="27">
        <f t="shared" ca="1" si="14"/>
        <v>15.232243151871373</v>
      </c>
      <c r="C85" s="23">
        <f t="shared" ca="1" si="19"/>
        <v>318.61858290118005</v>
      </c>
      <c r="D85" s="23">
        <f t="shared" ca="1" si="20"/>
        <v>322.72001622355828</v>
      </c>
      <c r="E85" s="23">
        <f t="shared" ca="1" si="15"/>
        <v>1.1033871903108228</v>
      </c>
      <c r="F85" s="28">
        <f t="shared" ca="1" si="16"/>
        <v>323.82340341386907</v>
      </c>
      <c r="G85" s="23">
        <f t="shared" ca="1" si="17"/>
        <v>4.1014333223782273</v>
      </c>
      <c r="H85" s="23">
        <f t="shared" ca="1" si="18"/>
        <v>5.2048205126890252</v>
      </c>
    </row>
    <row r="86" spans="1:8" x14ac:dyDescent="0.2">
      <c r="A86" s="1">
        <v>75</v>
      </c>
      <c r="B86" s="27">
        <f t="shared" ca="1" si="14"/>
        <v>2.8326305563302241</v>
      </c>
      <c r="C86" s="23">
        <f t="shared" ca="1" si="19"/>
        <v>321.45121345751028</v>
      </c>
      <c r="D86" s="23">
        <f t="shared" ca="1" si="20"/>
        <v>323.82340341386907</v>
      </c>
      <c r="E86" s="23">
        <f t="shared" ca="1" si="15"/>
        <v>4.6571786512085671</v>
      </c>
      <c r="F86" s="28">
        <f t="shared" ca="1" si="16"/>
        <v>328.48058206507761</v>
      </c>
      <c r="G86" s="23">
        <f t="shared" ca="1" si="17"/>
        <v>2.3721899563587954</v>
      </c>
      <c r="H86" s="23">
        <f t="shared" ca="1" si="18"/>
        <v>7.0293686075673349</v>
      </c>
    </row>
    <row r="87" spans="1:8" x14ac:dyDescent="0.2">
      <c r="A87" s="1">
        <v>76</v>
      </c>
      <c r="B87" s="27">
        <f t="shared" ca="1" si="14"/>
        <v>1.5266467635963143</v>
      </c>
      <c r="C87" s="23">
        <f t="shared" ca="1" si="19"/>
        <v>322.9778602211066</v>
      </c>
      <c r="D87" s="23">
        <f t="shared" ca="1" si="20"/>
        <v>328.48058206507761</v>
      </c>
      <c r="E87" s="23">
        <f t="shared" ca="1" si="15"/>
        <v>0.35580262207493352</v>
      </c>
      <c r="F87" s="28">
        <f t="shared" ca="1" si="16"/>
        <v>328.83638468715253</v>
      </c>
      <c r="G87" s="23">
        <f t="shared" ca="1" si="17"/>
        <v>5.5027218439710168</v>
      </c>
      <c r="H87" s="23">
        <f t="shared" ca="1" si="18"/>
        <v>5.8585244660459352</v>
      </c>
    </row>
    <row r="88" spans="1:8" x14ac:dyDescent="0.2">
      <c r="A88" s="1">
        <v>77</v>
      </c>
      <c r="B88" s="27">
        <f t="shared" ca="1" si="14"/>
        <v>1.3961372501705547</v>
      </c>
      <c r="C88" s="23">
        <f t="shared" ca="1" si="19"/>
        <v>324.37399747127716</v>
      </c>
      <c r="D88" s="23">
        <f t="shared" ca="1" si="20"/>
        <v>328.83638468715253</v>
      </c>
      <c r="E88" s="23">
        <f t="shared" ca="1" si="15"/>
        <v>6.4379810028355218</v>
      </c>
      <c r="F88" s="28">
        <f t="shared" ca="1" si="16"/>
        <v>335.27436568998803</v>
      </c>
      <c r="G88" s="23">
        <f t="shared" ca="1" si="17"/>
        <v>4.462387215875367</v>
      </c>
      <c r="H88" s="23">
        <f t="shared" ca="1" si="18"/>
        <v>10.900368218710867</v>
      </c>
    </row>
    <row r="89" spans="1:8" x14ac:dyDescent="0.2">
      <c r="A89" s="1">
        <v>78</v>
      </c>
      <c r="B89" s="27">
        <f t="shared" ca="1" si="14"/>
        <v>4.1342764171979862</v>
      </c>
      <c r="C89" s="23">
        <f t="shared" ca="1" si="19"/>
        <v>328.50827388847517</v>
      </c>
      <c r="D89" s="23">
        <f t="shared" ca="1" si="20"/>
        <v>335.27436568998803</v>
      </c>
      <c r="E89" s="23">
        <f t="shared" ca="1" si="15"/>
        <v>4.8592576532124214</v>
      </c>
      <c r="F89" s="28">
        <f t="shared" ca="1" si="16"/>
        <v>340.13362334320044</v>
      </c>
      <c r="G89" s="23">
        <f t="shared" ca="1" si="17"/>
        <v>6.7660918015128573</v>
      </c>
      <c r="H89" s="23">
        <f t="shared" ca="1" si="18"/>
        <v>11.625349454725267</v>
      </c>
    </row>
    <row r="90" spans="1:8" x14ac:dyDescent="0.2">
      <c r="A90" s="1">
        <v>79</v>
      </c>
      <c r="B90" s="27">
        <f t="shared" ca="1" si="14"/>
        <v>2.5973928933697299</v>
      </c>
      <c r="C90" s="23">
        <f t="shared" ca="1" si="19"/>
        <v>331.10566678184489</v>
      </c>
      <c r="D90" s="23">
        <f t="shared" ca="1" si="20"/>
        <v>340.13362334320044</v>
      </c>
      <c r="E90" s="23">
        <f t="shared" ca="1" si="15"/>
        <v>2.7019324275962679</v>
      </c>
      <c r="F90" s="28">
        <f t="shared" ca="1" si="16"/>
        <v>342.8355557707967</v>
      </c>
      <c r="G90" s="23">
        <f t="shared" ca="1" si="17"/>
        <v>9.0279565613555519</v>
      </c>
      <c r="H90" s="23">
        <f t="shared" ca="1" si="18"/>
        <v>11.729888988951814</v>
      </c>
    </row>
    <row r="91" spans="1:8" x14ac:dyDescent="0.2">
      <c r="A91" s="1">
        <v>80</v>
      </c>
      <c r="B91" s="27">
        <f t="shared" ca="1" si="14"/>
        <v>3.0239356090263088</v>
      </c>
      <c r="C91" s="23">
        <f t="shared" ca="1" si="19"/>
        <v>334.12960239087118</v>
      </c>
      <c r="D91" s="23">
        <f t="shared" ca="1" si="20"/>
        <v>342.8355557707967</v>
      </c>
      <c r="E91" s="23">
        <f t="shared" ca="1" si="15"/>
        <v>5.8809895646930306</v>
      </c>
      <c r="F91" s="28">
        <f t="shared" ca="1" si="16"/>
        <v>348.71654533548974</v>
      </c>
      <c r="G91" s="23">
        <f t="shared" ca="1" si="17"/>
        <v>8.7059533799255178</v>
      </c>
      <c r="H91" s="23">
        <f t="shared" ca="1" si="18"/>
        <v>14.586942944618556</v>
      </c>
    </row>
    <row r="92" spans="1:8" x14ac:dyDescent="0.2">
      <c r="A92" s="1">
        <v>81</v>
      </c>
      <c r="B92" s="27">
        <f t="shared" ca="1" si="14"/>
        <v>8.3681009599441261</v>
      </c>
      <c r="C92" s="23">
        <f t="shared" ca="1" si="19"/>
        <v>342.4977033508153</v>
      </c>
      <c r="D92" s="23">
        <f t="shared" ca="1" si="20"/>
        <v>348.71654533548974</v>
      </c>
      <c r="E92" s="23">
        <f t="shared" ca="1" si="15"/>
        <v>2.0317025947072507</v>
      </c>
      <c r="F92" s="28">
        <f t="shared" ca="1" si="16"/>
        <v>350.74824793019701</v>
      </c>
      <c r="G92" s="23">
        <f t="shared" ca="1" si="17"/>
        <v>6.2188419846744409</v>
      </c>
      <c r="H92" s="23">
        <f t="shared" ca="1" si="18"/>
        <v>8.2505445793817103</v>
      </c>
    </row>
    <row r="93" spans="1:8" x14ac:dyDescent="0.2">
      <c r="A93" s="1">
        <v>82</v>
      </c>
      <c r="B93" s="27">
        <f t="shared" ca="1" si="14"/>
        <v>0.30026842623728539</v>
      </c>
      <c r="C93" s="23">
        <f t="shared" ca="1" si="19"/>
        <v>342.79797177705257</v>
      </c>
      <c r="D93" s="23">
        <f t="shared" ca="1" si="20"/>
        <v>350.74824793019701</v>
      </c>
      <c r="E93" s="23">
        <f t="shared" ca="1" si="15"/>
        <v>2.8460703625223314</v>
      </c>
      <c r="F93" s="28">
        <f t="shared" ca="1" si="16"/>
        <v>353.59431829271932</v>
      </c>
      <c r="G93" s="23">
        <f t="shared" ca="1" si="17"/>
        <v>7.9502761531444435</v>
      </c>
      <c r="H93" s="23">
        <f t="shared" ca="1" si="18"/>
        <v>10.796346515666755</v>
      </c>
    </row>
    <row r="94" spans="1:8" x14ac:dyDescent="0.2">
      <c r="A94" s="1">
        <v>83</v>
      </c>
      <c r="B94" s="27">
        <f t="shared" ca="1" si="14"/>
        <v>0.35926513230502277</v>
      </c>
      <c r="C94" s="23">
        <f t="shared" ca="1" si="19"/>
        <v>343.15723690935761</v>
      </c>
      <c r="D94" s="23">
        <f t="shared" ca="1" si="20"/>
        <v>353.59431829271932</v>
      </c>
      <c r="E94" s="23">
        <f t="shared" ca="1" si="15"/>
        <v>4.2716423350855024</v>
      </c>
      <c r="F94" s="28">
        <f t="shared" ca="1" si="16"/>
        <v>357.86596062780484</v>
      </c>
      <c r="G94" s="23">
        <f t="shared" ca="1" si="17"/>
        <v>10.437081383361715</v>
      </c>
      <c r="H94" s="23">
        <f t="shared" ca="1" si="18"/>
        <v>14.708723718447231</v>
      </c>
    </row>
    <row r="95" spans="1:8" x14ac:dyDescent="0.2">
      <c r="A95" s="1">
        <v>84</v>
      </c>
      <c r="B95" s="27">
        <f t="shared" ca="1" si="14"/>
        <v>0.23558646325725049</v>
      </c>
      <c r="C95" s="23">
        <f t="shared" ca="1" si="19"/>
        <v>343.39282337261488</v>
      </c>
      <c r="D95" s="23">
        <f t="shared" ca="1" si="20"/>
        <v>357.86596062780484</v>
      </c>
      <c r="E95" s="23">
        <f t="shared" ca="1" si="15"/>
        <v>6.3401496026230717</v>
      </c>
      <c r="F95" s="28">
        <f t="shared" ca="1" si="16"/>
        <v>364.2061102304279</v>
      </c>
      <c r="G95" s="23">
        <f t="shared" ca="1" si="17"/>
        <v>14.473137255189954</v>
      </c>
      <c r="H95" s="23">
        <f t="shared" ca="1" si="18"/>
        <v>20.813286857813011</v>
      </c>
    </row>
    <row r="96" spans="1:8" x14ac:dyDescent="0.2">
      <c r="A96" s="1">
        <v>85</v>
      </c>
      <c r="B96" s="27">
        <f t="shared" ca="1" si="14"/>
        <v>4.3383873449838077</v>
      </c>
      <c r="C96" s="23">
        <f t="shared" ca="1" si="19"/>
        <v>347.73121071759869</v>
      </c>
      <c r="D96" s="23">
        <f t="shared" ca="1" si="20"/>
        <v>364.2061102304279</v>
      </c>
      <c r="E96" s="23">
        <f t="shared" ca="1" si="15"/>
        <v>7.6340150050454572</v>
      </c>
      <c r="F96" s="28">
        <f t="shared" ca="1" si="16"/>
        <v>371.84012523547335</v>
      </c>
      <c r="G96" s="23">
        <f t="shared" ca="1" si="17"/>
        <v>16.474899512829211</v>
      </c>
      <c r="H96" s="23">
        <f t="shared" ca="1" si="18"/>
        <v>24.108914517874666</v>
      </c>
    </row>
    <row r="97" spans="1:8" x14ac:dyDescent="0.2">
      <c r="A97" s="1">
        <v>86</v>
      </c>
      <c r="B97" s="27">
        <f t="shared" ca="1" si="14"/>
        <v>5.3846066329013045</v>
      </c>
      <c r="C97" s="23">
        <f t="shared" ca="1" si="19"/>
        <v>353.11581735049998</v>
      </c>
      <c r="D97" s="23">
        <f t="shared" ca="1" si="20"/>
        <v>371.84012523547335</v>
      </c>
      <c r="E97" s="23">
        <f t="shared" ca="1" si="15"/>
        <v>6.476259992372805</v>
      </c>
      <c r="F97" s="28">
        <f t="shared" ca="1" si="16"/>
        <v>378.31638522784618</v>
      </c>
      <c r="G97" s="23">
        <f t="shared" ca="1" si="17"/>
        <v>18.724307884973371</v>
      </c>
      <c r="H97" s="23">
        <f t="shared" ca="1" si="18"/>
        <v>25.200567877346202</v>
      </c>
    </row>
    <row r="98" spans="1:8" x14ac:dyDescent="0.2">
      <c r="A98" s="1">
        <v>87</v>
      </c>
      <c r="B98" s="27">
        <f t="shared" ca="1" si="14"/>
        <v>7.1886210239924857</v>
      </c>
      <c r="C98" s="23">
        <f t="shared" ca="1" si="19"/>
        <v>360.30443837449246</v>
      </c>
      <c r="D98" s="23">
        <f t="shared" ca="1" si="20"/>
        <v>378.31638522784618</v>
      </c>
      <c r="E98" s="23">
        <f t="shared" ca="1" si="15"/>
        <v>2.6808978379662953</v>
      </c>
      <c r="F98" s="28">
        <f t="shared" ca="1" si="16"/>
        <v>380.9972830658125</v>
      </c>
      <c r="G98" s="23">
        <f t="shared" ca="1" si="17"/>
        <v>18.01194685335372</v>
      </c>
      <c r="H98" s="23">
        <f t="shared" ca="1" si="18"/>
        <v>20.692844691320033</v>
      </c>
    </row>
    <row r="99" spans="1:8" x14ac:dyDescent="0.2">
      <c r="A99" s="1">
        <v>88</v>
      </c>
      <c r="B99" s="27">
        <f t="shared" ca="1" si="14"/>
        <v>9.6598435597798478</v>
      </c>
      <c r="C99" s="23">
        <f t="shared" ca="1" si="19"/>
        <v>369.96428193427232</v>
      </c>
      <c r="D99" s="23">
        <f t="shared" ca="1" si="20"/>
        <v>380.9972830658125</v>
      </c>
      <c r="E99" s="23">
        <f t="shared" ca="1" si="15"/>
        <v>2.6533817071010004</v>
      </c>
      <c r="F99" s="28">
        <f t="shared" ca="1" si="16"/>
        <v>383.6506647729135</v>
      </c>
      <c r="G99" s="23">
        <f t="shared" ca="1" si="17"/>
        <v>11.033001131540175</v>
      </c>
      <c r="H99" s="23">
        <f t="shared" ca="1" si="18"/>
        <v>13.68638283864118</v>
      </c>
    </row>
    <row r="100" spans="1:8" x14ac:dyDescent="0.2">
      <c r="A100" s="1">
        <v>89</v>
      </c>
      <c r="B100" s="27">
        <f t="shared" ca="1" si="14"/>
        <v>2.8533600450465615</v>
      </c>
      <c r="C100" s="23">
        <f t="shared" ca="1" si="19"/>
        <v>372.81764197931886</v>
      </c>
      <c r="D100" s="23">
        <f t="shared" ca="1" si="20"/>
        <v>383.6506647729135</v>
      </c>
      <c r="E100" s="23">
        <f t="shared" ca="1" si="15"/>
        <v>6.794483428438185</v>
      </c>
      <c r="F100" s="28">
        <f t="shared" ca="1" si="16"/>
        <v>390.44514820135169</v>
      </c>
      <c r="G100" s="23">
        <f t="shared" ca="1" si="17"/>
        <v>10.833022793594637</v>
      </c>
      <c r="H100" s="23">
        <f t="shared" ca="1" si="18"/>
        <v>17.627506222032821</v>
      </c>
    </row>
    <row r="101" spans="1:8" x14ac:dyDescent="0.2">
      <c r="A101" s="1">
        <v>90</v>
      </c>
      <c r="B101" s="27">
        <f t="shared" ca="1" si="14"/>
        <v>2.6268318865088816</v>
      </c>
      <c r="C101" s="23">
        <f t="shared" ca="1" si="19"/>
        <v>375.44447386582772</v>
      </c>
      <c r="D101" s="23">
        <f t="shared" ca="1" si="20"/>
        <v>390.44514820135169</v>
      </c>
      <c r="E101" s="23">
        <f t="shared" ca="1" si="15"/>
        <v>1.3251363513998076</v>
      </c>
      <c r="F101" s="28">
        <f t="shared" ca="1" si="16"/>
        <v>391.77028455275149</v>
      </c>
      <c r="G101" s="23">
        <f t="shared" ca="1" si="17"/>
        <v>15.000674335523968</v>
      </c>
      <c r="H101" s="23">
        <f t="shared" ca="1" si="18"/>
        <v>16.325810686923774</v>
      </c>
    </row>
    <row r="102" spans="1:8" x14ac:dyDescent="0.2">
      <c r="A102" s="1">
        <v>91</v>
      </c>
      <c r="B102" s="27">
        <f t="shared" ca="1" si="14"/>
        <v>17.673513687605844</v>
      </c>
      <c r="C102" s="23">
        <f t="shared" ca="1" si="19"/>
        <v>393.11798755343358</v>
      </c>
      <c r="D102" s="23">
        <f t="shared" ca="1" si="20"/>
        <v>393.11798755343358</v>
      </c>
      <c r="E102" s="23">
        <f t="shared" ca="1" si="15"/>
        <v>1.0895729956074591</v>
      </c>
      <c r="F102" s="28">
        <f t="shared" ca="1" si="16"/>
        <v>394.20756054904103</v>
      </c>
      <c r="G102" s="23">
        <f t="shared" ca="1" si="17"/>
        <v>0</v>
      </c>
      <c r="H102" s="23">
        <f t="shared" ca="1" si="18"/>
        <v>1.0895729956074547</v>
      </c>
    </row>
    <row r="103" spans="1:8" x14ac:dyDescent="0.2">
      <c r="A103" s="1">
        <v>92</v>
      </c>
      <c r="B103" s="27">
        <f t="shared" ca="1" si="14"/>
        <v>2.6684348970852634</v>
      </c>
      <c r="C103" s="23">
        <f t="shared" ca="1" si="19"/>
        <v>395.78642245051884</v>
      </c>
      <c r="D103" s="23">
        <f t="shared" ca="1" si="20"/>
        <v>395.78642245051884</v>
      </c>
      <c r="E103" s="23">
        <f t="shared" ca="1" si="15"/>
        <v>3.2595955672633785</v>
      </c>
      <c r="F103" s="28">
        <f t="shared" ca="1" si="16"/>
        <v>399.04601801778222</v>
      </c>
      <c r="G103" s="23">
        <f t="shared" ca="1" si="17"/>
        <v>0</v>
      </c>
      <c r="H103" s="23">
        <f t="shared" ca="1" si="18"/>
        <v>3.259595567263375</v>
      </c>
    </row>
    <row r="104" spans="1:8" x14ac:dyDescent="0.2">
      <c r="A104" s="1">
        <v>93</v>
      </c>
      <c r="B104" s="27">
        <f t="shared" ca="1" si="14"/>
        <v>0.60192020590267958</v>
      </c>
      <c r="C104" s="23">
        <f t="shared" ca="1" si="19"/>
        <v>396.38834265642151</v>
      </c>
      <c r="D104" s="23">
        <f t="shared" ca="1" si="20"/>
        <v>399.04601801778222</v>
      </c>
      <c r="E104" s="23">
        <f t="shared" ca="1" si="15"/>
        <v>7.9817182608574191</v>
      </c>
      <c r="F104" s="28">
        <f t="shared" ca="1" si="16"/>
        <v>407.02773627863962</v>
      </c>
      <c r="G104" s="23">
        <f t="shared" ca="1" si="17"/>
        <v>2.6576753613607025</v>
      </c>
      <c r="H104" s="23">
        <f t="shared" ca="1" si="18"/>
        <v>10.639393622218108</v>
      </c>
    </row>
    <row r="105" spans="1:8" x14ac:dyDescent="0.2">
      <c r="A105" s="1">
        <v>94</v>
      </c>
      <c r="B105" s="27">
        <f t="shared" ca="1" si="14"/>
        <v>3.2627418343250709</v>
      </c>
      <c r="C105" s="23">
        <f t="shared" ca="1" si="19"/>
        <v>399.6510844907466</v>
      </c>
      <c r="D105" s="23">
        <f t="shared" ca="1" si="20"/>
        <v>407.02773627863962</v>
      </c>
      <c r="E105" s="23">
        <f t="shared" ca="1" si="15"/>
        <v>5.9240628014826839</v>
      </c>
      <c r="F105" s="28">
        <f t="shared" ca="1" si="16"/>
        <v>412.95179908012233</v>
      </c>
      <c r="G105" s="23">
        <f t="shared" ca="1" si="17"/>
        <v>7.3766517878930244</v>
      </c>
      <c r="H105" s="23">
        <f t="shared" ca="1" si="18"/>
        <v>13.30071458937573</v>
      </c>
    </row>
    <row r="106" spans="1:8" x14ac:dyDescent="0.2">
      <c r="A106" s="1">
        <v>95</v>
      </c>
      <c r="B106" s="27">
        <f t="shared" ca="1" si="14"/>
        <v>3.1339036210791309</v>
      </c>
      <c r="C106" s="23">
        <f t="shared" ca="1" si="19"/>
        <v>402.78498811182573</v>
      </c>
      <c r="D106" s="23">
        <f t="shared" ca="1" si="20"/>
        <v>412.95179908012233</v>
      </c>
      <c r="E106" s="23">
        <f t="shared" ca="1" si="15"/>
        <v>0.71260238371443307</v>
      </c>
      <c r="F106" s="28">
        <f t="shared" ca="1" si="16"/>
        <v>413.66440146383678</v>
      </c>
      <c r="G106" s="23">
        <f t="shared" ca="1" si="17"/>
        <v>10.166810968296602</v>
      </c>
      <c r="H106" s="23">
        <f t="shared" ca="1" si="18"/>
        <v>10.879413352011056</v>
      </c>
    </row>
    <row r="107" spans="1:8" x14ac:dyDescent="0.2">
      <c r="A107" s="1">
        <v>96</v>
      </c>
      <c r="B107" s="27">
        <f t="shared" ca="1" si="14"/>
        <v>5.4459212935301373</v>
      </c>
      <c r="C107" s="23">
        <f t="shared" ca="1" si="19"/>
        <v>408.23090940535587</v>
      </c>
      <c r="D107" s="23">
        <f t="shared" ca="1" si="20"/>
        <v>413.66440146383678</v>
      </c>
      <c r="E107" s="23">
        <f t="shared" ca="1" si="15"/>
        <v>3.2996314459558116</v>
      </c>
      <c r="F107" s="28">
        <f t="shared" ca="1" si="16"/>
        <v>416.96403290979259</v>
      </c>
      <c r="G107" s="23">
        <f t="shared" ca="1" si="17"/>
        <v>5.4334920584809083</v>
      </c>
      <c r="H107" s="23">
        <f t="shared" ca="1" si="18"/>
        <v>8.733123504436719</v>
      </c>
    </row>
    <row r="108" spans="1:8" x14ac:dyDescent="0.2">
      <c r="A108" s="1">
        <v>97</v>
      </c>
      <c r="B108" s="27">
        <f t="shared" ca="1" si="14"/>
        <v>7.0113524235687414</v>
      </c>
      <c r="C108" s="23">
        <f t="shared" ca="1" si="19"/>
        <v>415.2422618289246</v>
      </c>
      <c r="D108" s="23">
        <f t="shared" ca="1" si="20"/>
        <v>416.96403290979259</v>
      </c>
      <c r="E108" s="23">
        <f t="shared" ca="1" si="15"/>
        <v>3.57583352342869</v>
      </c>
      <c r="F108" s="28">
        <f ca="1">D108+E108</f>
        <v>420.53986643322128</v>
      </c>
      <c r="G108" s="23">
        <f t="shared" ca="1" si="17"/>
        <v>1.7217710808679954</v>
      </c>
      <c r="H108" s="23">
        <f t="shared" ca="1" si="18"/>
        <v>5.29760460429668</v>
      </c>
    </row>
    <row r="109" spans="1:8" x14ac:dyDescent="0.2">
      <c r="A109" s="1">
        <v>98</v>
      </c>
      <c r="B109" s="27">
        <f t="shared" ca="1" si="14"/>
        <v>5.0459465643386814</v>
      </c>
      <c r="C109" s="23">
        <f ca="1">C108+B109</f>
        <v>420.28820839326329</v>
      </c>
      <c r="D109" s="23">
        <f ca="1">MAX(F108,C109)</f>
        <v>420.53986643322128</v>
      </c>
      <c r="E109" s="23">
        <f t="shared" ca="1" si="15"/>
        <v>2.0998042352130328</v>
      </c>
      <c r="F109" s="28">
        <f ca="1">D109+E109</f>
        <v>422.63967066843429</v>
      </c>
      <c r="G109" s="23">
        <f t="shared" ca="1" si="17"/>
        <v>0.25165803995798797</v>
      </c>
      <c r="H109" s="23">
        <f t="shared" ca="1" si="18"/>
        <v>2.3514622751710021</v>
      </c>
    </row>
    <row r="110" spans="1:8" x14ac:dyDescent="0.2">
      <c r="A110" s="1">
        <v>99</v>
      </c>
      <c r="B110" s="27">
        <f t="shared" ca="1" si="14"/>
        <v>2.8093378384733532</v>
      </c>
      <c r="C110" s="23">
        <f ca="1">C109+B110</f>
        <v>423.09754623173666</v>
      </c>
      <c r="D110" s="23">
        <f ca="1">MAX(F109,C110)</f>
        <v>423.09754623173666</v>
      </c>
      <c r="E110" s="23">
        <f t="shared" ca="1" si="15"/>
        <v>0.77297823171516988</v>
      </c>
      <c r="F110" s="28">
        <f ca="1">D110+E110</f>
        <v>423.87052446345183</v>
      </c>
      <c r="G110" s="23">
        <f t="shared" ca="1" si="17"/>
        <v>0</v>
      </c>
      <c r="H110" s="23">
        <f t="shared" ca="1" si="18"/>
        <v>0.77297823171517166</v>
      </c>
    </row>
    <row r="111" spans="1:8" x14ac:dyDescent="0.2">
      <c r="A111" s="1">
        <v>100</v>
      </c>
      <c r="B111" s="27">
        <f t="shared" ca="1" si="14"/>
        <v>4.1698451584046463</v>
      </c>
      <c r="C111" s="23">
        <f ca="1">C110+B111</f>
        <v>427.26739139014131</v>
      </c>
      <c r="D111" s="23">
        <f ca="1">MAX(F110,C111)</f>
        <v>427.26739139014131</v>
      </c>
      <c r="E111" s="23">
        <f t="shared" ca="1" si="15"/>
        <v>7.4751647486644659</v>
      </c>
      <c r="F111" s="28">
        <f ca="1">D111+E111</f>
        <v>434.74255613880575</v>
      </c>
      <c r="G111" s="23">
        <f t="shared" ca="1" si="17"/>
        <v>0</v>
      </c>
      <c r="H111" s="23">
        <f t="shared" ca="1" si="18"/>
        <v>7.4751647486644401</v>
      </c>
    </row>
    <row r="112" spans="1:8" x14ac:dyDescent="0.2">
      <c r="B112" s="23"/>
      <c r="C112" s="23"/>
      <c r="D112" s="23"/>
      <c r="E112" s="23"/>
      <c r="F112" s="23"/>
      <c r="G112" s="23"/>
      <c r="H112" s="23"/>
    </row>
    <row r="113" spans="2:8" x14ac:dyDescent="0.2">
      <c r="B113" s="23"/>
      <c r="C113" s="23"/>
      <c r="D113" s="23"/>
      <c r="E113" s="23"/>
      <c r="F113" s="23"/>
      <c r="G113" s="23"/>
      <c r="H113" s="23"/>
    </row>
    <row r="114" spans="2:8" x14ac:dyDescent="0.2">
      <c r="B114" s="23"/>
      <c r="C114" s="23"/>
      <c r="D114" s="23"/>
      <c r="E114" s="23"/>
      <c r="F114" s="23"/>
      <c r="G114" s="23"/>
      <c r="H114" s="23"/>
    </row>
    <row r="115" spans="2:8" x14ac:dyDescent="0.2">
      <c r="B115" s="23"/>
      <c r="C115" s="23"/>
      <c r="D115" s="23"/>
      <c r="E115" s="23"/>
      <c r="F115" s="23"/>
      <c r="G115" s="23"/>
      <c r="H115" s="23"/>
    </row>
    <row r="116" spans="2:8" x14ac:dyDescent="0.2">
      <c r="B116" s="23"/>
      <c r="C116" s="23"/>
      <c r="D116" s="23"/>
      <c r="E116" s="23"/>
      <c r="F116" s="23"/>
      <c r="G116" s="23"/>
      <c r="H116" s="23"/>
    </row>
    <row r="117" spans="2:8" x14ac:dyDescent="0.2">
      <c r="B117" s="23"/>
      <c r="C117" s="23"/>
      <c r="D117" s="23"/>
      <c r="E117" s="23"/>
      <c r="F117" s="23"/>
      <c r="G117" s="23"/>
      <c r="H117" s="23"/>
    </row>
    <row r="118" spans="2:8" x14ac:dyDescent="0.2">
      <c r="B118" s="23"/>
      <c r="C118" s="23"/>
      <c r="D118" s="23"/>
      <c r="E118" s="23"/>
      <c r="F118" s="23"/>
      <c r="G118" s="23"/>
      <c r="H118" s="23"/>
    </row>
    <row r="119" spans="2:8" x14ac:dyDescent="0.2">
      <c r="B119" s="23"/>
      <c r="C119" s="23"/>
      <c r="D119" s="23"/>
      <c r="E119" s="23"/>
      <c r="F119" s="23"/>
      <c r="G119" s="23"/>
      <c r="H119" s="23"/>
    </row>
    <row r="120" spans="2:8" x14ac:dyDescent="0.2">
      <c r="B120" s="23"/>
      <c r="C120" s="23"/>
      <c r="D120" s="23"/>
      <c r="E120" s="23"/>
      <c r="F120" s="23"/>
      <c r="G120" s="23"/>
      <c r="H120" s="23"/>
    </row>
    <row r="121" spans="2:8" x14ac:dyDescent="0.2">
      <c r="B121" s="23"/>
      <c r="C121" s="23"/>
      <c r="D121" s="23"/>
      <c r="E121" s="23"/>
      <c r="F121" s="23"/>
      <c r="G121" s="23"/>
      <c r="H121" s="23"/>
    </row>
    <row r="122" spans="2:8" x14ac:dyDescent="0.2">
      <c r="B122" s="23"/>
      <c r="C122" s="23"/>
      <c r="D122" s="23"/>
      <c r="E122" s="23"/>
      <c r="F122" s="23"/>
      <c r="G122" s="23"/>
      <c r="H122" s="23"/>
    </row>
    <row r="123" spans="2:8" x14ac:dyDescent="0.2">
      <c r="B123" s="23"/>
      <c r="C123" s="23"/>
      <c r="D123" s="23"/>
      <c r="E123" s="23"/>
      <c r="F123" s="23"/>
      <c r="G123" s="23"/>
      <c r="H123" s="23"/>
    </row>
    <row r="124" spans="2:8" x14ac:dyDescent="0.2">
      <c r="B124" s="23"/>
      <c r="C124" s="23"/>
      <c r="D124" s="23"/>
      <c r="E124" s="23"/>
      <c r="F124" s="23"/>
      <c r="G124" s="23"/>
      <c r="H124" s="23"/>
    </row>
    <row r="125" spans="2:8" x14ac:dyDescent="0.2">
      <c r="B125" s="23"/>
      <c r="C125" s="23"/>
      <c r="D125" s="23"/>
      <c r="E125" s="23"/>
      <c r="F125" s="23"/>
      <c r="G125" s="23"/>
      <c r="H125" s="23"/>
    </row>
    <row r="126" spans="2:8" x14ac:dyDescent="0.2">
      <c r="B126" s="23"/>
      <c r="C126" s="23"/>
      <c r="D126" s="23"/>
      <c r="E126" s="23"/>
      <c r="F126" s="23"/>
      <c r="G126" s="23"/>
      <c r="H126" s="23"/>
    </row>
    <row r="127" spans="2:8" x14ac:dyDescent="0.2">
      <c r="B127" s="23"/>
      <c r="C127" s="23"/>
      <c r="D127" s="23"/>
      <c r="E127" s="23"/>
      <c r="F127" s="23"/>
      <c r="G127" s="23"/>
      <c r="H127" s="23"/>
    </row>
    <row r="128" spans="2:8" x14ac:dyDescent="0.2">
      <c r="B128" s="23"/>
      <c r="C128" s="23"/>
      <c r="D128" s="23"/>
      <c r="E128" s="23"/>
      <c r="F128" s="23"/>
      <c r="G128" s="23"/>
      <c r="H128" s="23"/>
    </row>
    <row r="129" spans="2:8" x14ac:dyDescent="0.2">
      <c r="B129" s="23"/>
      <c r="C129" s="23"/>
      <c r="D129" s="23"/>
      <c r="E129" s="23"/>
      <c r="F129" s="23"/>
      <c r="G129" s="23"/>
      <c r="H129" s="23"/>
    </row>
    <row r="130" spans="2:8" x14ac:dyDescent="0.2">
      <c r="B130" s="23"/>
      <c r="C130" s="23"/>
      <c r="D130" s="23"/>
      <c r="E130" s="23"/>
      <c r="F130" s="23"/>
      <c r="G130" s="23"/>
      <c r="H130" s="23"/>
    </row>
    <row r="131" spans="2:8" x14ac:dyDescent="0.2">
      <c r="B131" s="23"/>
      <c r="C131" s="23"/>
      <c r="D131" s="23"/>
      <c r="E131" s="23"/>
      <c r="F131" s="23"/>
      <c r="G131" s="23"/>
      <c r="H131" s="23"/>
    </row>
    <row r="132" spans="2:8" x14ac:dyDescent="0.2">
      <c r="B132" s="23"/>
      <c r="C132" s="23"/>
      <c r="D132" s="23"/>
      <c r="E132" s="23"/>
      <c r="F132" s="23"/>
      <c r="G132" s="23"/>
      <c r="H132" s="23"/>
    </row>
    <row r="133" spans="2:8" x14ac:dyDescent="0.2">
      <c r="B133" s="23"/>
      <c r="C133" s="23"/>
      <c r="D133" s="23"/>
      <c r="E133" s="23"/>
      <c r="F133" s="23"/>
      <c r="G133" s="23"/>
      <c r="H133" s="23"/>
    </row>
    <row r="134" spans="2:8" x14ac:dyDescent="0.2">
      <c r="B134" s="23"/>
      <c r="C134" s="23"/>
      <c r="D134" s="23"/>
      <c r="E134" s="23"/>
      <c r="F134" s="23"/>
      <c r="G134" s="23"/>
      <c r="H134" s="23"/>
    </row>
    <row r="135" spans="2:8" x14ac:dyDescent="0.2">
      <c r="B135" s="23"/>
      <c r="C135" s="23"/>
      <c r="D135" s="23"/>
      <c r="E135" s="23"/>
      <c r="F135" s="23"/>
      <c r="G135" s="23"/>
      <c r="H135" s="23"/>
    </row>
    <row r="136" spans="2:8" x14ac:dyDescent="0.2">
      <c r="B136" s="23"/>
      <c r="C136" s="23"/>
      <c r="D136" s="23"/>
      <c r="E136" s="23"/>
      <c r="F136" s="23"/>
      <c r="G136" s="23"/>
      <c r="H136" s="23"/>
    </row>
    <row r="137" spans="2:8" x14ac:dyDescent="0.2">
      <c r="B137" s="23"/>
      <c r="C137" s="23"/>
      <c r="D137" s="23"/>
      <c r="E137" s="23"/>
      <c r="F137" s="23"/>
      <c r="G137" s="23"/>
      <c r="H137" s="23"/>
    </row>
    <row r="138" spans="2:8" x14ac:dyDescent="0.2">
      <c r="B138" s="23"/>
      <c r="C138" s="23"/>
      <c r="D138" s="23"/>
      <c r="E138" s="23"/>
      <c r="F138" s="23"/>
      <c r="G138" s="23"/>
      <c r="H138" s="23"/>
    </row>
    <row r="139" spans="2:8" x14ac:dyDescent="0.2">
      <c r="B139" s="23"/>
      <c r="C139" s="23"/>
      <c r="D139" s="23"/>
      <c r="E139" s="23"/>
      <c r="F139" s="23"/>
      <c r="G139" s="23"/>
      <c r="H139" s="23"/>
    </row>
    <row r="140" spans="2:8" x14ac:dyDescent="0.2">
      <c r="B140" s="23"/>
      <c r="C140" s="23"/>
      <c r="D140" s="23"/>
      <c r="E140" s="23"/>
      <c r="F140" s="23"/>
      <c r="G140" s="23"/>
      <c r="H140" s="23"/>
    </row>
    <row r="141" spans="2:8" x14ac:dyDescent="0.2">
      <c r="B141" s="23"/>
      <c r="C141" s="23"/>
      <c r="D141" s="23"/>
      <c r="E141" s="23"/>
      <c r="F141" s="23"/>
      <c r="G141" s="23"/>
      <c r="H141" s="23"/>
    </row>
    <row r="142" spans="2:8" x14ac:dyDescent="0.2">
      <c r="B142" s="23"/>
      <c r="C142" s="23"/>
      <c r="D142" s="23"/>
      <c r="E142" s="23"/>
      <c r="F142" s="23"/>
      <c r="G142" s="23"/>
      <c r="H142" s="23"/>
    </row>
    <row r="143" spans="2:8" x14ac:dyDescent="0.2">
      <c r="B143" s="23"/>
      <c r="C143" s="23"/>
      <c r="D143" s="23"/>
      <c r="E143" s="23"/>
      <c r="F143" s="23"/>
      <c r="G143" s="23"/>
      <c r="H143" s="23"/>
    </row>
    <row r="144" spans="2:8" x14ac:dyDescent="0.2">
      <c r="B144" s="23"/>
      <c r="C144" s="23"/>
      <c r="D144" s="23"/>
      <c r="E144" s="23"/>
      <c r="F144" s="23"/>
      <c r="G144" s="23"/>
      <c r="H144" s="23"/>
    </row>
    <row r="145" spans="2:8" x14ac:dyDescent="0.2">
      <c r="B145" s="23"/>
      <c r="C145" s="23"/>
      <c r="D145" s="23"/>
      <c r="E145" s="23"/>
      <c r="F145" s="23"/>
      <c r="G145" s="23"/>
      <c r="H145" s="23"/>
    </row>
    <row r="146" spans="2:8" x14ac:dyDescent="0.2">
      <c r="B146" s="23"/>
      <c r="C146" s="23"/>
      <c r="D146" s="23"/>
      <c r="E146" s="23"/>
      <c r="F146" s="23"/>
      <c r="G146" s="23"/>
      <c r="H146" s="23"/>
    </row>
    <row r="147" spans="2:8" x14ac:dyDescent="0.2">
      <c r="B147" s="23"/>
      <c r="C147" s="23"/>
      <c r="D147" s="23"/>
      <c r="E147" s="23"/>
      <c r="F147" s="23"/>
      <c r="G147" s="23"/>
      <c r="H147" s="23"/>
    </row>
    <row r="148" spans="2:8" x14ac:dyDescent="0.2">
      <c r="B148" s="23"/>
      <c r="C148" s="23"/>
      <c r="D148" s="23"/>
      <c r="E148" s="23"/>
      <c r="F148" s="23"/>
      <c r="G148" s="23"/>
      <c r="H148" s="23"/>
    </row>
    <row r="149" spans="2:8" x14ac:dyDescent="0.2">
      <c r="B149" s="23"/>
      <c r="C149" s="23"/>
      <c r="D149" s="23"/>
      <c r="E149" s="23"/>
      <c r="F149" s="23"/>
      <c r="G149" s="23"/>
      <c r="H149" s="23"/>
    </row>
    <row r="150" spans="2:8" x14ac:dyDescent="0.2">
      <c r="B150" s="23"/>
      <c r="C150" s="23"/>
      <c r="D150" s="23"/>
      <c r="E150" s="23"/>
      <c r="F150" s="23"/>
      <c r="G150" s="23"/>
      <c r="H150" s="23"/>
    </row>
    <row r="151" spans="2:8" x14ac:dyDescent="0.2">
      <c r="B151" s="23"/>
      <c r="C151" s="23"/>
      <c r="D151" s="23"/>
      <c r="E151" s="23"/>
      <c r="F151" s="23"/>
      <c r="G151" s="23"/>
      <c r="H151" s="23"/>
    </row>
    <row r="152" spans="2:8" x14ac:dyDescent="0.2">
      <c r="B152" s="23"/>
      <c r="C152" s="23"/>
      <c r="D152" s="23"/>
      <c r="E152" s="23"/>
      <c r="F152" s="23"/>
      <c r="G152" s="23"/>
      <c r="H152" s="23"/>
    </row>
    <row r="153" spans="2:8" x14ac:dyDescent="0.2">
      <c r="B153" s="23"/>
      <c r="C153" s="23"/>
      <c r="D153" s="23"/>
      <c r="E153" s="23"/>
      <c r="F153" s="23"/>
      <c r="G153" s="23"/>
      <c r="H153" s="23"/>
    </row>
    <row r="154" spans="2:8" x14ac:dyDescent="0.2">
      <c r="B154" s="23"/>
      <c r="C154" s="23"/>
      <c r="D154" s="23"/>
      <c r="E154" s="23"/>
      <c r="F154" s="23"/>
      <c r="G154" s="23"/>
      <c r="H154" s="23"/>
    </row>
    <row r="155" spans="2:8" x14ac:dyDescent="0.2">
      <c r="B155" s="23"/>
      <c r="C155" s="23"/>
      <c r="D155" s="23"/>
      <c r="E155" s="23"/>
      <c r="F155" s="23"/>
      <c r="G155" s="23"/>
      <c r="H155" s="23"/>
    </row>
    <row r="156" spans="2:8" x14ac:dyDescent="0.2">
      <c r="B156" s="23"/>
      <c r="C156" s="23"/>
      <c r="D156" s="23"/>
      <c r="E156" s="23"/>
      <c r="F156" s="23"/>
      <c r="G156" s="23"/>
      <c r="H156" s="23"/>
    </row>
    <row r="157" spans="2:8" x14ac:dyDescent="0.2">
      <c r="B157" s="23"/>
      <c r="C157" s="23"/>
      <c r="D157" s="23"/>
      <c r="E157" s="23"/>
      <c r="F157" s="23"/>
      <c r="G157" s="23"/>
      <c r="H157" s="23"/>
    </row>
    <row r="158" spans="2:8" x14ac:dyDescent="0.2">
      <c r="B158" s="23"/>
      <c r="C158" s="23"/>
      <c r="D158" s="23"/>
      <c r="E158" s="23"/>
      <c r="F158" s="23"/>
      <c r="G158" s="23"/>
      <c r="H158" s="23"/>
    </row>
    <row r="159" spans="2:8" x14ac:dyDescent="0.2">
      <c r="B159" s="23"/>
      <c r="C159" s="23"/>
      <c r="D159" s="23"/>
      <c r="E159" s="23"/>
      <c r="F159" s="23"/>
      <c r="G159" s="23"/>
      <c r="H159" s="23"/>
    </row>
    <row r="160" spans="2:8" x14ac:dyDescent="0.2">
      <c r="B160" s="23"/>
      <c r="C160" s="23"/>
      <c r="D160" s="23"/>
      <c r="E160" s="23"/>
      <c r="F160" s="23"/>
      <c r="G160" s="23"/>
      <c r="H160" s="23"/>
    </row>
    <row r="161" spans="2:8" x14ac:dyDescent="0.2">
      <c r="B161" s="23"/>
      <c r="C161" s="23"/>
      <c r="D161" s="23"/>
      <c r="E161" s="23"/>
      <c r="F161" s="23"/>
      <c r="G161" s="23"/>
      <c r="H161" s="23"/>
    </row>
    <row r="162" spans="2:8" x14ac:dyDescent="0.2">
      <c r="B162" s="23"/>
      <c r="C162" s="23"/>
      <c r="D162" s="23"/>
      <c r="E162" s="23"/>
      <c r="F162" s="23"/>
      <c r="G162" s="23"/>
      <c r="H162" s="23"/>
    </row>
    <row r="163" spans="2:8" x14ac:dyDescent="0.2">
      <c r="B163" s="23"/>
      <c r="C163" s="23"/>
      <c r="D163" s="23"/>
      <c r="E163" s="23"/>
      <c r="F163" s="23"/>
      <c r="G163" s="23"/>
      <c r="H163" s="23"/>
    </row>
    <row r="164" spans="2:8" x14ac:dyDescent="0.2">
      <c r="B164" s="23"/>
      <c r="C164" s="23"/>
      <c r="D164" s="23"/>
      <c r="E164" s="23"/>
      <c r="F164" s="23"/>
      <c r="G164" s="23"/>
      <c r="H164" s="23"/>
    </row>
    <row r="165" spans="2:8" x14ac:dyDescent="0.2">
      <c r="B165" s="23"/>
      <c r="C165" s="23"/>
      <c r="D165" s="23"/>
      <c r="E165" s="23"/>
      <c r="F165" s="23"/>
      <c r="G165" s="23"/>
      <c r="H165" s="23"/>
    </row>
    <row r="166" spans="2:8" x14ac:dyDescent="0.2">
      <c r="B166" s="23"/>
      <c r="C166" s="23"/>
      <c r="D166" s="23"/>
      <c r="E166" s="23"/>
      <c r="F166" s="23"/>
      <c r="G166" s="23"/>
      <c r="H166" s="23"/>
    </row>
    <row r="167" spans="2:8" x14ac:dyDescent="0.2">
      <c r="B167" s="23"/>
      <c r="C167" s="23"/>
      <c r="D167" s="23"/>
      <c r="E167" s="23"/>
      <c r="F167" s="23"/>
      <c r="G167" s="23"/>
      <c r="H167" s="23"/>
    </row>
    <row r="168" spans="2:8" x14ac:dyDescent="0.2">
      <c r="B168" s="23"/>
      <c r="C168" s="23"/>
      <c r="D168" s="23"/>
      <c r="E168" s="23"/>
      <c r="F168" s="23"/>
      <c r="G168" s="23"/>
      <c r="H168" s="23"/>
    </row>
    <row r="169" spans="2:8" x14ac:dyDescent="0.2">
      <c r="B169" s="23"/>
      <c r="C169" s="23"/>
      <c r="D169" s="23"/>
      <c r="E169" s="23"/>
      <c r="F169" s="23"/>
      <c r="G169" s="23"/>
      <c r="H169" s="23"/>
    </row>
    <row r="170" spans="2:8" x14ac:dyDescent="0.2">
      <c r="B170" s="23"/>
      <c r="C170" s="23"/>
      <c r="D170" s="23"/>
      <c r="E170" s="23"/>
      <c r="F170" s="23"/>
      <c r="G170" s="23"/>
      <c r="H170" s="23"/>
    </row>
    <row r="171" spans="2:8" x14ac:dyDescent="0.2">
      <c r="B171" s="23"/>
      <c r="C171" s="23"/>
      <c r="D171" s="23"/>
      <c r="E171" s="23"/>
      <c r="F171" s="23"/>
      <c r="G171" s="23"/>
      <c r="H171" s="23"/>
    </row>
    <row r="172" spans="2:8" x14ac:dyDescent="0.2">
      <c r="B172" s="23"/>
      <c r="C172" s="23"/>
      <c r="D172" s="23"/>
      <c r="E172" s="23"/>
      <c r="F172" s="23"/>
      <c r="G172" s="23"/>
      <c r="H172" s="23"/>
    </row>
    <row r="173" spans="2:8" x14ac:dyDescent="0.2">
      <c r="B173" s="23"/>
      <c r="C173" s="23"/>
      <c r="D173" s="23"/>
      <c r="E173" s="23"/>
      <c r="F173" s="23"/>
      <c r="G173" s="23"/>
      <c r="H173" s="23"/>
    </row>
    <row r="174" spans="2:8" x14ac:dyDescent="0.2">
      <c r="B174" s="23"/>
      <c r="C174" s="23"/>
      <c r="D174" s="23"/>
      <c r="E174" s="23"/>
      <c r="F174" s="23"/>
      <c r="G174" s="23"/>
      <c r="H174" s="23"/>
    </row>
    <row r="175" spans="2:8" x14ac:dyDescent="0.2">
      <c r="B175" s="23"/>
      <c r="C175" s="23"/>
      <c r="D175" s="23"/>
      <c r="E175" s="23"/>
      <c r="F175" s="23"/>
      <c r="G175" s="23"/>
      <c r="H175" s="23"/>
    </row>
    <row r="176" spans="2:8" x14ac:dyDescent="0.2">
      <c r="B176" s="23"/>
      <c r="C176" s="23"/>
      <c r="D176" s="23"/>
      <c r="E176" s="23"/>
      <c r="F176" s="23"/>
      <c r="G176" s="23"/>
      <c r="H176" s="23"/>
    </row>
    <row r="177" spans="2:8" x14ac:dyDescent="0.2">
      <c r="B177" s="23"/>
      <c r="C177" s="23"/>
      <c r="D177" s="23"/>
      <c r="E177" s="23"/>
      <c r="F177" s="23"/>
      <c r="G177" s="23"/>
      <c r="H177" s="23"/>
    </row>
    <row r="178" spans="2:8" x14ac:dyDescent="0.2">
      <c r="B178" s="23"/>
      <c r="C178" s="23"/>
      <c r="D178" s="23"/>
      <c r="E178" s="23"/>
      <c r="F178" s="23"/>
      <c r="G178" s="23"/>
      <c r="H178" s="23"/>
    </row>
    <row r="179" spans="2:8" x14ac:dyDescent="0.2">
      <c r="B179" s="23"/>
      <c r="C179" s="23"/>
      <c r="D179" s="23"/>
      <c r="E179" s="23"/>
      <c r="F179" s="23"/>
      <c r="G179" s="23"/>
      <c r="H179" s="23"/>
    </row>
    <row r="180" spans="2:8" x14ac:dyDescent="0.2">
      <c r="B180" s="23"/>
      <c r="C180" s="23"/>
      <c r="D180" s="23"/>
      <c r="E180" s="23"/>
      <c r="F180" s="23"/>
      <c r="G180" s="23"/>
      <c r="H180" s="23"/>
    </row>
    <row r="181" spans="2:8" x14ac:dyDescent="0.2">
      <c r="B181" s="23"/>
      <c r="C181" s="23"/>
      <c r="D181" s="23"/>
      <c r="E181" s="23"/>
      <c r="F181" s="23"/>
      <c r="G181" s="23"/>
      <c r="H181" s="23"/>
    </row>
    <row r="182" spans="2:8" x14ac:dyDescent="0.2">
      <c r="B182" s="23"/>
      <c r="C182" s="23"/>
      <c r="D182" s="23"/>
      <c r="E182" s="23"/>
      <c r="F182" s="23"/>
      <c r="G182" s="23"/>
      <c r="H182" s="23"/>
    </row>
    <row r="183" spans="2:8" x14ac:dyDescent="0.2">
      <c r="B183" s="23"/>
      <c r="C183" s="23"/>
      <c r="D183" s="23"/>
      <c r="E183" s="23"/>
      <c r="F183" s="23"/>
      <c r="G183" s="23"/>
      <c r="H183" s="23"/>
    </row>
    <row r="184" spans="2:8" x14ac:dyDescent="0.2">
      <c r="B184" s="23"/>
      <c r="C184" s="23"/>
      <c r="D184" s="23"/>
      <c r="E184" s="23"/>
      <c r="F184" s="23"/>
      <c r="G184" s="23"/>
      <c r="H184" s="23"/>
    </row>
    <row r="185" spans="2:8" x14ac:dyDescent="0.2">
      <c r="B185" s="23"/>
      <c r="C185" s="23"/>
      <c r="D185" s="23"/>
      <c r="E185" s="23"/>
      <c r="F185" s="23"/>
      <c r="G185" s="23"/>
      <c r="H185" s="23"/>
    </row>
    <row r="186" spans="2:8" x14ac:dyDescent="0.2">
      <c r="B186" s="23"/>
      <c r="C186" s="23"/>
      <c r="D186" s="23"/>
      <c r="E186" s="23"/>
      <c r="F186" s="23"/>
      <c r="G186" s="23"/>
      <c r="H186" s="23"/>
    </row>
    <row r="187" spans="2:8" x14ac:dyDescent="0.2">
      <c r="B187" s="23"/>
      <c r="C187" s="23"/>
      <c r="D187" s="23"/>
      <c r="E187" s="23"/>
      <c r="F187" s="23"/>
      <c r="G187" s="23"/>
      <c r="H187" s="23"/>
    </row>
    <row r="188" spans="2:8" x14ac:dyDescent="0.2">
      <c r="B188" s="23"/>
      <c r="C188" s="23"/>
      <c r="D188" s="23"/>
      <c r="E188" s="23"/>
      <c r="F188" s="23"/>
      <c r="G188" s="23"/>
      <c r="H188" s="23"/>
    </row>
    <row r="189" spans="2:8" x14ac:dyDescent="0.2">
      <c r="B189" s="23"/>
      <c r="C189" s="23"/>
      <c r="D189" s="23"/>
      <c r="E189" s="23"/>
      <c r="F189" s="23"/>
      <c r="G189" s="23"/>
      <c r="H189" s="23"/>
    </row>
    <row r="190" spans="2:8" x14ac:dyDescent="0.2">
      <c r="B190" s="23"/>
      <c r="C190" s="23"/>
      <c r="D190" s="23"/>
      <c r="E190" s="23"/>
      <c r="F190" s="23"/>
      <c r="G190" s="23"/>
      <c r="H190" s="23"/>
    </row>
    <row r="191" spans="2:8" x14ac:dyDescent="0.2">
      <c r="B191" s="23"/>
      <c r="C191" s="23"/>
      <c r="D191" s="23"/>
      <c r="E191" s="23"/>
      <c r="F191" s="23"/>
      <c r="G191" s="23"/>
      <c r="H191" s="23"/>
    </row>
    <row r="192" spans="2:8" x14ac:dyDescent="0.2">
      <c r="B192" s="23"/>
      <c r="C192" s="23"/>
      <c r="D192" s="23"/>
      <c r="E192" s="23"/>
      <c r="F192" s="23"/>
      <c r="G192" s="23"/>
      <c r="H192" s="23"/>
    </row>
    <row r="193" spans="2:8" x14ac:dyDescent="0.2">
      <c r="B193" s="23"/>
      <c r="C193" s="23"/>
      <c r="D193" s="23"/>
      <c r="E193" s="23"/>
      <c r="F193" s="23"/>
      <c r="G193" s="23"/>
      <c r="H193" s="23"/>
    </row>
    <row r="194" spans="2:8" x14ac:dyDescent="0.2">
      <c r="B194" s="23"/>
      <c r="C194" s="23"/>
      <c r="D194" s="23"/>
      <c r="E194" s="23"/>
      <c r="F194" s="23"/>
      <c r="G194" s="23"/>
      <c r="H194" s="23"/>
    </row>
    <row r="195" spans="2:8" x14ac:dyDescent="0.2">
      <c r="B195" s="23"/>
      <c r="C195" s="23"/>
      <c r="D195" s="23"/>
      <c r="E195" s="23"/>
      <c r="F195" s="23"/>
      <c r="G195" s="23"/>
      <c r="H195" s="23"/>
    </row>
    <row r="196" spans="2:8" x14ac:dyDescent="0.2">
      <c r="B196" s="23"/>
      <c r="C196" s="23"/>
      <c r="D196" s="23"/>
      <c r="E196" s="23"/>
      <c r="F196" s="23"/>
      <c r="G196" s="23"/>
      <c r="H196" s="23"/>
    </row>
    <row r="197" spans="2:8" x14ac:dyDescent="0.2">
      <c r="B197" s="23"/>
      <c r="C197" s="23"/>
      <c r="D197" s="23"/>
      <c r="E197" s="23"/>
      <c r="F197" s="23"/>
      <c r="G197" s="23"/>
      <c r="H197" s="23"/>
    </row>
    <row r="198" spans="2:8" x14ac:dyDescent="0.2">
      <c r="B198" s="23"/>
      <c r="C198" s="23"/>
      <c r="D198" s="23"/>
      <c r="E198" s="23"/>
      <c r="F198" s="23"/>
      <c r="G198" s="23"/>
      <c r="H198" s="23"/>
    </row>
    <row r="199" spans="2:8" x14ac:dyDescent="0.2">
      <c r="B199" s="23"/>
      <c r="C199" s="23"/>
      <c r="D199" s="23"/>
      <c r="E199" s="23"/>
      <c r="F199" s="23"/>
      <c r="G199" s="23"/>
      <c r="H199" s="23"/>
    </row>
    <row r="200" spans="2:8" x14ac:dyDescent="0.2">
      <c r="B200" s="23"/>
      <c r="C200" s="23"/>
      <c r="D200" s="23"/>
      <c r="E200" s="23"/>
      <c r="F200" s="23"/>
      <c r="G200" s="23"/>
      <c r="H200" s="23"/>
    </row>
    <row r="201" spans="2:8" x14ac:dyDescent="0.2">
      <c r="B201" s="23"/>
      <c r="C201" s="23"/>
      <c r="D201" s="23"/>
      <c r="E201" s="23"/>
      <c r="F201" s="23"/>
      <c r="G201" s="23"/>
      <c r="H201" s="23"/>
    </row>
    <row r="202" spans="2:8" x14ac:dyDescent="0.2">
      <c r="B202" s="23"/>
      <c r="C202" s="23"/>
      <c r="D202" s="23"/>
      <c r="E202" s="23"/>
      <c r="F202" s="23"/>
      <c r="G202" s="23"/>
      <c r="H202" s="23"/>
    </row>
    <row r="203" spans="2:8" x14ac:dyDescent="0.2">
      <c r="B203" s="23"/>
      <c r="C203" s="23"/>
      <c r="D203" s="23"/>
      <c r="E203" s="23"/>
      <c r="F203" s="23"/>
      <c r="G203" s="23"/>
      <c r="H203" s="23"/>
    </row>
    <row r="204" spans="2:8" x14ac:dyDescent="0.2">
      <c r="B204" s="23"/>
      <c r="C204" s="23"/>
      <c r="D204" s="23"/>
      <c r="E204" s="23"/>
      <c r="F204" s="23"/>
      <c r="G204" s="23"/>
      <c r="H204" s="23"/>
    </row>
    <row r="205" spans="2:8" x14ac:dyDescent="0.2">
      <c r="B205" s="23"/>
      <c r="C205" s="23"/>
      <c r="D205" s="23"/>
      <c r="E205" s="23"/>
      <c r="F205" s="23"/>
      <c r="G205" s="23"/>
      <c r="H205" s="23"/>
    </row>
    <row r="206" spans="2:8" x14ac:dyDescent="0.2">
      <c r="B206" s="23"/>
      <c r="C206" s="23"/>
      <c r="D206" s="23"/>
      <c r="E206" s="23"/>
      <c r="F206" s="23"/>
      <c r="G206" s="23"/>
      <c r="H206" s="23"/>
    </row>
    <row r="207" spans="2:8" x14ac:dyDescent="0.2">
      <c r="B207" s="23"/>
      <c r="C207" s="23"/>
      <c r="D207" s="23"/>
      <c r="E207" s="23"/>
      <c r="F207" s="23"/>
      <c r="G207" s="23"/>
      <c r="H207" s="23"/>
    </row>
    <row r="208" spans="2:8" x14ac:dyDescent="0.2">
      <c r="B208" s="23"/>
      <c r="C208" s="23"/>
      <c r="D208" s="23"/>
      <c r="E208" s="23"/>
      <c r="F208" s="23"/>
      <c r="G208" s="23"/>
      <c r="H208" s="23"/>
    </row>
    <row r="209" spans="2:8" x14ac:dyDescent="0.2">
      <c r="B209" s="23"/>
      <c r="C209" s="23"/>
      <c r="D209" s="23"/>
      <c r="E209" s="23"/>
      <c r="F209" s="23"/>
      <c r="G209" s="23"/>
      <c r="H209" s="23"/>
    </row>
    <row r="210" spans="2:8" x14ac:dyDescent="0.2">
      <c r="B210" s="23"/>
      <c r="C210" s="23"/>
      <c r="D210" s="23"/>
      <c r="E210" s="23"/>
      <c r="F210" s="23"/>
      <c r="G210" s="23"/>
      <c r="H210" s="23"/>
    </row>
    <row r="211" spans="2:8" x14ac:dyDescent="0.2">
      <c r="B211" s="23"/>
      <c r="C211" s="23"/>
      <c r="D211" s="23"/>
      <c r="E211" s="23"/>
      <c r="F211" s="23"/>
      <c r="G211" s="23"/>
      <c r="H211" s="23"/>
    </row>
    <row r="212" spans="2:8" x14ac:dyDescent="0.2">
      <c r="B212" s="23"/>
      <c r="C212" s="23"/>
      <c r="D212" s="23"/>
      <c r="E212" s="23"/>
      <c r="F212" s="23"/>
      <c r="G212" s="23"/>
      <c r="H212" s="23"/>
    </row>
    <row r="213" spans="2:8" x14ac:dyDescent="0.2">
      <c r="B213" s="23"/>
      <c r="C213" s="23"/>
      <c r="D213" s="23"/>
      <c r="E213" s="23"/>
      <c r="F213" s="23"/>
      <c r="G213" s="23"/>
      <c r="H213" s="23"/>
    </row>
    <row r="214" spans="2:8" x14ac:dyDescent="0.2">
      <c r="B214" s="23"/>
      <c r="C214" s="23"/>
      <c r="D214" s="23"/>
      <c r="E214" s="23"/>
      <c r="F214" s="23"/>
      <c r="G214" s="23"/>
      <c r="H214" s="23"/>
    </row>
    <row r="215" spans="2:8" x14ac:dyDescent="0.2">
      <c r="B215" s="23"/>
      <c r="C215" s="23"/>
      <c r="D215" s="23"/>
      <c r="E215" s="23"/>
      <c r="F215" s="23"/>
      <c r="G215" s="23"/>
      <c r="H215" s="23"/>
    </row>
    <row r="216" spans="2:8" x14ac:dyDescent="0.2">
      <c r="B216" s="23"/>
      <c r="C216" s="23"/>
      <c r="D216" s="23"/>
      <c r="E216" s="23"/>
      <c r="F216" s="23"/>
      <c r="G216" s="23"/>
      <c r="H216" s="23"/>
    </row>
    <row r="217" spans="2:8" x14ac:dyDescent="0.2">
      <c r="B217" s="23"/>
      <c r="C217" s="23"/>
      <c r="D217" s="23"/>
      <c r="E217" s="23"/>
      <c r="F217" s="23"/>
      <c r="G217" s="23"/>
      <c r="H217" s="23"/>
    </row>
    <row r="218" spans="2:8" x14ac:dyDescent="0.2">
      <c r="B218" s="23"/>
      <c r="C218" s="23"/>
      <c r="D218" s="23"/>
      <c r="E218" s="23"/>
      <c r="F218" s="23"/>
      <c r="G218" s="23"/>
      <c r="H218" s="23"/>
    </row>
    <row r="219" spans="2:8" x14ac:dyDescent="0.2">
      <c r="B219" s="23"/>
      <c r="C219" s="23"/>
      <c r="D219" s="23"/>
      <c r="E219" s="23"/>
      <c r="F219" s="23"/>
      <c r="G219" s="23"/>
      <c r="H219" s="23"/>
    </row>
    <row r="220" spans="2:8" x14ac:dyDescent="0.2">
      <c r="B220" s="23"/>
      <c r="C220" s="23"/>
      <c r="D220" s="23"/>
      <c r="E220" s="23"/>
      <c r="F220" s="23"/>
      <c r="G220" s="23"/>
      <c r="H220" s="23"/>
    </row>
    <row r="221" spans="2:8" x14ac:dyDescent="0.2">
      <c r="B221" s="23"/>
      <c r="C221" s="23"/>
      <c r="D221" s="23"/>
      <c r="E221" s="23"/>
      <c r="F221" s="23"/>
      <c r="G221" s="23"/>
      <c r="H221" s="23"/>
    </row>
    <row r="222" spans="2:8" x14ac:dyDescent="0.2">
      <c r="B222" s="23"/>
      <c r="C222" s="23"/>
      <c r="D222" s="23"/>
      <c r="E222" s="23"/>
      <c r="F222" s="23"/>
      <c r="G222" s="23"/>
      <c r="H222" s="23"/>
    </row>
    <row r="223" spans="2:8" x14ac:dyDescent="0.2">
      <c r="B223" s="23"/>
      <c r="C223" s="23"/>
      <c r="D223" s="23"/>
      <c r="E223" s="23"/>
      <c r="F223" s="23"/>
      <c r="G223" s="23"/>
      <c r="H223" s="23"/>
    </row>
    <row r="224" spans="2:8" x14ac:dyDescent="0.2">
      <c r="B224" s="23"/>
      <c r="C224" s="23"/>
      <c r="D224" s="23"/>
      <c r="E224" s="23"/>
      <c r="F224" s="23"/>
      <c r="G224" s="23"/>
      <c r="H224" s="23"/>
    </row>
    <row r="225" spans="2:8" x14ac:dyDescent="0.2">
      <c r="B225" s="23"/>
      <c r="C225" s="23"/>
      <c r="D225" s="23"/>
      <c r="E225" s="23"/>
      <c r="F225" s="23"/>
      <c r="G225" s="23"/>
      <c r="H225" s="23"/>
    </row>
    <row r="226" spans="2:8" x14ac:dyDescent="0.2">
      <c r="B226" s="23"/>
      <c r="C226" s="23"/>
      <c r="D226" s="23"/>
      <c r="E226" s="23"/>
      <c r="F226" s="23"/>
      <c r="G226" s="23"/>
      <c r="H226" s="23"/>
    </row>
    <row r="227" spans="2:8" x14ac:dyDescent="0.2">
      <c r="B227" s="23"/>
      <c r="C227" s="23"/>
      <c r="D227" s="23"/>
      <c r="E227" s="23"/>
      <c r="F227" s="23"/>
      <c r="G227" s="23"/>
      <c r="H227" s="23"/>
    </row>
    <row r="228" spans="2:8" x14ac:dyDescent="0.2">
      <c r="B228" s="23"/>
      <c r="C228" s="23"/>
      <c r="D228" s="23"/>
      <c r="E228" s="23"/>
      <c r="F228" s="23"/>
      <c r="G228" s="23"/>
      <c r="H228" s="23"/>
    </row>
    <row r="229" spans="2:8" x14ac:dyDescent="0.2">
      <c r="B229" s="23"/>
      <c r="C229" s="23"/>
      <c r="D229" s="23"/>
      <c r="E229" s="23"/>
      <c r="F229" s="23"/>
      <c r="G229" s="23"/>
      <c r="H229" s="23"/>
    </row>
    <row r="230" spans="2:8" x14ac:dyDescent="0.2">
      <c r="B230" s="23"/>
      <c r="C230" s="23"/>
      <c r="D230" s="23"/>
      <c r="E230" s="23"/>
      <c r="F230" s="23"/>
      <c r="G230" s="23"/>
      <c r="H230" s="23"/>
    </row>
    <row r="231" spans="2:8" x14ac:dyDescent="0.2">
      <c r="B231" s="23"/>
      <c r="C231" s="23"/>
      <c r="D231" s="23"/>
      <c r="E231" s="23"/>
      <c r="F231" s="23"/>
      <c r="G231" s="23"/>
      <c r="H231" s="23"/>
    </row>
    <row r="232" spans="2:8" x14ac:dyDescent="0.2">
      <c r="B232" s="23"/>
      <c r="C232" s="23"/>
      <c r="D232" s="23"/>
      <c r="E232" s="23"/>
      <c r="F232" s="23"/>
      <c r="G232" s="23"/>
      <c r="H232" s="23"/>
    </row>
    <row r="233" spans="2:8" x14ac:dyDescent="0.2">
      <c r="B233" s="23"/>
      <c r="C233" s="23"/>
      <c r="D233" s="23"/>
      <c r="E233" s="23"/>
      <c r="F233" s="23"/>
      <c r="G233" s="23"/>
      <c r="H233" s="23"/>
    </row>
    <row r="234" spans="2:8" x14ac:dyDescent="0.2">
      <c r="B234" s="23"/>
      <c r="C234" s="23"/>
      <c r="D234" s="23"/>
      <c r="E234" s="23"/>
      <c r="F234" s="23"/>
      <c r="G234" s="23"/>
      <c r="H234" s="23"/>
    </row>
    <row r="235" spans="2:8" x14ac:dyDescent="0.2">
      <c r="B235" s="23"/>
      <c r="C235" s="23"/>
      <c r="D235" s="23"/>
      <c r="E235" s="23"/>
      <c r="F235" s="23"/>
      <c r="G235" s="23"/>
      <c r="H235" s="23"/>
    </row>
    <row r="236" spans="2:8" x14ac:dyDescent="0.2">
      <c r="B236" s="23"/>
      <c r="C236" s="23"/>
      <c r="D236" s="23"/>
      <c r="E236" s="23"/>
      <c r="F236" s="23"/>
      <c r="G236" s="23"/>
      <c r="H236" s="23"/>
    </row>
    <row r="237" spans="2:8" x14ac:dyDescent="0.2">
      <c r="B237" s="23"/>
      <c r="C237" s="23"/>
      <c r="D237" s="23"/>
      <c r="E237" s="23"/>
      <c r="F237" s="23"/>
      <c r="G237" s="23"/>
      <c r="H237" s="23"/>
    </row>
    <row r="238" spans="2:8" x14ac:dyDescent="0.2">
      <c r="B238" s="23"/>
      <c r="C238" s="23"/>
      <c r="D238" s="23"/>
      <c r="E238" s="23"/>
      <c r="F238" s="23"/>
      <c r="G238" s="23"/>
      <c r="H238" s="23"/>
    </row>
    <row r="239" spans="2:8" x14ac:dyDescent="0.2">
      <c r="B239" s="23"/>
      <c r="C239" s="23"/>
      <c r="D239" s="23"/>
      <c r="E239" s="23"/>
      <c r="F239" s="23"/>
      <c r="G239" s="23"/>
      <c r="H239" s="23"/>
    </row>
    <row r="240" spans="2:8" x14ac:dyDescent="0.2">
      <c r="B240" s="23"/>
      <c r="C240" s="23"/>
      <c r="D240" s="23"/>
      <c r="E240" s="23"/>
      <c r="F240" s="23"/>
      <c r="G240" s="23"/>
      <c r="H240" s="23"/>
    </row>
    <row r="241" spans="2:8" x14ac:dyDescent="0.2">
      <c r="B241" s="23"/>
      <c r="C241" s="23"/>
      <c r="D241" s="23"/>
      <c r="E241" s="23"/>
      <c r="F241" s="23"/>
      <c r="G241" s="23"/>
      <c r="H241" s="23"/>
    </row>
    <row r="242" spans="2:8" x14ac:dyDescent="0.2">
      <c r="B242" s="23"/>
      <c r="C242" s="23"/>
      <c r="D242" s="23"/>
      <c r="E242" s="23"/>
      <c r="F242" s="23"/>
      <c r="G242" s="23"/>
      <c r="H242" s="23"/>
    </row>
    <row r="243" spans="2:8" x14ac:dyDescent="0.2">
      <c r="B243" s="23"/>
      <c r="C243" s="23"/>
      <c r="D243" s="23"/>
      <c r="E243" s="23"/>
      <c r="F243" s="23"/>
      <c r="G243" s="23"/>
      <c r="H243" s="23"/>
    </row>
    <row r="244" spans="2:8" x14ac:dyDescent="0.2">
      <c r="B244" s="23"/>
      <c r="C244" s="23"/>
      <c r="D244" s="23"/>
      <c r="E244" s="23"/>
      <c r="F244" s="23"/>
      <c r="G244" s="23"/>
      <c r="H244" s="23"/>
    </row>
    <row r="245" spans="2:8" x14ac:dyDescent="0.2">
      <c r="B245" s="23"/>
      <c r="C245" s="23"/>
      <c r="D245" s="23"/>
      <c r="E245" s="23"/>
      <c r="F245" s="23"/>
      <c r="G245" s="23"/>
      <c r="H245" s="23"/>
    </row>
    <row r="246" spans="2:8" x14ac:dyDescent="0.2">
      <c r="B246" s="23"/>
      <c r="C246" s="23"/>
      <c r="D246" s="23"/>
      <c r="E246" s="23"/>
      <c r="F246" s="23"/>
      <c r="G246" s="23"/>
      <c r="H246" s="23"/>
    </row>
    <row r="247" spans="2:8" x14ac:dyDescent="0.2">
      <c r="B247" s="23"/>
      <c r="C247" s="23"/>
      <c r="D247" s="23"/>
      <c r="E247" s="23"/>
      <c r="F247" s="23"/>
      <c r="G247" s="23"/>
      <c r="H247" s="23"/>
    </row>
    <row r="248" spans="2:8" x14ac:dyDescent="0.2">
      <c r="B248" s="23"/>
      <c r="C248" s="23"/>
      <c r="D248" s="23"/>
      <c r="E248" s="23"/>
      <c r="F248" s="23"/>
      <c r="G248" s="23"/>
      <c r="H248" s="23"/>
    </row>
    <row r="249" spans="2:8" x14ac:dyDescent="0.2">
      <c r="B249" s="23"/>
      <c r="C249" s="23"/>
      <c r="D249" s="23"/>
      <c r="E249" s="23"/>
      <c r="F249" s="23"/>
      <c r="G249" s="23"/>
      <c r="H249" s="23"/>
    </row>
    <row r="250" spans="2:8" x14ac:dyDescent="0.2">
      <c r="B250" s="23"/>
      <c r="C250" s="23"/>
      <c r="D250" s="23"/>
      <c r="E250" s="23"/>
      <c r="F250" s="23"/>
      <c r="G250" s="23"/>
      <c r="H250" s="23"/>
    </row>
    <row r="251" spans="2:8" x14ac:dyDescent="0.2">
      <c r="B251" s="23"/>
      <c r="C251" s="23"/>
      <c r="D251" s="23"/>
      <c r="E251" s="23"/>
      <c r="F251" s="23"/>
      <c r="G251" s="23"/>
      <c r="H251" s="23"/>
    </row>
    <row r="252" spans="2:8" x14ac:dyDescent="0.2">
      <c r="B252" s="23"/>
      <c r="C252" s="23"/>
      <c r="D252" s="23"/>
      <c r="E252" s="23"/>
      <c r="F252" s="23"/>
      <c r="G252" s="23"/>
      <c r="H252" s="23"/>
    </row>
    <row r="253" spans="2:8" x14ac:dyDescent="0.2">
      <c r="B253" s="23"/>
      <c r="C253" s="23"/>
      <c r="D253" s="23"/>
      <c r="E253" s="23"/>
      <c r="F253" s="23"/>
      <c r="G253" s="23"/>
      <c r="H253" s="23"/>
    </row>
    <row r="254" spans="2:8" x14ac:dyDescent="0.2">
      <c r="B254" s="23"/>
      <c r="C254" s="23"/>
      <c r="D254" s="23"/>
      <c r="E254" s="23"/>
      <c r="F254" s="23"/>
      <c r="G254" s="23"/>
      <c r="H254" s="23"/>
    </row>
    <row r="255" spans="2:8" x14ac:dyDescent="0.2">
      <c r="B255" s="23"/>
      <c r="C255" s="23"/>
      <c r="D255" s="23"/>
      <c r="E255" s="23"/>
      <c r="F255" s="23"/>
      <c r="G255" s="23"/>
      <c r="H255" s="23"/>
    </row>
    <row r="256" spans="2:8" x14ac:dyDescent="0.2">
      <c r="B256" s="23"/>
      <c r="C256" s="23"/>
      <c r="D256" s="23"/>
      <c r="E256" s="23"/>
      <c r="F256" s="23"/>
      <c r="G256" s="23"/>
      <c r="H256" s="23"/>
    </row>
    <row r="257" spans="2:8" x14ac:dyDescent="0.2">
      <c r="B257" s="23"/>
      <c r="C257" s="23"/>
      <c r="D257" s="23"/>
      <c r="E257" s="23"/>
      <c r="F257" s="23"/>
      <c r="G257" s="23"/>
      <c r="H257" s="23"/>
    </row>
    <row r="258" spans="2:8" x14ac:dyDescent="0.2">
      <c r="B258" s="23"/>
      <c r="C258" s="23"/>
      <c r="D258" s="23"/>
      <c r="E258" s="23"/>
      <c r="F258" s="23"/>
      <c r="G258" s="23"/>
      <c r="H258" s="23"/>
    </row>
    <row r="259" spans="2:8" x14ac:dyDescent="0.2">
      <c r="B259" s="23"/>
      <c r="C259" s="23"/>
      <c r="D259" s="23"/>
      <c r="E259" s="23"/>
      <c r="F259" s="23"/>
      <c r="G259" s="23"/>
      <c r="H259" s="23"/>
    </row>
    <row r="260" spans="2:8" x14ac:dyDescent="0.2">
      <c r="B260" s="23"/>
      <c r="C260" s="23"/>
      <c r="D260" s="23"/>
      <c r="E260" s="23"/>
      <c r="F260" s="23"/>
      <c r="G260" s="23"/>
      <c r="H260" s="23"/>
    </row>
    <row r="261" spans="2:8" x14ac:dyDescent="0.2">
      <c r="B261" s="23"/>
      <c r="C261" s="23"/>
      <c r="D261" s="23"/>
      <c r="E261" s="23"/>
      <c r="F261" s="23"/>
      <c r="G261" s="23"/>
      <c r="H261" s="23"/>
    </row>
    <row r="262" spans="2:8" x14ac:dyDescent="0.2">
      <c r="B262" s="23"/>
      <c r="C262" s="23"/>
      <c r="D262" s="23"/>
      <c r="E262" s="23"/>
      <c r="F262" s="23"/>
      <c r="G262" s="23"/>
      <c r="H262" s="23"/>
    </row>
    <row r="263" spans="2:8" x14ac:dyDescent="0.2">
      <c r="B263" s="23"/>
      <c r="C263" s="23"/>
      <c r="D263" s="23"/>
      <c r="E263" s="23"/>
      <c r="F263" s="23"/>
      <c r="G263" s="23"/>
      <c r="H263" s="23"/>
    </row>
    <row r="264" spans="2:8" x14ac:dyDescent="0.2">
      <c r="B264" s="23"/>
      <c r="C264" s="23"/>
      <c r="D264" s="23"/>
      <c r="E264" s="23"/>
      <c r="F264" s="23"/>
      <c r="G264" s="23"/>
      <c r="H264" s="23"/>
    </row>
    <row r="265" spans="2:8" x14ac:dyDescent="0.2">
      <c r="B265" s="23"/>
      <c r="C265" s="23"/>
      <c r="D265" s="23"/>
      <c r="E265" s="23"/>
      <c r="F265" s="23"/>
      <c r="G265" s="23"/>
      <c r="H265" s="23"/>
    </row>
    <row r="266" spans="2:8" x14ac:dyDescent="0.2">
      <c r="B266" s="23"/>
      <c r="C266" s="23"/>
      <c r="D266" s="23"/>
      <c r="E266" s="23"/>
      <c r="F266" s="23"/>
      <c r="G266" s="23"/>
      <c r="H266" s="23"/>
    </row>
    <row r="267" spans="2:8" x14ac:dyDescent="0.2">
      <c r="B267" s="23"/>
      <c r="C267" s="23"/>
      <c r="D267" s="23"/>
      <c r="E267" s="23"/>
      <c r="F267" s="23"/>
      <c r="G267" s="23"/>
      <c r="H267" s="23"/>
    </row>
    <row r="268" spans="2:8" x14ac:dyDescent="0.2">
      <c r="B268" s="23"/>
      <c r="C268" s="23"/>
      <c r="D268" s="23"/>
      <c r="E268" s="23"/>
      <c r="F268" s="23"/>
      <c r="G268" s="23"/>
      <c r="H268" s="23"/>
    </row>
    <row r="269" spans="2:8" x14ac:dyDescent="0.2">
      <c r="B269" s="23"/>
      <c r="C269" s="23"/>
      <c r="D269" s="23"/>
      <c r="E269" s="23"/>
      <c r="F269" s="23"/>
      <c r="G269" s="23"/>
      <c r="H269" s="23"/>
    </row>
    <row r="270" spans="2:8" x14ac:dyDescent="0.2">
      <c r="B270" s="23"/>
      <c r="C270" s="23"/>
      <c r="D270" s="23"/>
      <c r="E270" s="23"/>
      <c r="F270" s="23"/>
      <c r="G270" s="23"/>
      <c r="H270" s="23"/>
    </row>
    <row r="271" spans="2:8" x14ac:dyDescent="0.2">
      <c r="B271" s="23"/>
      <c r="C271" s="23"/>
      <c r="D271" s="23"/>
      <c r="E271" s="23"/>
      <c r="F271" s="23"/>
      <c r="G271" s="23"/>
      <c r="H271" s="23"/>
    </row>
    <row r="272" spans="2:8" x14ac:dyDescent="0.2">
      <c r="B272" s="23"/>
      <c r="C272" s="23"/>
      <c r="D272" s="23"/>
      <c r="E272" s="23"/>
      <c r="F272" s="23"/>
      <c r="G272" s="23"/>
      <c r="H272" s="23"/>
    </row>
    <row r="273" spans="2:8" x14ac:dyDescent="0.2">
      <c r="B273" s="23"/>
      <c r="C273" s="23"/>
      <c r="D273" s="23"/>
      <c r="E273" s="23"/>
      <c r="F273" s="23"/>
      <c r="G273" s="23"/>
      <c r="H273" s="23"/>
    </row>
    <row r="274" spans="2:8" x14ac:dyDescent="0.2">
      <c r="B274" s="23"/>
      <c r="C274" s="23"/>
      <c r="D274" s="23"/>
      <c r="E274" s="23"/>
      <c r="F274" s="23"/>
      <c r="G274" s="23"/>
      <c r="H274" s="23"/>
    </row>
    <row r="275" spans="2:8" x14ac:dyDescent="0.2">
      <c r="B275" s="23"/>
      <c r="C275" s="23"/>
      <c r="D275" s="23"/>
      <c r="E275" s="23"/>
      <c r="F275" s="23"/>
      <c r="G275" s="23"/>
      <c r="H275" s="23"/>
    </row>
    <row r="276" spans="2:8" x14ac:dyDescent="0.2">
      <c r="B276" s="23"/>
      <c r="C276" s="23"/>
      <c r="D276" s="23"/>
      <c r="E276" s="23"/>
      <c r="F276" s="23"/>
      <c r="G276" s="23"/>
      <c r="H276" s="23"/>
    </row>
    <row r="277" spans="2:8" x14ac:dyDescent="0.2">
      <c r="B277" s="23"/>
      <c r="C277" s="23"/>
      <c r="D277" s="23"/>
      <c r="E277" s="23"/>
      <c r="F277" s="23"/>
      <c r="G277" s="23"/>
      <c r="H277" s="23"/>
    </row>
    <row r="278" spans="2:8" x14ac:dyDescent="0.2">
      <c r="B278" s="23"/>
      <c r="C278" s="23"/>
      <c r="D278" s="23"/>
      <c r="E278" s="23"/>
      <c r="F278" s="23"/>
      <c r="G278" s="23"/>
      <c r="H278" s="23"/>
    </row>
    <row r="279" spans="2:8" x14ac:dyDescent="0.2">
      <c r="B279" s="23"/>
      <c r="C279" s="23"/>
      <c r="D279" s="23"/>
      <c r="E279" s="23"/>
      <c r="F279" s="23"/>
      <c r="G279" s="23"/>
      <c r="H279" s="23"/>
    </row>
    <row r="280" spans="2:8" x14ac:dyDescent="0.2">
      <c r="B280" s="23"/>
      <c r="C280" s="23"/>
      <c r="D280" s="23"/>
      <c r="E280" s="23"/>
      <c r="F280" s="23"/>
      <c r="G280" s="23"/>
      <c r="H280" s="23"/>
    </row>
    <row r="281" spans="2:8" x14ac:dyDescent="0.2">
      <c r="B281" s="23"/>
      <c r="C281" s="23"/>
      <c r="D281" s="23"/>
      <c r="E281" s="23"/>
      <c r="F281" s="23"/>
      <c r="G281" s="23"/>
      <c r="H281" s="23"/>
    </row>
    <row r="282" spans="2:8" x14ac:dyDescent="0.2">
      <c r="B282" s="23"/>
      <c r="C282" s="23"/>
      <c r="D282" s="23"/>
      <c r="E282" s="23"/>
      <c r="F282" s="23"/>
      <c r="G282" s="23"/>
      <c r="H282" s="23"/>
    </row>
    <row r="283" spans="2:8" x14ac:dyDescent="0.2">
      <c r="B283" s="23"/>
      <c r="C283" s="23"/>
      <c r="D283" s="23"/>
      <c r="E283" s="23"/>
      <c r="F283" s="23"/>
      <c r="G283" s="23"/>
      <c r="H283" s="23"/>
    </row>
    <row r="284" spans="2:8" x14ac:dyDescent="0.2">
      <c r="B284" s="23"/>
      <c r="C284" s="23"/>
      <c r="D284" s="23"/>
      <c r="E284" s="23"/>
      <c r="F284" s="23"/>
      <c r="G284" s="23"/>
      <c r="H284" s="23"/>
    </row>
    <row r="285" spans="2:8" x14ac:dyDescent="0.2">
      <c r="B285" s="23"/>
      <c r="C285" s="23"/>
      <c r="D285" s="23"/>
      <c r="E285" s="23"/>
      <c r="F285" s="23"/>
      <c r="G285" s="23"/>
      <c r="H285" s="23"/>
    </row>
    <row r="286" spans="2:8" x14ac:dyDescent="0.2">
      <c r="B286" s="23"/>
      <c r="C286" s="23"/>
      <c r="D286" s="23"/>
      <c r="E286" s="23"/>
      <c r="F286" s="23"/>
      <c r="G286" s="23"/>
      <c r="H286" s="23"/>
    </row>
    <row r="287" spans="2:8" x14ac:dyDescent="0.2">
      <c r="B287" s="23"/>
      <c r="C287" s="23"/>
      <c r="D287" s="23"/>
      <c r="E287" s="23"/>
      <c r="F287" s="23"/>
      <c r="G287" s="23"/>
      <c r="H287" s="23"/>
    </row>
    <row r="288" spans="2:8" x14ac:dyDescent="0.2">
      <c r="B288" s="23"/>
      <c r="C288" s="23"/>
      <c r="D288" s="23"/>
      <c r="E288" s="23"/>
      <c r="F288" s="23"/>
      <c r="G288" s="23"/>
      <c r="H288" s="23"/>
    </row>
    <row r="289" spans="2:8" x14ac:dyDescent="0.2">
      <c r="B289" s="23"/>
      <c r="C289" s="23"/>
      <c r="D289" s="23"/>
      <c r="E289" s="23"/>
      <c r="F289" s="23"/>
      <c r="G289" s="23"/>
      <c r="H289" s="23"/>
    </row>
    <row r="290" spans="2:8" x14ac:dyDescent="0.2">
      <c r="B290" s="23"/>
      <c r="C290" s="23"/>
      <c r="D290" s="23"/>
      <c r="E290" s="23"/>
      <c r="F290" s="23"/>
      <c r="G290" s="23"/>
      <c r="H290" s="23"/>
    </row>
    <row r="291" spans="2:8" x14ac:dyDescent="0.2">
      <c r="B291" s="23"/>
      <c r="C291" s="23"/>
      <c r="D291" s="23"/>
      <c r="E291" s="23"/>
      <c r="F291" s="23"/>
      <c r="G291" s="23"/>
      <c r="H291" s="23"/>
    </row>
    <row r="292" spans="2:8" x14ac:dyDescent="0.2">
      <c r="B292" s="23"/>
      <c r="C292" s="23"/>
      <c r="D292" s="23"/>
      <c r="E292" s="23"/>
      <c r="F292" s="23"/>
      <c r="G292" s="23"/>
      <c r="H292" s="23"/>
    </row>
    <row r="293" spans="2:8" x14ac:dyDescent="0.2">
      <c r="B293" s="23"/>
      <c r="C293" s="23"/>
      <c r="D293" s="23"/>
      <c r="E293" s="23"/>
      <c r="F293" s="23"/>
      <c r="G293" s="23"/>
      <c r="H293" s="23"/>
    </row>
    <row r="294" spans="2:8" x14ac:dyDescent="0.2">
      <c r="B294" s="23"/>
      <c r="C294" s="23"/>
      <c r="D294" s="23"/>
      <c r="E294" s="23"/>
      <c r="F294" s="23"/>
      <c r="G294" s="23"/>
      <c r="H294" s="23"/>
    </row>
    <row r="295" spans="2:8" x14ac:dyDescent="0.2">
      <c r="B295" s="23"/>
      <c r="C295" s="23"/>
      <c r="D295" s="23"/>
      <c r="E295" s="23"/>
      <c r="F295" s="23"/>
      <c r="G295" s="23"/>
      <c r="H295" s="23"/>
    </row>
    <row r="296" spans="2:8" x14ac:dyDescent="0.2">
      <c r="B296" s="23"/>
      <c r="C296" s="23"/>
      <c r="D296" s="23"/>
      <c r="E296" s="23"/>
      <c r="F296" s="23"/>
      <c r="G296" s="23"/>
      <c r="H296" s="23"/>
    </row>
    <row r="297" spans="2:8" x14ac:dyDescent="0.2">
      <c r="B297" s="23"/>
      <c r="C297" s="23"/>
      <c r="D297" s="23"/>
      <c r="E297" s="23"/>
      <c r="F297" s="23"/>
      <c r="G297" s="23"/>
      <c r="H297" s="23"/>
    </row>
    <row r="298" spans="2:8" x14ac:dyDescent="0.2">
      <c r="B298" s="23"/>
      <c r="C298" s="23"/>
      <c r="D298" s="23"/>
      <c r="E298" s="23"/>
      <c r="F298" s="23"/>
      <c r="G298" s="23"/>
      <c r="H298" s="23"/>
    </row>
    <row r="299" spans="2:8" x14ac:dyDescent="0.2">
      <c r="B299" s="23"/>
      <c r="C299" s="23"/>
      <c r="D299" s="23"/>
      <c r="E299" s="23"/>
      <c r="F299" s="23"/>
      <c r="G299" s="23"/>
      <c r="H299" s="23"/>
    </row>
    <row r="300" spans="2:8" x14ac:dyDescent="0.2">
      <c r="B300" s="23"/>
      <c r="C300" s="23"/>
      <c r="D300" s="23"/>
      <c r="E300" s="23"/>
      <c r="F300" s="23"/>
      <c r="G300" s="23"/>
      <c r="H300" s="23"/>
    </row>
    <row r="301" spans="2:8" x14ac:dyDescent="0.2">
      <c r="B301" s="23"/>
      <c r="C301" s="23"/>
      <c r="D301" s="23"/>
      <c r="E301" s="23"/>
      <c r="F301" s="23"/>
      <c r="G301" s="23"/>
      <c r="H301" s="23"/>
    </row>
    <row r="302" spans="2:8" x14ac:dyDescent="0.2">
      <c r="B302" s="23"/>
      <c r="C302" s="23"/>
      <c r="D302" s="23"/>
      <c r="E302" s="23"/>
      <c r="F302" s="23"/>
      <c r="G302" s="23"/>
      <c r="H302" s="23"/>
    </row>
    <row r="303" spans="2:8" x14ac:dyDescent="0.2">
      <c r="B303" s="23"/>
      <c r="C303" s="23"/>
      <c r="D303" s="23"/>
      <c r="E303" s="23"/>
      <c r="F303" s="23"/>
      <c r="G303" s="23"/>
      <c r="H303" s="23"/>
    </row>
    <row r="304" spans="2:8" x14ac:dyDescent="0.2">
      <c r="B304" s="23"/>
      <c r="C304" s="23"/>
      <c r="D304" s="23"/>
      <c r="E304" s="23"/>
      <c r="F304" s="23"/>
      <c r="G304" s="23"/>
      <c r="H304" s="23"/>
    </row>
    <row r="305" spans="2:8" x14ac:dyDescent="0.2">
      <c r="B305" s="23"/>
      <c r="C305" s="23"/>
      <c r="D305" s="23"/>
      <c r="E305" s="23"/>
      <c r="F305" s="23"/>
      <c r="G305" s="23"/>
      <c r="H305" s="23"/>
    </row>
    <row r="306" spans="2:8" x14ac:dyDescent="0.2">
      <c r="B306" s="23"/>
      <c r="C306" s="23"/>
      <c r="D306" s="23"/>
      <c r="E306" s="23"/>
      <c r="F306" s="23"/>
      <c r="G306" s="23"/>
      <c r="H306" s="23"/>
    </row>
    <row r="307" spans="2:8" x14ac:dyDescent="0.2">
      <c r="B307" s="23"/>
      <c r="C307" s="23"/>
      <c r="D307" s="23"/>
      <c r="E307" s="23"/>
      <c r="F307" s="23"/>
      <c r="G307" s="23"/>
      <c r="H307" s="23"/>
    </row>
    <row r="308" spans="2:8" x14ac:dyDescent="0.2">
      <c r="B308" s="23"/>
      <c r="C308" s="23"/>
      <c r="D308" s="23"/>
      <c r="E308" s="23"/>
      <c r="F308" s="23"/>
      <c r="G308" s="23"/>
      <c r="H308" s="23"/>
    </row>
    <row r="309" spans="2:8" x14ac:dyDescent="0.2">
      <c r="B309" s="23"/>
      <c r="C309" s="23"/>
      <c r="D309" s="23"/>
      <c r="E309" s="23"/>
      <c r="F309" s="23"/>
      <c r="G309" s="23"/>
      <c r="H309" s="23"/>
    </row>
    <row r="310" spans="2:8" x14ac:dyDescent="0.2">
      <c r="B310" s="23"/>
      <c r="C310" s="23"/>
      <c r="D310" s="23"/>
      <c r="E310" s="23"/>
      <c r="F310" s="23"/>
      <c r="G310" s="23"/>
      <c r="H310" s="23"/>
    </row>
    <row r="311" spans="2:8" x14ac:dyDescent="0.2">
      <c r="B311" s="23"/>
      <c r="C311" s="23"/>
      <c r="D311" s="23"/>
      <c r="E311" s="23"/>
      <c r="F311" s="23"/>
      <c r="G311" s="23"/>
      <c r="H311" s="23"/>
    </row>
    <row r="312" spans="2:8" x14ac:dyDescent="0.2">
      <c r="B312" s="23"/>
      <c r="C312" s="23"/>
      <c r="D312" s="23"/>
      <c r="E312" s="23"/>
      <c r="F312" s="23"/>
      <c r="G312" s="23"/>
      <c r="H312" s="23"/>
    </row>
    <row r="313" spans="2:8" x14ac:dyDescent="0.2">
      <c r="B313" s="23"/>
      <c r="C313" s="23"/>
      <c r="D313" s="23"/>
      <c r="E313" s="23"/>
      <c r="F313" s="23"/>
      <c r="G313" s="23"/>
      <c r="H313" s="23"/>
    </row>
    <row r="314" spans="2:8" x14ac:dyDescent="0.2">
      <c r="B314" s="23"/>
      <c r="C314" s="23"/>
      <c r="D314" s="23"/>
      <c r="E314" s="23"/>
      <c r="F314" s="23"/>
      <c r="G314" s="23"/>
      <c r="H314" s="23"/>
    </row>
    <row r="315" spans="2:8" x14ac:dyDescent="0.2">
      <c r="B315" s="23"/>
      <c r="C315" s="23"/>
      <c r="D315" s="23"/>
      <c r="E315" s="23"/>
      <c r="F315" s="23"/>
      <c r="G315" s="23"/>
      <c r="H315" s="23"/>
    </row>
    <row r="316" spans="2:8" x14ac:dyDescent="0.2">
      <c r="B316" s="23"/>
      <c r="C316" s="23"/>
      <c r="D316" s="23"/>
      <c r="E316" s="23"/>
      <c r="F316" s="23"/>
      <c r="G316" s="23"/>
      <c r="H316" s="23"/>
    </row>
    <row r="317" spans="2:8" x14ac:dyDescent="0.2">
      <c r="B317" s="23"/>
      <c r="C317" s="23"/>
      <c r="D317" s="23"/>
      <c r="E317" s="23"/>
      <c r="F317" s="23"/>
      <c r="G317" s="23"/>
      <c r="H317" s="23"/>
    </row>
    <row r="318" spans="2:8" x14ac:dyDescent="0.2">
      <c r="B318" s="23"/>
      <c r="C318" s="23"/>
      <c r="D318" s="23"/>
      <c r="E318" s="23"/>
      <c r="F318" s="23"/>
      <c r="G318" s="23"/>
      <c r="H318" s="23"/>
    </row>
    <row r="319" spans="2:8" x14ac:dyDescent="0.2">
      <c r="B319" s="23"/>
      <c r="C319" s="23"/>
      <c r="D319" s="23"/>
      <c r="E319" s="23"/>
      <c r="F319" s="23"/>
      <c r="G319" s="23"/>
      <c r="H319" s="23"/>
    </row>
    <row r="320" spans="2:8" x14ac:dyDescent="0.2">
      <c r="B320" s="23"/>
      <c r="C320" s="23"/>
      <c r="D320" s="23"/>
      <c r="E320" s="23"/>
      <c r="F320" s="23"/>
      <c r="G320" s="23"/>
      <c r="H320" s="23"/>
    </row>
    <row r="321" spans="2:8" x14ac:dyDescent="0.2">
      <c r="B321" s="23"/>
      <c r="C321" s="23"/>
      <c r="D321" s="23"/>
      <c r="E321" s="23"/>
      <c r="F321" s="23"/>
      <c r="G321" s="23"/>
      <c r="H321" s="23"/>
    </row>
    <row r="322" spans="2:8" x14ac:dyDescent="0.2">
      <c r="B322" s="23"/>
      <c r="C322" s="23"/>
      <c r="D322" s="23"/>
      <c r="E322" s="23"/>
      <c r="F322" s="23"/>
      <c r="G322" s="23"/>
      <c r="H322" s="23"/>
    </row>
    <row r="323" spans="2:8" x14ac:dyDescent="0.2">
      <c r="B323" s="23"/>
      <c r="C323" s="23"/>
      <c r="D323" s="23"/>
      <c r="E323" s="23"/>
      <c r="F323" s="23"/>
      <c r="G323" s="23"/>
      <c r="H323" s="23"/>
    </row>
    <row r="324" spans="2:8" x14ac:dyDescent="0.2">
      <c r="B324" s="23"/>
      <c r="C324" s="23"/>
      <c r="D324" s="23"/>
      <c r="E324" s="23"/>
      <c r="F324" s="23"/>
      <c r="G324" s="23"/>
      <c r="H324" s="23"/>
    </row>
    <row r="325" spans="2:8" x14ac:dyDescent="0.2">
      <c r="B325" s="23"/>
      <c r="C325" s="23"/>
      <c r="D325" s="23"/>
      <c r="E325" s="23"/>
      <c r="F325" s="23"/>
      <c r="G325" s="23"/>
      <c r="H325" s="23"/>
    </row>
    <row r="326" spans="2:8" x14ac:dyDescent="0.2">
      <c r="B326" s="23"/>
      <c r="C326" s="23"/>
      <c r="D326" s="23"/>
      <c r="E326" s="23"/>
      <c r="F326" s="23"/>
      <c r="G326" s="23"/>
      <c r="H326" s="23"/>
    </row>
    <row r="327" spans="2:8" x14ac:dyDescent="0.2">
      <c r="B327" s="23"/>
      <c r="C327" s="23"/>
      <c r="D327" s="23"/>
      <c r="E327" s="23"/>
      <c r="F327" s="23"/>
      <c r="G327" s="23"/>
      <c r="H327" s="23"/>
    </row>
    <row r="328" spans="2:8" x14ac:dyDescent="0.2">
      <c r="B328" s="23"/>
      <c r="C328" s="23"/>
      <c r="D328" s="23"/>
      <c r="E328" s="23"/>
      <c r="F328" s="23"/>
      <c r="G328" s="23"/>
      <c r="H328" s="23"/>
    </row>
    <row r="329" spans="2:8" x14ac:dyDescent="0.2">
      <c r="B329" s="23"/>
      <c r="C329" s="23"/>
      <c r="D329" s="23"/>
      <c r="E329" s="23"/>
      <c r="F329" s="23"/>
      <c r="G329" s="23"/>
      <c r="H329" s="23"/>
    </row>
    <row r="330" spans="2:8" x14ac:dyDescent="0.2">
      <c r="B330" s="23"/>
      <c r="C330" s="23"/>
      <c r="D330" s="23"/>
      <c r="E330" s="23"/>
      <c r="F330" s="23"/>
      <c r="G330" s="23"/>
      <c r="H330" s="23"/>
    </row>
    <row r="331" spans="2:8" x14ac:dyDescent="0.2">
      <c r="B331" s="23"/>
      <c r="C331" s="23"/>
      <c r="D331" s="23"/>
      <c r="E331" s="23"/>
      <c r="F331" s="23"/>
      <c r="G331" s="23"/>
      <c r="H331" s="23"/>
    </row>
    <row r="332" spans="2:8" x14ac:dyDescent="0.2">
      <c r="B332" s="23"/>
      <c r="C332" s="23"/>
      <c r="D332" s="23"/>
      <c r="E332" s="23"/>
      <c r="F332" s="23"/>
      <c r="G332" s="23"/>
      <c r="H332" s="23"/>
    </row>
    <row r="333" spans="2:8" x14ac:dyDescent="0.2">
      <c r="B333" s="23"/>
      <c r="C333" s="23"/>
      <c r="D333" s="23"/>
      <c r="E333" s="23"/>
      <c r="F333" s="23"/>
      <c r="G333" s="23"/>
      <c r="H333" s="23"/>
    </row>
    <row r="334" spans="2:8" x14ac:dyDescent="0.2">
      <c r="B334" s="23"/>
      <c r="C334" s="23"/>
      <c r="D334" s="23"/>
      <c r="E334" s="23"/>
      <c r="F334" s="23"/>
      <c r="G334" s="23"/>
      <c r="H334" s="23"/>
    </row>
    <row r="335" spans="2:8" x14ac:dyDescent="0.2">
      <c r="B335" s="23"/>
      <c r="C335" s="23"/>
      <c r="D335" s="23"/>
      <c r="E335" s="23"/>
      <c r="F335" s="23"/>
      <c r="G335" s="23"/>
      <c r="H335" s="23"/>
    </row>
    <row r="336" spans="2:8" x14ac:dyDescent="0.2">
      <c r="B336" s="23"/>
      <c r="C336" s="23"/>
      <c r="D336" s="23"/>
      <c r="E336" s="23"/>
      <c r="F336" s="23"/>
      <c r="G336" s="23"/>
      <c r="H336" s="23"/>
    </row>
    <row r="337" spans="2:8" x14ac:dyDescent="0.2">
      <c r="B337" s="23"/>
      <c r="C337" s="23"/>
      <c r="D337" s="23"/>
      <c r="E337" s="23"/>
      <c r="F337" s="23"/>
      <c r="G337" s="23"/>
      <c r="H337" s="23"/>
    </row>
    <row r="338" spans="2:8" x14ac:dyDescent="0.2">
      <c r="B338" s="23"/>
      <c r="C338" s="23"/>
      <c r="D338" s="23"/>
      <c r="E338" s="23"/>
      <c r="F338" s="23"/>
      <c r="G338" s="23"/>
      <c r="H338" s="23"/>
    </row>
    <row r="339" spans="2:8" x14ac:dyDescent="0.2">
      <c r="B339" s="23"/>
      <c r="C339" s="23"/>
      <c r="D339" s="23"/>
      <c r="E339" s="23"/>
      <c r="F339" s="23"/>
      <c r="G339" s="23"/>
      <c r="H339" s="23"/>
    </row>
    <row r="340" spans="2:8" x14ac:dyDescent="0.2">
      <c r="B340" s="23"/>
      <c r="C340" s="23"/>
      <c r="D340" s="23"/>
      <c r="E340" s="23"/>
      <c r="F340" s="23"/>
      <c r="G340" s="23"/>
      <c r="H340" s="23"/>
    </row>
    <row r="341" spans="2:8" x14ac:dyDescent="0.2">
      <c r="B341" s="23"/>
      <c r="C341" s="23"/>
      <c r="D341" s="23"/>
      <c r="E341" s="23"/>
      <c r="F341" s="23"/>
      <c r="G341" s="23"/>
      <c r="H341" s="23"/>
    </row>
    <row r="342" spans="2:8" x14ac:dyDescent="0.2">
      <c r="B342" s="23"/>
      <c r="C342" s="23"/>
      <c r="D342" s="23"/>
      <c r="E342" s="23"/>
      <c r="F342" s="23"/>
      <c r="G342" s="23"/>
      <c r="H342" s="23"/>
    </row>
    <row r="343" spans="2:8" x14ac:dyDescent="0.2">
      <c r="B343" s="23"/>
      <c r="C343" s="23"/>
      <c r="D343" s="23"/>
      <c r="E343" s="23"/>
      <c r="F343" s="23"/>
      <c r="G343" s="23"/>
      <c r="H343" s="23"/>
    </row>
    <row r="344" spans="2:8" x14ac:dyDescent="0.2">
      <c r="B344" s="23"/>
      <c r="C344" s="23"/>
      <c r="D344" s="23"/>
      <c r="E344" s="23"/>
      <c r="F344" s="23"/>
      <c r="G344" s="23"/>
      <c r="H344" s="23"/>
    </row>
    <row r="345" spans="2:8" x14ac:dyDescent="0.2">
      <c r="B345" s="23"/>
      <c r="C345" s="23"/>
      <c r="D345" s="23"/>
      <c r="E345" s="23"/>
      <c r="F345" s="23"/>
      <c r="G345" s="23"/>
      <c r="H345" s="23"/>
    </row>
    <row r="346" spans="2:8" x14ac:dyDescent="0.2">
      <c r="B346" s="23"/>
      <c r="C346" s="23"/>
      <c r="D346" s="23"/>
      <c r="E346" s="23"/>
      <c r="F346" s="23"/>
      <c r="G346" s="23"/>
      <c r="H346" s="23"/>
    </row>
    <row r="347" spans="2:8" x14ac:dyDescent="0.2">
      <c r="B347" s="23"/>
      <c r="C347" s="23"/>
      <c r="D347" s="23"/>
      <c r="E347" s="23"/>
      <c r="F347" s="23"/>
      <c r="G347" s="23"/>
      <c r="H347" s="23"/>
    </row>
    <row r="348" spans="2:8" x14ac:dyDescent="0.2">
      <c r="B348" s="23"/>
      <c r="C348" s="23"/>
      <c r="D348" s="23"/>
      <c r="E348" s="23"/>
      <c r="F348" s="23"/>
      <c r="G348" s="23"/>
      <c r="H348" s="23"/>
    </row>
    <row r="349" spans="2:8" x14ac:dyDescent="0.2">
      <c r="B349" s="23"/>
      <c r="C349" s="23"/>
      <c r="D349" s="23"/>
      <c r="E349" s="23"/>
      <c r="F349" s="23"/>
      <c r="G349" s="23"/>
      <c r="H349" s="23"/>
    </row>
    <row r="350" spans="2:8" x14ac:dyDescent="0.2">
      <c r="B350" s="23"/>
      <c r="C350" s="23"/>
      <c r="D350" s="23"/>
      <c r="E350" s="23"/>
      <c r="F350" s="23"/>
      <c r="G350" s="23"/>
      <c r="H350" s="23"/>
    </row>
    <row r="351" spans="2:8" x14ac:dyDescent="0.2">
      <c r="B351" s="23"/>
      <c r="C351" s="23"/>
      <c r="D351" s="23"/>
      <c r="E351" s="23"/>
      <c r="F351" s="23"/>
      <c r="G351" s="23"/>
      <c r="H351" s="23"/>
    </row>
    <row r="352" spans="2:8" x14ac:dyDescent="0.2">
      <c r="B352" s="23"/>
      <c r="C352" s="23"/>
      <c r="D352" s="23"/>
      <c r="E352" s="23"/>
      <c r="F352" s="23"/>
      <c r="G352" s="23"/>
      <c r="H352" s="23"/>
    </row>
    <row r="353" spans="2:8" x14ac:dyDescent="0.2">
      <c r="B353" s="23"/>
      <c r="C353" s="23"/>
      <c r="D353" s="23"/>
      <c r="E353" s="23"/>
      <c r="F353" s="23"/>
      <c r="G353" s="23"/>
      <c r="H353" s="23"/>
    </row>
    <row r="354" spans="2:8" x14ac:dyDescent="0.2">
      <c r="B354" s="23"/>
      <c r="C354" s="23"/>
      <c r="D354" s="23"/>
      <c r="E354" s="23"/>
      <c r="F354" s="23"/>
      <c r="G354" s="23"/>
      <c r="H354" s="23"/>
    </row>
    <row r="355" spans="2:8" x14ac:dyDescent="0.2">
      <c r="B355" s="23"/>
      <c r="C355" s="23"/>
      <c r="D355" s="23"/>
      <c r="E355" s="23"/>
      <c r="F355" s="23"/>
      <c r="G355" s="23"/>
      <c r="H355" s="23"/>
    </row>
    <row r="356" spans="2:8" x14ac:dyDescent="0.2">
      <c r="B356" s="23"/>
      <c r="C356" s="23"/>
      <c r="D356" s="23"/>
      <c r="E356" s="23"/>
      <c r="F356" s="23"/>
      <c r="G356" s="23"/>
      <c r="H356" s="23"/>
    </row>
    <row r="357" spans="2:8" x14ac:dyDescent="0.2">
      <c r="B357" s="23"/>
      <c r="C357" s="23"/>
      <c r="D357" s="23"/>
      <c r="E357" s="23"/>
      <c r="F357" s="23"/>
      <c r="G357" s="23"/>
      <c r="H357" s="23"/>
    </row>
    <row r="358" spans="2:8" x14ac:dyDescent="0.2">
      <c r="B358" s="23"/>
      <c r="C358" s="23"/>
      <c r="D358" s="23"/>
      <c r="E358" s="23"/>
      <c r="F358" s="23"/>
      <c r="G358" s="23"/>
      <c r="H358" s="23"/>
    </row>
    <row r="359" spans="2:8" x14ac:dyDescent="0.2">
      <c r="B359" s="23"/>
      <c r="C359" s="23"/>
      <c r="D359" s="23"/>
      <c r="E359" s="23"/>
      <c r="F359" s="23"/>
      <c r="G359" s="23"/>
      <c r="H359" s="23"/>
    </row>
    <row r="360" spans="2:8" x14ac:dyDescent="0.2">
      <c r="B360" s="23"/>
      <c r="C360" s="23"/>
      <c r="D360" s="23"/>
      <c r="E360" s="23"/>
      <c r="F360" s="23"/>
      <c r="G360" s="23"/>
      <c r="H360" s="23"/>
    </row>
    <row r="361" spans="2:8" x14ac:dyDescent="0.2">
      <c r="B361" s="23"/>
      <c r="C361" s="23"/>
      <c r="D361" s="23"/>
      <c r="E361" s="23"/>
      <c r="F361" s="23"/>
      <c r="G361" s="23"/>
      <c r="H361" s="23"/>
    </row>
    <row r="362" spans="2:8" x14ac:dyDescent="0.2">
      <c r="B362" s="23"/>
      <c r="C362" s="23"/>
      <c r="D362" s="23"/>
      <c r="E362" s="23"/>
      <c r="F362" s="23"/>
      <c r="G362" s="23"/>
      <c r="H362" s="23"/>
    </row>
    <row r="363" spans="2:8" x14ac:dyDescent="0.2">
      <c r="B363" s="23"/>
      <c r="C363" s="23"/>
      <c r="D363" s="23"/>
      <c r="E363" s="23"/>
      <c r="F363" s="23"/>
      <c r="G363" s="23"/>
      <c r="H363" s="23"/>
    </row>
    <row r="364" spans="2:8" x14ac:dyDescent="0.2">
      <c r="B364" s="23"/>
      <c r="C364" s="23"/>
      <c r="D364" s="23"/>
      <c r="E364" s="23"/>
      <c r="F364" s="23"/>
      <c r="G364" s="23"/>
      <c r="H364" s="23"/>
    </row>
    <row r="365" spans="2:8" x14ac:dyDescent="0.2">
      <c r="B365" s="23"/>
      <c r="C365" s="23"/>
      <c r="D365" s="23"/>
      <c r="E365" s="23"/>
      <c r="F365" s="23"/>
      <c r="G365" s="23"/>
      <c r="H365" s="23"/>
    </row>
    <row r="366" spans="2:8" x14ac:dyDescent="0.2">
      <c r="B366" s="23"/>
      <c r="C366" s="23"/>
      <c r="D366" s="23"/>
      <c r="E366" s="23"/>
      <c r="F366" s="23"/>
      <c r="G366" s="23"/>
      <c r="H366" s="23"/>
    </row>
    <row r="367" spans="2:8" x14ac:dyDescent="0.2">
      <c r="B367" s="23"/>
      <c r="C367" s="23"/>
      <c r="D367" s="23"/>
      <c r="E367" s="23"/>
      <c r="F367" s="23"/>
      <c r="G367" s="23"/>
      <c r="H367" s="23"/>
    </row>
    <row r="368" spans="2:8" x14ac:dyDescent="0.2">
      <c r="B368" s="23"/>
      <c r="C368" s="23"/>
      <c r="D368" s="23"/>
      <c r="E368" s="23"/>
      <c r="F368" s="23"/>
      <c r="G368" s="23"/>
      <c r="H368" s="23"/>
    </row>
    <row r="369" spans="2:8" x14ac:dyDescent="0.2">
      <c r="B369" s="23"/>
      <c r="C369" s="23"/>
      <c r="D369" s="23"/>
      <c r="E369" s="23"/>
      <c r="F369" s="23"/>
      <c r="G369" s="23"/>
      <c r="H369" s="23"/>
    </row>
    <row r="370" spans="2:8" x14ac:dyDescent="0.2">
      <c r="B370" s="23"/>
      <c r="C370" s="23"/>
      <c r="D370" s="23"/>
      <c r="E370" s="23"/>
      <c r="F370" s="23"/>
      <c r="G370" s="23"/>
      <c r="H370" s="23"/>
    </row>
    <row r="371" spans="2:8" x14ac:dyDescent="0.2">
      <c r="B371" s="23"/>
      <c r="C371" s="23"/>
      <c r="D371" s="23"/>
      <c r="E371" s="23"/>
      <c r="F371" s="23"/>
      <c r="G371" s="23"/>
      <c r="H371" s="23"/>
    </row>
    <row r="372" spans="2:8" x14ac:dyDescent="0.2">
      <c r="B372" s="23"/>
      <c r="C372" s="23"/>
      <c r="D372" s="23"/>
      <c r="E372" s="23"/>
      <c r="F372" s="23"/>
      <c r="G372" s="23"/>
      <c r="H372" s="23"/>
    </row>
    <row r="373" spans="2:8" x14ac:dyDescent="0.2">
      <c r="B373" s="23"/>
      <c r="C373" s="23"/>
      <c r="D373" s="23"/>
      <c r="E373" s="23"/>
      <c r="F373" s="23"/>
      <c r="G373" s="23"/>
      <c r="H373" s="23"/>
    </row>
    <row r="374" spans="2:8" x14ac:dyDescent="0.2">
      <c r="B374" s="23"/>
      <c r="C374" s="23"/>
      <c r="D374" s="23"/>
      <c r="E374" s="23"/>
      <c r="F374" s="23"/>
      <c r="G374" s="23"/>
      <c r="H374" s="23"/>
    </row>
    <row r="375" spans="2:8" x14ac:dyDescent="0.2">
      <c r="B375" s="23"/>
      <c r="C375" s="23"/>
      <c r="D375" s="23"/>
      <c r="E375" s="23"/>
      <c r="F375" s="23"/>
      <c r="G375" s="23"/>
      <c r="H375" s="23"/>
    </row>
    <row r="376" spans="2:8" x14ac:dyDescent="0.2">
      <c r="B376" s="23"/>
      <c r="C376" s="23"/>
      <c r="D376" s="23"/>
      <c r="E376" s="23"/>
      <c r="F376" s="23"/>
      <c r="G376" s="23"/>
      <c r="H376" s="23"/>
    </row>
    <row r="377" spans="2:8" x14ac:dyDescent="0.2">
      <c r="B377" s="23"/>
      <c r="C377" s="23"/>
      <c r="D377" s="23"/>
      <c r="E377" s="23"/>
      <c r="F377" s="23"/>
      <c r="G377" s="23"/>
      <c r="H377" s="23"/>
    </row>
    <row r="378" spans="2:8" x14ac:dyDescent="0.2">
      <c r="B378" s="23"/>
      <c r="C378" s="23"/>
      <c r="D378" s="23"/>
      <c r="E378" s="23"/>
      <c r="F378" s="23"/>
      <c r="G378" s="23"/>
      <c r="H378" s="23"/>
    </row>
    <row r="379" spans="2:8" x14ac:dyDescent="0.2">
      <c r="B379" s="23"/>
      <c r="C379" s="23"/>
      <c r="D379" s="23"/>
      <c r="E379" s="23"/>
      <c r="F379" s="23"/>
      <c r="G379" s="23"/>
      <c r="H379" s="23"/>
    </row>
    <row r="380" spans="2:8" x14ac:dyDescent="0.2">
      <c r="B380" s="23"/>
      <c r="C380" s="23"/>
      <c r="D380" s="23"/>
      <c r="E380" s="23"/>
      <c r="F380" s="23"/>
      <c r="G380" s="23"/>
      <c r="H380" s="23"/>
    </row>
    <row r="381" spans="2:8" x14ac:dyDescent="0.2">
      <c r="B381" s="23"/>
      <c r="C381" s="23"/>
      <c r="D381" s="23"/>
      <c r="E381" s="23"/>
      <c r="F381" s="23"/>
      <c r="G381" s="23"/>
      <c r="H381" s="23"/>
    </row>
    <row r="382" spans="2:8" x14ac:dyDescent="0.2">
      <c r="B382" s="23"/>
      <c r="C382" s="23"/>
      <c r="D382" s="23"/>
      <c r="E382" s="23"/>
      <c r="F382" s="23"/>
      <c r="G382" s="23"/>
      <c r="H382" s="23"/>
    </row>
    <row r="383" spans="2:8" x14ac:dyDescent="0.2">
      <c r="B383" s="23"/>
      <c r="C383" s="23"/>
      <c r="D383" s="23"/>
      <c r="E383" s="23"/>
      <c r="F383" s="23"/>
      <c r="G383" s="23"/>
      <c r="H383" s="23"/>
    </row>
    <row r="384" spans="2:8" x14ac:dyDescent="0.2">
      <c r="B384" s="23"/>
      <c r="C384" s="23"/>
      <c r="D384" s="23"/>
      <c r="E384" s="23"/>
      <c r="F384" s="23"/>
      <c r="G384" s="23"/>
      <c r="H384" s="23"/>
    </row>
    <row r="385" spans="2:8" x14ac:dyDescent="0.2">
      <c r="B385" s="23"/>
      <c r="C385" s="23"/>
      <c r="D385" s="23"/>
      <c r="E385" s="23"/>
      <c r="F385" s="23"/>
      <c r="G385" s="23"/>
      <c r="H385" s="23"/>
    </row>
    <row r="386" spans="2:8" x14ac:dyDescent="0.2">
      <c r="B386" s="23"/>
      <c r="C386" s="23"/>
      <c r="D386" s="23"/>
      <c r="E386" s="23"/>
      <c r="F386" s="23"/>
      <c r="G386" s="23"/>
      <c r="H386" s="23"/>
    </row>
    <row r="387" spans="2:8" x14ac:dyDescent="0.2">
      <c r="B387" s="23"/>
      <c r="C387" s="23"/>
      <c r="D387" s="23"/>
      <c r="E387" s="23"/>
      <c r="F387" s="23"/>
      <c r="G387" s="23"/>
      <c r="H387" s="23"/>
    </row>
    <row r="388" spans="2:8" x14ac:dyDescent="0.2">
      <c r="B388" s="23"/>
      <c r="C388" s="23"/>
      <c r="D388" s="23"/>
      <c r="E388" s="23"/>
      <c r="F388" s="23"/>
      <c r="G388" s="23"/>
      <c r="H388" s="23"/>
    </row>
    <row r="389" spans="2:8" x14ac:dyDescent="0.2">
      <c r="B389" s="23"/>
      <c r="C389" s="23"/>
      <c r="D389" s="23"/>
      <c r="E389" s="23"/>
      <c r="F389" s="23"/>
      <c r="G389" s="23"/>
      <c r="H389" s="23"/>
    </row>
    <row r="390" spans="2:8" x14ac:dyDescent="0.2">
      <c r="B390" s="23"/>
      <c r="C390" s="23"/>
      <c r="D390" s="23"/>
      <c r="E390" s="23"/>
      <c r="F390" s="23"/>
      <c r="G390" s="23"/>
      <c r="H390" s="23"/>
    </row>
    <row r="391" spans="2:8" x14ac:dyDescent="0.2">
      <c r="B391" s="23"/>
      <c r="C391" s="23"/>
      <c r="D391" s="23"/>
      <c r="E391" s="23"/>
      <c r="F391" s="23"/>
      <c r="G391" s="23"/>
      <c r="H391" s="23"/>
    </row>
    <row r="392" spans="2:8" x14ac:dyDescent="0.2">
      <c r="B392" s="23"/>
      <c r="C392" s="23"/>
      <c r="D392" s="23"/>
      <c r="E392" s="23"/>
      <c r="F392" s="23"/>
      <c r="G392" s="23"/>
      <c r="H392" s="23"/>
    </row>
    <row r="393" spans="2:8" x14ac:dyDescent="0.2">
      <c r="B393" s="23"/>
      <c r="C393" s="23"/>
      <c r="D393" s="23"/>
      <c r="E393" s="23"/>
      <c r="F393" s="23"/>
      <c r="G393" s="23"/>
      <c r="H393" s="23"/>
    </row>
    <row r="394" spans="2:8" x14ac:dyDescent="0.2">
      <c r="B394" s="23"/>
      <c r="C394" s="23"/>
      <c r="D394" s="23"/>
      <c r="E394" s="23"/>
      <c r="F394" s="23"/>
      <c r="G394" s="23"/>
      <c r="H394" s="23"/>
    </row>
    <row r="395" spans="2:8" x14ac:dyDescent="0.2">
      <c r="B395" s="23"/>
      <c r="C395" s="23"/>
      <c r="D395" s="23"/>
      <c r="E395" s="23"/>
      <c r="F395" s="23"/>
      <c r="G395" s="23"/>
      <c r="H395" s="23"/>
    </row>
    <row r="396" spans="2:8" x14ac:dyDescent="0.2">
      <c r="B396" s="23"/>
      <c r="C396" s="23"/>
      <c r="D396" s="23"/>
      <c r="E396" s="23"/>
      <c r="F396" s="23"/>
      <c r="G396" s="23"/>
      <c r="H396" s="23"/>
    </row>
    <row r="397" spans="2:8" x14ac:dyDescent="0.2">
      <c r="B397" s="23"/>
      <c r="C397" s="23"/>
      <c r="D397" s="23"/>
      <c r="E397" s="23"/>
      <c r="F397" s="23"/>
      <c r="G397" s="23"/>
      <c r="H397" s="23"/>
    </row>
    <row r="398" spans="2:8" x14ac:dyDescent="0.2">
      <c r="B398" s="23"/>
      <c r="C398" s="23"/>
      <c r="D398" s="23"/>
      <c r="E398" s="23"/>
      <c r="F398" s="23"/>
      <c r="G398" s="23"/>
      <c r="H398" s="23"/>
    </row>
    <row r="399" spans="2:8" x14ac:dyDescent="0.2">
      <c r="B399" s="23"/>
      <c r="C399" s="23"/>
      <c r="D399" s="23"/>
      <c r="E399" s="23"/>
      <c r="F399" s="23"/>
      <c r="G399" s="23"/>
      <c r="H399" s="23"/>
    </row>
    <row r="400" spans="2:8" x14ac:dyDescent="0.2">
      <c r="B400" s="23"/>
      <c r="C400" s="23"/>
      <c r="D400" s="23"/>
      <c r="E400" s="23"/>
      <c r="F400" s="23"/>
      <c r="G400" s="23"/>
      <c r="H400" s="23"/>
    </row>
    <row r="401" spans="2:8" x14ac:dyDescent="0.2">
      <c r="B401" s="23"/>
      <c r="C401" s="23"/>
      <c r="D401" s="23"/>
      <c r="E401" s="23"/>
      <c r="F401" s="23"/>
      <c r="G401" s="23"/>
      <c r="H401" s="23"/>
    </row>
    <row r="402" spans="2:8" x14ac:dyDescent="0.2">
      <c r="B402" s="23"/>
      <c r="C402" s="23"/>
      <c r="D402" s="23"/>
      <c r="E402" s="23"/>
      <c r="F402" s="23"/>
      <c r="G402" s="23"/>
      <c r="H402" s="23"/>
    </row>
    <row r="403" spans="2:8" x14ac:dyDescent="0.2">
      <c r="B403" s="23"/>
      <c r="C403" s="23"/>
      <c r="D403" s="23"/>
      <c r="E403" s="23"/>
      <c r="F403" s="23"/>
      <c r="G403" s="23"/>
      <c r="H403" s="23"/>
    </row>
    <row r="404" spans="2:8" x14ac:dyDescent="0.2">
      <c r="B404" s="23"/>
      <c r="C404" s="23"/>
      <c r="D404" s="23"/>
      <c r="E404" s="23"/>
      <c r="F404" s="23"/>
      <c r="G404" s="23"/>
      <c r="H404" s="23"/>
    </row>
    <row r="405" spans="2:8" x14ac:dyDescent="0.2">
      <c r="B405" s="23"/>
      <c r="C405" s="23"/>
      <c r="D405" s="23"/>
      <c r="E405" s="23"/>
      <c r="F405" s="23"/>
      <c r="G405" s="23"/>
      <c r="H405" s="23"/>
    </row>
    <row r="406" spans="2:8" x14ac:dyDescent="0.2">
      <c r="B406" s="23"/>
      <c r="C406" s="23"/>
      <c r="D406" s="23"/>
      <c r="E406" s="23"/>
      <c r="F406" s="23"/>
      <c r="G406" s="23"/>
      <c r="H406" s="23"/>
    </row>
    <row r="407" spans="2:8" x14ac:dyDescent="0.2">
      <c r="B407" s="23"/>
      <c r="C407" s="23"/>
      <c r="D407" s="23"/>
      <c r="E407" s="23"/>
      <c r="F407" s="23"/>
      <c r="G407" s="23"/>
      <c r="H407" s="23"/>
    </row>
    <row r="408" spans="2:8" x14ac:dyDescent="0.2">
      <c r="B408" s="23"/>
      <c r="C408" s="23"/>
      <c r="D408" s="23"/>
      <c r="E408" s="23"/>
      <c r="F408" s="23"/>
      <c r="G408" s="23"/>
      <c r="H408" s="23"/>
    </row>
    <row r="409" spans="2:8" x14ac:dyDescent="0.2">
      <c r="B409" s="23"/>
      <c r="C409" s="23"/>
      <c r="D409" s="23"/>
      <c r="E409" s="23"/>
      <c r="F409" s="23"/>
      <c r="G409" s="23"/>
      <c r="H409" s="23"/>
    </row>
    <row r="410" spans="2:8" x14ac:dyDescent="0.2">
      <c r="B410" s="23"/>
      <c r="C410" s="23"/>
      <c r="D410" s="23"/>
      <c r="E410" s="23"/>
      <c r="F410" s="23"/>
      <c r="G410" s="23"/>
      <c r="H410" s="23"/>
    </row>
    <row r="411" spans="2:8" x14ac:dyDescent="0.2">
      <c r="B411" s="23"/>
      <c r="C411" s="23"/>
      <c r="D411" s="23"/>
      <c r="E411" s="23"/>
      <c r="F411" s="23"/>
      <c r="G411" s="23"/>
      <c r="H411" s="23"/>
    </row>
    <row r="412" spans="2:8" x14ac:dyDescent="0.2">
      <c r="B412" s="23"/>
      <c r="C412" s="23"/>
      <c r="D412" s="23"/>
      <c r="E412" s="23"/>
      <c r="F412" s="23"/>
      <c r="G412" s="23"/>
      <c r="H412" s="23"/>
    </row>
    <row r="413" spans="2:8" x14ac:dyDescent="0.2">
      <c r="B413" s="23"/>
      <c r="C413" s="23"/>
      <c r="D413" s="23"/>
      <c r="E413" s="23"/>
      <c r="F413" s="23"/>
      <c r="G413" s="23"/>
      <c r="H413" s="23"/>
    </row>
    <row r="414" spans="2:8" x14ac:dyDescent="0.2">
      <c r="B414" s="23"/>
      <c r="C414" s="23"/>
      <c r="D414" s="23"/>
      <c r="E414" s="23"/>
      <c r="F414" s="23"/>
      <c r="G414" s="23"/>
      <c r="H414" s="23"/>
    </row>
    <row r="415" spans="2:8" x14ac:dyDescent="0.2">
      <c r="B415" s="23"/>
      <c r="C415" s="23"/>
      <c r="D415" s="23"/>
      <c r="E415" s="23"/>
      <c r="F415" s="23"/>
      <c r="G415" s="23"/>
      <c r="H415" s="23"/>
    </row>
    <row r="416" spans="2:8" x14ac:dyDescent="0.2">
      <c r="B416" s="23"/>
      <c r="C416" s="23"/>
      <c r="D416" s="23"/>
      <c r="E416" s="23"/>
      <c r="F416" s="23"/>
      <c r="G416" s="23"/>
      <c r="H416" s="23"/>
    </row>
    <row r="417" spans="2:8" x14ac:dyDescent="0.2">
      <c r="B417" s="23"/>
      <c r="C417" s="23"/>
      <c r="D417" s="23"/>
      <c r="E417" s="23"/>
      <c r="F417" s="23"/>
      <c r="G417" s="23"/>
      <c r="H417" s="23"/>
    </row>
    <row r="418" spans="2:8" x14ac:dyDescent="0.2">
      <c r="B418" s="23"/>
      <c r="C418" s="23"/>
      <c r="D418" s="23"/>
      <c r="E418" s="23"/>
      <c r="F418" s="23"/>
      <c r="G418" s="23"/>
      <c r="H418" s="23"/>
    </row>
    <row r="419" spans="2:8" x14ac:dyDescent="0.2">
      <c r="B419" s="23"/>
      <c r="C419" s="23"/>
      <c r="D419" s="23"/>
      <c r="E419" s="23"/>
      <c r="F419" s="23"/>
      <c r="G419" s="23"/>
      <c r="H419" s="23"/>
    </row>
    <row r="420" spans="2:8" x14ac:dyDescent="0.2">
      <c r="B420" s="23"/>
      <c r="C420" s="23"/>
      <c r="D420" s="23"/>
      <c r="E420" s="23"/>
      <c r="F420" s="23"/>
      <c r="G420" s="23"/>
      <c r="H420" s="23"/>
    </row>
    <row r="421" spans="2:8" x14ac:dyDescent="0.2">
      <c r="B421" s="23"/>
      <c r="C421" s="23"/>
      <c r="D421" s="23"/>
      <c r="E421" s="23"/>
      <c r="F421" s="23"/>
      <c r="G421" s="23"/>
      <c r="H421" s="23"/>
    </row>
    <row r="422" spans="2:8" x14ac:dyDescent="0.2">
      <c r="B422" s="23"/>
      <c r="C422" s="23"/>
      <c r="D422" s="23"/>
      <c r="E422" s="23"/>
      <c r="F422" s="23"/>
      <c r="G422" s="23"/>
      <c r="H422" s="23"/>
    </row>
    <row r="423" spans="2:8" x14ac:dyDescent="0.2">
      <c r="B423" s="23"/>
      <c r="C423" s="23"/>
      <c r="D423" s="23"/>
      <c r="E423" s="23"/>
      <c r="F423" s="23"/>
      <c r="G423" s="23"/>
      <c r="H423" s="23"/>
    </row>
    <row r="424" spans="2:8" x14ac:dyDescent="0.2">
      <c r="B424" s="23"/>
      <c r="C424" s="23"/>
      <c r="D424" s="23"/>
      <c r="E424" s="23"/>
      <c r="F424" s="23"/>
      <c r="G424" s="23"/>
      <c r="H424" s="23"/>
    </row>
    <row r="425" spans="2:8" x14ac:dyDescent="0.2">
      <c r="B425" s="23"/>
      <c r="C425" s="23"/>
      <c r="D425" s="23"/>
      <c r="E425" s="23"/>
      <c r="F425" s="23"/>
      <c r="G425" s="23"/>
      <c r="H425" s="23"/>
    </row>
    <row r="426" spans="2:8" x14ac:dyDescent="0.2">
      <c r="B426" s="23"/>
      <c r="C426" s="23"/>
      <c r="D426" s="23"/>
      <c r="E426" s="23"/>
      <c r="F426" s="23"/>
      <c r="G426" s="23"/>
      <c r="H426" s="23"/>
    </row>
    <row r="427" spans="2:8" x14ac:dyDescent="0.2">
      <c r="B427" s="23"/>
      <c r="C427" s="23"/>
      <c r="D427" s="23"/>
      <c r="E427" s="23"/>
      <c r="F427" s="23"/>
      <c r="G427" s="23"/>
      <c r="H427" s="23"/>
    </row>
    <row r="428" spans="2:8" x14ac:dyDescent="0.2">
      <c r="B428" s="23"/>
      <c r="C428" s="23"/>
      <c r="D428" s="23"/>
      <c r="E428" s="23"/>
      <c r="F428" s="23"/>
      <c r="G428" s="23"/>
      <c r="H428" s="23"/>
    </row>
    <row r="429" spans="2:8" x14ac:dyDescent="0.2">
      <c r="B429" s="23"/>
      <c r="C429" s="23"/>
      <c r="D429" s="23"/>
      <c r="E429" s="23"/>
      <c r="F429" s="23"/>
      <c r="G429" s="23"/>
      <c r="H429" s="23"/>
    </row>
    <row r="430" spans="2:8" x14ac:dyDescent="0.2">
      <c r="B430" s="23"/>
      <c r="C430" s="23"/>
      <c r="D430" s="23"/>
      <c r="E430" s="23"/>
      <c r="F430" s="23"/>
      <c r="G430" s="23"/>
      <c r="H430" s="23"/>
    </row>
    <row r="431" spans="2:8" x14ac:dyDescent="0.2">
      <c r="B431" s="23"/>
      <c r="C431" s="23"/>
      <c r="D431" s="23"/>
      <c r="E431" s="23"/>
      <c r="F431" s="23"/>
      <c r="G431" s="23"/>
      <c r="H431" s="23"/>
    </row>
    <row r="432" spans="2:8" x14ac:dyDescent="0.2">
      <c r="B432" s="23"/>
      <c r="C432" s="23"/>
      <c r="D432" s="23"/>
      <c r="E432" s="23"/>
      <c r="F432" s="23"/>
      <c r="G432" s="23"/>
      <c r="H432" s="23"/>
    </row>
    <row r="433" spans="2:8" x14ac:dyDescent="0.2">
      <c r="B433" s="23"/>
      <c r="C433" s="23"/>
      <c r="D433" s="23"/>
      <c r="E433" s="23"/>
      <c r="F433" s="23"/>
      <c r="G433" s="23"/>
      <c r="H433" s="23"/>
    </row>
    <row r="434" spans="2:8" x14ac:dyDescent="0.2">
      <c r="B434" s="23"/>
      <c r="C434" s="23"/>
      <c r="D434" s="23"/>
      <c r="E434" s="23"/>
      <c r="F434" s="23"/>
      <c r="G434" s="23"/>
      <c r="H434" s="23"/>
    </row>
    <row r="435" spans="2:8" x14ac:dyDescent="0.2">
      <c r="B435" s="23"/>
      <c r="C435" s="23"/>
      <c r="D435" s="23"/>
      <c r="E435" s="23"/>
      <c r="F435" s="23"/>
      <c r="G435" s="23"/>
      <c r="H435" s="23"/>
    </row>
    <row r="436" spans="2:8" x14ac:dyDescent="0.2">
      <c r="B436" s="23"/>
      <c r="C436" s="23"/>
      <c r="D436" s="23"/>
      <c r="E436" s="23"/>
      <c r="F436" s="23"/>
      <c r="G436" s="23"/>
      <c r="H436" s="23"/>
    </row>
    <row r="437" spans="2:8" x14ac:dyDescent="0.2">
      <c r="B437" s="23"/>
      <c r="C437" s="23"/>
      <c r="D437" s="23"/>
      <c r="E437" s="23"/>
      <c r="F437" s="23"/>
      <c r="G437" s="23"/>
      <c r="H437" s="23"/>
    </row>
    <row r="438" spans="2:8" x14ac:dyDescent="0.2">
      <c r="B438" s="23"/>
      <c r="C438" s="23"/>
      <c r="D438" s="23"/>
      <c r="E438" s="23"/>
      <c r="F438" s="23"/>
      <c r="G438" s="23"/>
      <c r="H438" s="23"/>
    </row>
    <row r="439" spans="2:8" x14ac:dyDescent="0.2">
      <c r="B439" s="23"/>
      <c r="C439" s="23"/>
      <c r="D439" s="23"/>
      <c r="E439" s="23"/>
      <c r="F439" s="23"/>
      <c r="G439" s="23"/>
      <c r="H439" s="23"/>
    </row>
    <row r="440" spans="2:8" x14ac:dyDescent="0.2">
      <c r="B440" s="23"/>
      <c r="C440" s="23"/>
      <c r="D440" s="23"/>
      <c r="E440" s="23"/>
      <c r="F440" s="23"/>
      <c r="G440" s="23"/>
      <c r="H440" s="23"/>
    </row>
    <row r="441" spans="2:8" x14ac:dyDescent="0.2">
      <c r="B441" s="23"/>
      <c r="C441" s="23"/>
      <c r="D441" s="23"/>
      <c r="E441" s="23"/>
      <c r="F441" s="23"/>
      <c r="G441" s="23"/>
      <c r="H441" s="23"/>
    </row>
    <row r="442" spans="2:8" x14ac:dyDescent="0.2">
      <c r="B442" s="23"/>
      <c r="C442" s="23"/>
      <c r="D442" s="23"/>
      <c r="E442" s="23"/>
      <c r="F442" s="23"/>
      <c r="G442" s="23"/>
      <c r="H442" s="23"/>
    </row>
    <row r="443" spans="2:8" x14ac:dyDescent="0.2">
      <c r="B443" s="23"/>
      <c r="C443" s="23"/>
      <c r="D443" s="23"/>
      <c r="E443" s="23"/>
      <c r="F443" s="23"/>
      <c r="G443" s="23"/>
      <c r="H443" s="23"/>
    </row>
    <row r="444" spans="2:8" x14ac:dyDescent="0.2">
      <c r="B444" s="23"/>
      <c r="C444" s="23"/>
      <c r="D444" s="23"/>
      <c r="E444" s="23"/>
      <c r="F444" s="23"/>
      <c r="G444" s="23"/>
      <c r="H444" s="23"/>
    </row>
    <row r="445" spans="2:8" x14ac:dyDescent="0.2">
      <c r="B445" s="23"/>
      <c r="C445" s="23"/>
      <c r="D445" s="23"/>
      <c r="E445" s="23"/>
      <c r="F445" s="23"/>
      <c r="G445" s="23"/>
      <c r="H445" s="23"/>
    </row>
    <row r="446" spans="2:8" x14ac:dyDescent="0.2">
      <c r="B446" s="23"/>
      <c r="C446" s="23"/>
      <c r="D446" s="23"/>
      <c r="E446" s="23"/>
      <c r="F446" s="23"/>
      <c r="G446" s="23"/>
      <c r="H446" s="23"/>
    </row>
    <row r="447" spans="2:8" x14ac:dyDescent="0.2">
      <c r="B447" s="23"/>
      <c r="C447" s="23"/>
      <c r="D447" s="23"/>
      <c r="E447" s="23"/>
      <c r="F447" s="23"/>
      <c r="G447" s="23"/>
      <c r="H447" s="23"/>
    </row>
    <row r="448" spans="2:8" x14ac:dyDescent="0.2">
      <c r="B448" s="23"/>
      <c r="C448" s="23"/>
      <c r="D448" s="23"/>
      <c r="E448" s="23"/>
      <c r="F448" s="23"/>
      <c r="G448" s="23"/>
      <c r="H448" s="23"/>
    </row>
    <row r="449" spans="2:8" x14ac:dyDescent="0.2">
      <c r="B449" s="23"/>
      <c r="C449" s="23"/>
      <c r="D449" s="23"/>
      <c r="E449" s="23"/>
      <c r="F449" s="23"/>
      <c r="G449" s="23"/>
      <c r="H449" s="23"/>
    </row>
    <row r="450" spans="2:8" x14ac:dyDescent="0.2">
      <c r="B450" s="23"/>
      <c r="C450" s="23"/>
      <c r="D450" s="23"/>
      <c r="E450" s="23"/>
      <c r="F450" s="23"/>
      <c r="G450" s="23"/>
      <c r="H450" s="23"/>
    </row>
    <row r="451" spans="2:8" x14ac:dyDescent="0.2">
      <c r="B451" s="23"/>
      <c r="C451" s="23"/>
      <c r="D451" s="23"/>
      <c r="E451" s="23"/>
      <c r="F451" s="23"/>
      <c r="G451" s="23"/>
      <c r="H451" s="23"/>
    </row>
    <row r="452" spans="2:8" x14ac:dyDescent="0.2">
      <c r="B452" s="23"/>
      <c r="C452" s="23"/>
      <c r="D452" s="23"/>
      <c r="E452" s="23"/>
      <c r="F452" s="23"/>
      <c r="G452" s="23"/>
      <c r="H452" s="23"/>
    </row>
    <row r="453" spans="2:8" x14ac:dyDescent="0.2">
      <c r="B453" s="23"/>
      <c r="C453" s="23"/>
      <c r="D453" s="23"/>
      <c r="E453" s="23"/>
      <c r="F453" s="23"/>
      <c r="G453" s="23"/>
      <c r="H453" s="23"/>
    </row>
    <row r="454" spans="2:8" x14ac:dyDescent="0.2">
      <c r="B454" s="23"/>
      <c r="C454" s="23"/>
      <c r="D454" s="23"/>
      <c r="E454" s="23"/>
      <c r="F454" s="23"/>
      <c r="G454" s="23"/>
      <c r="H454" s="23"/>
    </row>
    <row r="455" spans="2:8" x14ac:dyDescent="0.2">
      <c r="B455" s="23"/>
      <c r="C455" s="23"/>
      <c r="D455" s="23"/>
      <c r="E455" s="23"/>
      <c r="F455" s="23"/>
      <c r="G455" s="23"/>
      <c r="H455" s="23"/>
    </row>
    <row r="456" spans="2:8" x14ac:dyDescent="0.2">
      <c r="B456" s="23"/>
      <c r="C456" s="23"/>
      <c r="D456" s="23"/>
      <c r="E456" s="23"/>
      <c r="F456" s="23"/>
      <c r="G456" s="23"/>
      <c r="H456" s="23"/>
    </row>
    <row r="457" spans="2:8" x14ac:dyDescent="0.2">
      <c r="B457" s="23"/>
      <c r="C457" s="23"/>
      <c r="D457" s="23"/>
      <c r="E457" s="23"/>
      <c r="F457" s="23"/>
      <c r="G457" s="23"/>
      <c r="H457" s="23"/>
    </row>
    <row r="458" spans="2:8" x14ac:dyDescent="0.2">
      <c r="B458" s="23"/>
      <c r="C458" s="23"/>
      <c r="D458" s="23"/>
      <c r="E458" s="23"/>
      <c r="F458" s="23"/>
      <c r="G458" s="23"/>
      <c r="H458" s="23"/>
    </row>
    <row r="459" spans="2:8" x14ac:dyDescent="0.2">
      <c r="B459" s="23"/>
      <c r="C459" s="23"/>
      <c r="D459" s="23"/>
      <c r="E459" s="23"/>
      <c r="F459" s="23"/>
      <c r="G459" s="23"/>
      <c r="H459" s="23"/>
    </row>
    <row r="460" spans="2:8" x14ac:dyDescent="0.2">
      <c r="B460" s="23"/>
      <c r="C460" s="23"/>
      <c r="D460" s="23"/>
      <c r="E460" s="23"/>
      <c r="F460" s="23"/>
      <c r="G460" s="23"/>
      <c r="H460" s="23"/>
    </row>
    <row r="461" spans="2:8" x14ac:dyDescent="0.2">
      <c r="B461" s="23"/>
      <c r="C461" s="23"/>
      <c r="D461" s="23"/>
      <c r="E461" s="23"/>
      <c r="F461" s="23"/>
      <c r="G461" s="23"/>
      <c r="H461" s="23"/>
    </row>
    <row r="462" spans="2:8" x14ac:dyDescent="0.2">
      <c r="B462" s="23"/>
      <c r="C462" s="23"/>
      <c r="D462" s="23"/>
      <c r="E462" s="23"/>
      <c r="F462" s="23"/>
      <c r="G462" s="23"/>
      <c r="H462" s="23"/>
    </row>
    <row r="463" spans="2:8" x14ac:dyDescent="0.2">
      <c r="B463" s="23"/>
      <c r="C463" s="23"/>
      <c r="D463" s="23"/>
      <c r="E463" s="23"/>
      <c r="F463" s="23"/>
      <c r="G463" s="23"/>
      <c r="H463" s="23"/>
    </row>
    <row r="464" spans="2:8" x14ac:dyDescent="0.2">
      <c r="B464" s="23"/>
      <c r="C464" s="23"/>
      <c r="D464" s="23"/>
      <c r="E464" s="23"/>
      <c r="F464" s="23"/>
      <c r="G464" s="23"/>
      <c r="H464" s="23"/>
    </row>
    <row r="465" spans="2:8" x14ac:dyDescent="0.2">
      <c r="B465" s="23"/>
      <c r="C465" s="23"/>
      <c r="D465" s="23"/>
      <c r="E465" s="23"/>
      <c r="F465" s="23"/>
      <c r="G465" s="23"/>
      <c r="H465" s="23"/>
    </row>
    <row r="466" spans="2:8" x14ac:dyDescent="0.2">
      <c r="B466" s="23"/>
      <c r="C466" s="23"/>
      <c r="D466" s="23"/>
      <c r="E466" s="23"/>
      <c r="F466" s="23"/>
      <c r="G466" s="23"/>
      <c r="H466" s="23"/>
    </row>
    <row r="467" spans="2:8" x14ac:dyDescent="0.2">
      <c r="B467" s="23"/>
      <c r="C467" s="23"/>
      <c r="D467" s="23"/>
      <c r="E467" s="23"/>
      <c r="F467" s="23"/>
      <c r="G467" s="23"/>
      <c r="H467" s="23"/>
    </row>
    <row r="468" spans="2:8" x14ac:dyDescent="0.2">
      <c r="B468" s="23"/>
      <c r="C468" s="23"/>
      <c r="D468" s="23"/>
      <c r="E468" s="23"/>
      <c r="F468" s="23"/>
      <c r="G468" s="23"/>
      <c r="H468" s="23"/>
    </row>
    <row r="469" spans="2:8" x14ac:dyDescent="0.2">
      <c r="B469" s="23"/>
      <c r="C469" s="23"/>
      <c r="D469" s="23"/>
      <c r="E469" s="23"/>
      <c r="F469" s="23"/>
      <c r="G469" s="23"/>
      <c r="H469" s="23"/>
    </row>
    <row r="470" spans="2:8" x14ac:dyDescent="0.2">
      <c r="B470" s="23"/>
      <c r="C470" s="23"/>
      <c r="D470" s="23"/>
      <c r="E470" s="23"/>
      <c r="F470" s="23"/>
      <c r="G470" s="23"/>
      <c r="H470" s="23"/>
    </row>
    <row r="471" spans="2:8" x14ac:dyDescent="0.2">
      <c r="B471" s="23"/>
      <c r="C471" s="23"/>
      <c r="D471" s="23"/>
      <c r="E471" s="23"/>
      <c r="F471" s="23"/>
      <c r="G471" s="23"/>
      <c r="H471" s="23"/>
    </row>
    <row r="472" spans="2:8" x14ac:dyDescent="0.2">
      <c r="B472" s="23"/>
      <c r="C472" s="23"/>
      <c r="D472" s="23"/>
      <c r="E472" s="23"/>
      <c r="F472" s="23"/>
      <c r="G472" s="23"/>
      <c r="H472" s="23"/>
    </row>
    <row r="473" spans="2:8" x14ac:dyDescent="0.2">
      <c r="B473" s="23"/>
      <c r="C473" s="23"/>
      <c r="D473" s="23"/>
      <c r="E473" s="23"/>
      <c r="F473" s="23"/>
      <c r="G473" s="23"/>
      <c r="H473" s="23"/>
    </row>
    <row r="474" spans="2:8" x14ac:dyDescent="0.2">
      <c r="B474" s="23"/>
      <c r="C474" s="23"/>
      <c r="D474" s="23"/>
      <c r="E474" s="23"/>
      <c r="F474" s="23"/>
      <c r="G474" s="23"/>
      <c r="H474" s="23"/>
    </row>
    <row r="475" spans="2:8" x14ac:dyDescent="0.2">
      <c r="B475" s="23"/>
      <c r="C475" s="23"/>
      <c r="D475" s="23"/>
      <c r="E475" s="23"/>
      <c r="F475" s="23"/>
      <c r="G475" s="23"/>
      <c r="H475" s="23"/>
    </row>
    <row r="476" spans="2:8" x14ac:dyDescent="0.2">
      <c r="B476" s="23"/>
      <c r="C476" s="23"/>
      <c r="D476" s="23"/>
      <c r="E476" s="23"/>
      <c r="F476" s="23"/>
      <c r="G476" s="23"/>
      <c r="H476" s="23"/>
    </row>
    <row r="477" spans="2:8" x14ac:dyDescent="0.2">
      <c r="B477" s="23"/>
      <c r="C477" s="23"/>
      <c r="D477" s="23"/>
      <c r="E477" s="23"/>
      <c r="F477" s="23"/>
      <c r="G477" s="23"/>
      <c r="H477" s="23"/>
    </row>
    <row r="478" spans="2:8" x14ac:dyDescent="0.2">
      <c r="B478" s="23"/>
      <c r="C478" s="23"/>
      <c r="D478" s="23"/>
      <c r="E478" s="23"/>
      <c r="F478" s="23"/>
      <c r="G478" s="23"/>
      <c r="H478" s="23"/>
    </row>
    <row r="479" spans="2:8" x14ac:dyDescent="0.2">
      <c r="B479" s="23"/>
      <c r="C479" s="23"/>
      <c r="D479" s="23"/>
      <c r="E479" s="23"/>
      <c r="F479" s="23"/>
      <c r="G479" s="23"/>
      <c r="H479" s="23"/>
    </row>
    <row r="480" spans="2:8" x14ac:dyDescent="0.2">
      <c r="B480" s="23"/>
      <c r="C480" s="23"/>
      <c r="D480" s="23"/>
      <c r="E480" s="23"/>
      <c r="F480" s="23"/>
      <c r="G480" s="23"/>
      <c r="H480" s="23"/>
    </row>
    <row r="481" spans="2:8" x14ac:dyDescent="0.2">
      <c r="B481" s="23"/>
      <c r="C481" s="23"/>
      <c r="D481" s="23"/>
      <c r="E481" s="23"/>
      <c r="F481" s="23"/>
      <c r="G481" s="23"/>
      <c r="H481" s="23"/>
    </row>
    <row r="482" spans="2:8" x14ac:dyDescent="0.2">
      <c r="B482" s="23"/>
      <c r="C482" s="23"/>
      <c r="D482" s="23"/>
      <c r="E482" s="23"/>
      <c r="F482" s="23"/>
      <c r="G482" s="23"/>
      <c r="H482" s="23"/>
    </row>
    <row r="483" spans="2:8" x14ac:dyDescent="0.2">
      <c r="B483" s="23"/>
      <c r="C483" s="23"/>
      <c r="D483" s="23"/>
      <c r="E483" s="23"/>
      <c r="F483" s="23"/>
      <c r="G483" s="23"/>
      <c r="H483" s="23"/>
    </row>
    <row r="484" spans="2:8" x14ac:dyDescent="0.2">
      <c r="B484" s="23"/>
      <c r="C484" s="23"/>
      <c r="D484" s="23"/>
      <c r="E484" s="23"/>
      <c r="F484" s="23"/>
      <c r="G484" s="23"/>
      <c r="H484" s="23"/>
    </row>
    <row r="485" spans="2:8" x14ac:dyDescent="0.2">
      <c r="B485" s="23"/>
      <c r="C485" s="23"/>
      <c r="D485" s="23"/>
      <c r="E485" s="23"/>
      <c r="F485" s="23"/>
      <c r="G485" s="23"/>
      <c r="H485" s="23"/>
    </row>
    <row r="486" spans="2:8" x14ac:dyDescent="0.2">
      <c r="B486" s="23"/>
      <c r="C486" s="23"/>
      <c r="D486" s="23"/>
      <c r="E486" s="23"/>
      <c r="F486" s="23"/>
      <c r="G486" s="23"/>
      <c r="H486" s="23"/>
    </row>
    <row r="487" spans="2:8" x14ac:dyDescent="0.2">
      <c r="B487" s="23"/>
      <c r="C487" s="23"/>
      <c r="D487" s="23"/>
      <c r="E487" s="23"/>
      <c r="F487" s="23"/>
      <c r="G487" s="23"/>
      <c r="H487" s="23"/>
    </row>
    <row r="488" spans="2:8" x14ac:dyDescent="0.2">
      <c r="B488" s="23"/>
      <c r="C488" s="23"/>
      <c r="D488" s="23"/>
      <c r="E488" s="23"/>
      <c r="F488" s="23"/>
      <c r="G488" s="23"/>
      <c r="H488" s="23"/>
    </row>
    <row r="489" spans="2:8" x14ac:dyDescent="0.2">
      <c r="B489" s="23"/>
      <c r="C489" s="23"/>
      <c r="D489" s="23"/>
      <c r="E489" s="23"/>
      <c r="F489" s="23"/>
      <c r="G489" s="23"/>
      <c r="H489" s="23"/>
    </row>
    <row r="490" spans="2:8" x14ac:dyDescent="0.2">
      <c r="B490" s="23"/>
      <c r="C490" s="23"/>
      <c r="D490" s="23"/>
      <c r="E490" s="23"/>
      <c r="F490" s="23"/>
      <c r="G490" s="23"/>
      <c r="H490" s="23"/>
    </row>
    <row r="491" spans="2:8" x14ac:dyDescent="0.2">
      <c r="B491" s="23"/>
      <c r="C491" s="23"/>
      <c r="D491" s="23"/>
      <c r="E491" s="23"/>
      <c r="F491" s="23"/>
      <c r="G491" s="23"/>
      <c r="H491" s="23"/>
    </row>
    <row r="492" spans="2:8" x14ac:dyDescent="0.2">
      <c r="B492" s="23"/>
      <c r="C492" s="23"/>
      <c r="D492" s="23"/>
      <c r="E492" s="23"/>
      <c r="F492" s="23"/>
      <c r="G492" s="23"/>
      <c r="H492" s="23"/>
    </row>
    <row r="493" spans="2:8" x14ac:dyDescent="0.2">
      <c r="B493" s="23"/>
      <c r="C493" s="23"/>
      <c r="D493" s="23"/>
      <c r="E493" s="23"/>
      <c r="F493" s="23"/>
      <c r="G493" s="23"/>
      <c r="H493" s="23"/>
    </row>
    <row r="494" spans="2:8" x14ac:dyDescent="0.2">
      <c r="B494" s="23"/>
      <c r="C494" s="23"/>
      <c r="D494" s="23"/>
      <c r="E494" s="23"/>
      <c r="F494" s="23"/>
      <c r="G494" s="23"/>
      <c r="H494" s="23"/>
    </row>
    <row r="495" spans="2:8" x14ac:dyDescent="0.2">
      <c r="B495" s="23"/>
      <c r="C495" s="23"/>
      <c r="D495" s="23"/>
      <c r="E495" s="23"/>
      <c r="F495" s="23"/>
      <c r="G495" s="23"/>
      <c r="H495" s="23"/>
    </row>
    <row r="496" spans="2:8" x14ac:dyDescent="0.2">
      <c r="B496" s="23"/>
      <c r="C496" s="23"/>
      <c r="D496" s="23"/>
      <c r="E496" s="23"/>
      <c r="F496" s="23"/>
      <c r="G496" s="23"/>
      <c r="H496" s="23"/>
    </row>
    <row r="497" spans="2:8" x14ac:dyDescent="0.2">
      <c r="B497" s="23"/>
      <c r="C497" s="23"/>
      <c r="D497" s="23"/>
      <c r="E497" s="23"/>
      <c r="F497" s="23"/>
      <c r="G497" s="23"/>
      <c r="H497" s="23"/>
    </row>
    <row r="498" spans="2:8" x14ac:dyDescent="0.2">
      <c r="B498" s="23"/>
      <c r="C498" s="23"/>
      <c r="D498" s="23"/>
      <c r="E498" s="23"/>
      <c r="F498" s="23"/>
      <c r="G498" s="23"/>
      <c r="H498" s="23"/>
    </row>
    <row r="499" spans="2:8" x14ac:dyDescent="0.2">
      <c r="B499" s="23"/>
      <c r="C499" s="23"/>
      <c r="D499" s="23"/>
      <c r="E499" s="23"/>
      <c r="F499" s="23"/>
      <c r="G499" s="23"/>
      <c r="H499" s="23"/>
    </row>
    <row r="500" spans="2:8" x14ac:dyDescent="0.2">
      <c r="B500" s="23"/>
      <c r="C500" s="23"/>
      <c r="D500" s="23"/>
      <c r="E500" s="23"/>
      <c r="F500" s="23"/>
      <c r="G500" s="23"/>
      <c r="H500" s="23"/>
    </row>
    <row r="501" spans="2:8" x14ac:dyDescent="0.2">
      <c r="B501" s="23"/>
      <c r="C501" s="23"/>
      <c r="D501" s="23"/>
      <c r="E501" s="23"/>
      <c r="F501" s="23"/>
      <c r="G501" s="23"/>
      <c r="H501" s="23"/>
    </row>
    <row r="502" spans="2:8" x14ac:dyDescent="0.2">
      <c r="B502" s="23"/>
      <c r="C502" s="23"/>
      <c r="D502" s="23"/>
      <c r="E502" s="23"/>
      <c r="F502" s="23"/>
      <c r="G502" s="23"/>
      <c r="H502" s="23"/>
    </row>
    <row r="503" spans="2:8" x14ac:dyDescent="0.2">
      <c r="B503" s="23"/>
      <c r="C503" s="23"/>
      <c r="D503" s="23"/>
      <c r="E503" s="23"/>
      <c r="F503" s="23"/>
      <c r="G503" s="23"/>
      <c r="H503" s="23"/>
    </row>
    <row r="504" spans="2:8" x14ac:dyDescent="0.2">
      <c r="B504" s="23"/>
      <c r="C504" s="23"/>
      <c r="D504" s="23"/>
      <c r="E504" s="23"/>
      <c r="F504" s="23"/>
      <c r="G504" s="23"/>
      <c r="H504" s="23"/>
    </row>
    <row r="505" spans="2:8" x14ac:dyDescent="0.2">
      <c r="B505" s="23"/>
      <c r="C505" s="23"/>
      <c r="D505" s="23"/>
      <c r="E505" s="23"/>
      <c r="F505" s="23"/>
      <c r="G505" s="23"/>
      <c r="H505" s="23"/>
    </row>
    <row r="506" spans="2:8" x14ac:dyDescent="0.2">
      <c r="B506" s="23"/>
      <c r="C506" s="23"/>
      <c r="D506" s="23"/>
      <c r="E506" s="23"/>
      <c r="F506" s="23"/>
      <c r="G506" s="23"/>
      <c r="H506" s="23"/>
    </row>
    <row r="507" spans="2:8" x14ac:dyDescent="0.2">
      <c r="B507" s="23"/>
      <c r="C507" s="23"/>
      <c r="D507" s="23"/>
      <c r="E507" s="23"/>
      <c r="F507" s="23"/>
      <c r="G507" s="23"/>
      <c r="H507" s="23"/>
    </row>
    <row r="508" spans="2:8" x14ac:dyDescent="0.2">
      <c r="B508" s="23"/>
      <c r="C508" s="23"/>
      <c r="D508" s="23"/>
      <c r="E508" s="23"/>
      <c r="F508" s="23"/>
      <c r="G508" s="23"/>
      <c r="H508" s="23"/>
    </row>
    <row r="509" spans="2:8" x14ac:dyDescent="0.2">
      <c r="B509" s="23"/>
      <c r="C509" s="23"/>
      <c r="D509" s="23"/>
      <c r="E509" s="23"/>
      <c r="F509" s="23"/>
      <c r="G509" s="23"/>
      <c r="H509" s="23"/>
    </row>
    <row r="510" spans="2:8" x14ac:dyDescent="0.2">
      <c r="B510" s="23"/>
      <c r="C510" s="23"/>
      <c r="D510" s="23"/>
      <c r="E510" s="23"/>
      <c r="F510" s="23"/>
      <c r="G510" s="23"/>
      <c r="H510" s="23"/>
    </row>
    <row r="511" spans="2:8" x14ac:dyDescent="0.2">
      <c r="B511" s="23"/>
      <c r="C511" s="23"/>
      <c r="D511" s="23"/>
      <c r="E511" s="23"/>
      <c r="F511" s="23"/>
      <c r="G511" s="23"/>
      <c r="H511" s="23"/>
    </row>
  </sheetData>
  <phoneticPr fontId="1"/>
  <printOptions headings="1" gridLines="1"/>
  <pageMargins left="0.75" right="0.75" top="1" bottom="1" header="0.5" footer="0.5"/>
  <pageSetup paperSize="0" orientation="portrait" horizontalDpi="4294967292" verticalDpi="4294967292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14CE2-4FDF-B34F-ADBF-6EDEC9F10F2E}">
  <sheetPr codeName="Sheet1"/>
  <dimension ref="A1:H511"/>
  <sheetViews>
    <sheetView zoomScale="150" zoomScaleNormal="150" workbookViewId="0">
      <selection activeCell="K9" sqref="K9"/>
    </sheetView>
  </sheetViews>
  <sheetFormatPr baseColWidth="10" defaultColWidth="10.83203125" defaultRowHeight="14" x14ac:dyDescent="0.2"/>
  <cols>
    <col min="1" max="1" width="13" style="1" customWidth="1"/>
    <col min="2" max="2" width="19" style="1" customWidth="1"/>
    <col min="3" max="3" width="17.1640625" style="1" customWidth="1"/>
    <col min="4" max="4" width="12.1640625" style="1" bestFit="1" customWidth="1"/>
    <col min="5" max="5" width="14.83203125" style="1" customWidth="1"/>
    <col min="6" max="6" width="12.1640625" style="1" bestFit="1" customWidth="1"/>
    <col min="7" max="8" width="10.83203125" style="1" customWidth="1"/>
    <col min="9" max="9" width="5.83203125" style="5" customWidth="1"/>
    <col min="10" max="16384" width="10.83203125" style="5"/>
  </cols>
  <sheetData>
    <row r="1" spans="1:8" x14ac:dyDescent="0.2">
      <c r="A1" s="126" t="s">
        <v>118</v>
      </c>
    </row>
    <row r="2" spans="1:8" ht="15" x14ac:dyDescent="0.2">
      <c r="B2" s="11" t="s">
        <v>29</v>
      </c>
      <c r="C2" s="24">
        <v>5</v>
      </c>
      <c r="D2" s="14" t="s">
        <v>116</v>
      </c>
      <c r="E2" s="94"/>
      <c r="G2" s="69"/>
    </row>
    <row r="3" spans="1:8" x14ac:dyDescent="0.2">
      <c r="B3" s="11" t="s">
        <v>31</v>
      </c>
      <c r="C3" s="36">
        <v>3</v>
      </c>
      <c r="D3" s="14"/>
      <c r="E3" s="5"/>
    </row>
    <row r="4" spans="1:8" x14ac:dyDescent="0.2">
      <c r="B4" s="11" t="s">
        <v>32</v>
      </c>
      <c r="C4" s="36">
        <v>3</v>
      </c>
      <c r="D4" s="14" t="s">
        <v>117</v>
      </c>
    </row>
    <row r="5" spans="1:8" ht="15" thickBot="1" x14ac:dyDescent="0.25"/>
    <row r="6" spans="1:8" x14ac:dyDescent="0.2">
      <c r="C6" s="11" t="s">
        <v>33</v>
      </c>
      <c r="D6" s="25">
        <f ca="1">AVERAGE(G12:G111)</f>
        <v>1.845723312495964</v>
      </c>
      <c r="E6" s="14" t="s">
        <v>30</v>
      </c>
      <c r="G6" s="69"/>
    </row>
    <row r="7" spans="1:8" ht="15" thickBot="1" x14ac:dyDescent="0.25">
      <c r="C7" s="11" t="s">
        <v>34</v>
      </c>
      <c r="D7" s="26">
        <f ca="1">AVERAGE(H12:H111)</f>
        <v>4.9492945496080196</v>
      </c>
      <c r="E7" s="14" t="s">
        <v>30</v>
      </c>
    </row>
    <row r="9" spans="1:8" x14ac:dyDescent="0.2">
      <c r="B9" s="2" t="s">
        <v>36</v>
      </c>
      <c r="C9" s="1" t="s">
        <v>28</v>
      </c>
      <c r="D9" s="1" t="s">
        <v>28</v>
      </c>
      <c r="E9" s="1" t="s">
        <v>27</v>
      </c>
      <c r="F9" s="6" t="s">
        <v>28</v>
      </c>
      <c r="G9" s="1" t="s">
        <v>28</v>
      </c>
      <c r="H9" s="1" t="s">
        <v>28</v>
      </c>
    </row>
    <row r="10" spans="1:8" x14ac:dyDescent="0.2">
      <c r="A10" s="1" t="s">
        <v>35</v>
      </c>
      <c r="B10" s="2" t="s">
        <v>28</v>
      </c>
      <c r="C10" s="1" t="s">
        <v>37</v>
      </c>
      <c r="D10" s="1" t="s">
        <v>27</v>
      </c>
      <c r="E10" s="1" t="s">
        <v>28</v>
      </c>
      <c r="F10" s="6" t="s">
        <v>27</v>
      </c>
      <c r="G10" s="1" t="s">
        <v>38</v>
      </c>
      <c r="H10" s="1" t="s">
        <v>38</v>
      </c>
    </row>
    <row r="11" spans="1:8" ht="15" thickBot="1" x14ac:dyDescent="0.25">
      <c r="A11" s="3" t="s">
        <v>39</v>
      </c>
      <c r="B11" s="92" t="s">
        <v>97</v>
      </c>
      <c r="C11" s="3" t="s">
        <v>39</v>
      </c>
      <c r="D11" s="3" t="s">
        <v>40</v>
      </c>
      <c r="E11" s="93" t="s">
        <v>98</v>
      </c>
      <c r="F11" s="7" t="s">
        <v>41</v>
      </c>
      <c r="G11" s="3" t="s">
        <v>42</v>
      </c>
      <c r="H11" s="3" t="s">
        <v>43</v>
      </c>
    </row>
    <row r="12" spans="1:8" x14ac:dyDescent="0.2">
      <c r="A12" s="1">
        <v>1</v>
      </c>
      <c r="B12" s="27">
        <f t="shared" ref="B12:B43" ca="1" si="0">-$C$2*LN(RAND())</f>
        <v>8.1429403752448355</v>
      </c>
      <c r="C12" s="23">
        <f ca="1">B12</f>
        <v>8.1429403752448355</v>
      </c>
      <c r="D12" s="23">
        <f ca="1">C12</f>
        <v>8.1429403752448355</v>
      </c>
      <c r="E12" s="23">
        <f t="shared" ref="E12:E43" ca="1" si="1">$C$4*2*RAND()</f>
        <v>3.8512472771319697</v>
      </c>
      <c r="F12" s="28">
        <f t="shared" ref="F12:F75" ca="1" si="2">D12+E12</f>
        <v>11.994187652376805</v>
      </c>
      <c r="G12" s="23">
        <f t="shared" ref="G12:G75" ca="1" si="3">D12-C12</f>
        <v>0</v>
      </c>
      <c r="H12" s="23">
        <f t="shared" ref="H12:H75" ca="1" si="4">F12-C12</f>
        <v>3.8512472771319697</v>
      </c>
    </row>
    <row r="13" spans="1:8" x14ac:dyDescent="0.2">
      <c r="A13" s="1">
        <v>2</v>
      </c>
      <c r="B13" s="27">
        <f t="shared" ca="1" si="0"/>
        <v>0.91203254374681919</v>
      </c>
      <c r="C13" s="23">
        <f t="shared" ref="C13:C76" ca="1" si="5">C12+B13</f>
        <v>9.0549729189916555</v>
      </c>
      <c r="D13" s="23">
        <f t="shared" ref="D13:D76" ca="1" si="6">MAX(F12,C13)</f>
        <v>11.994187652376805</v>
      </c>
      <c r="E13" s="23">
        <f t="shared" ca="1" si="1"/>
        <v>4.8146271943683416</v>
      </c>
      <c r="F13" s="28">
        <f t="shared" ca="1" si="2"/>
        <v>16.808814846745147</v>
      </c>
      <c r="G13" s="23">
        <f t="shared" ca="1" si="3"/>
        <v>2.9392147333851497</v>
      </c>
      <c r="H13" s="23">
        <f t="shared" ca="1" si="4"/>
        <v>7.7538419277534913</v>
      </c>
    </row>
    <row r="14" spans="1:8" x14ac:dyDescent="0.2">
      <c r="A14" s="1">
        <v>3</v>
      </c>
      <c r="B14" s="27">
        <f t="shared" ca="1" si="0"/>
        <v>0.45334282132419268</v>
      </c>
      <c r="C14" s="23">
        <f t="shared" ca="1" si="5"/>
        <v>9.5083157403158474</v>
      </c>
      <c r="D14" s="23">
        <f t="shared" ca="1" si="6"/>
        <v>16.808814846745147</v>
      </c>
      <c r="E14" s="23">
        <f t="shared" ca="1" si="1"/>
        <v>4.4424072607745151</v>
      </c>
      <c r="F14" s="28">
        <f t="shared" ca="1" si="2"/>
        <v>21.251222107519663</v>
      </c>
      <c r="G14" s="23">
        <f t="shared" ca="1" si="3"/>
        <v>7.3004991064292994</v>
      </c>
      <c r="H14" s="23">
        <f t="shared" ca="1" si="4"/>
        <v>11.742906367203815</v>
      </c>
    </row>
    <row r="15" spans="1:8" x14ac:dyDescent="0.2">
      <c r="A15" s="1">
        <v>4</v>
      </c>
      <c r="B15" s="27">
        <f t="shared" ca="1" si="0"/>
        <v>8.8005267004772811</v>
      </c>
      <c r="C15" s="23">
        <f t="shared" ca="1" si="5"/>
        <v>18.308842440793129</v>
      </c>
      <c r="D15" s="23">
        <f t="shared" ca="1" si="6"/>
        <v>21.251222107519663</v>
      </c>
      <c r="E15" s="23">
        <f t="shared" ca="1" si="1"/>
        <v>2.7700512046418178</v>
      </c>
      <c r="F15" s="28">
        <f t="shared" ca="1" si="2"/>
        <v>24.02127331216148</v>
      </c>
      <c r="G15" s="23">
        <f t="shared" ca="1" si="3"/>
        <v>2.9423796667265343</v>
      </c>
      <c r="H15" s="23">
        <f t="shared" ca="1" si="4"/>
        <v>5.7124308713683511</v>
      </c>
    </row>
    <row r="16" spans="1:8" x14ac:dyDescent="0.2">
      <c r="A16" s="1">
        <v>5</v>
      </c>
      <c r="B16" s="27">
        <f t="shared" ca="1" si="0"/>
        <v>0.86657052503453669</v>
      </c>
      <c r="C16" s="23">
        <f t="shared" ca="1" si="5"/>
        <v>19.175412965827665</v>
      </c>
      <c r="D16" s="23">
        <f t="shared" ca="1" si="6"/>
        <v>24.02127331216148</v>
      </c>
      <c r="E16" s="23">
        <f t="shared" ca="1" si="1"/>
        <v>4.9326063564192841</v>
      </c>
      <c r="F16" s="28">
        <f t="shared" ca="1" si="2"/>
        <v>28.953879668580765</v>
      </c>
      <c r="G16" s="23">
        <f t="shared" ca="1" si="3"/>
        <v>4.845860346333815</v>
      </c>
      <c r="H16" s="23">
        <f t="shared" ca="1" si="4"/>
        <v>9.7784667027531</v>
      </c>
    </row>
    <row r="17" spans="1:8" x14ac:dyDescent="0.2">
      <c r="A17" s="1">
        <v>6</v>
      </c>
      <c r="B17" s="27">
        <f t="shared" ca="1" si="0"/>
        <v>4.8618090972131958</v>
      </c>
      <c r="C17" s="23">
        <f t="shared" ca="1" si="5"/>
        <v>24.037222063040861</v>
      </c>
      <c r="D17" s="23">
        <f t="shared" ca="1" si="6"/>
        <v>28.953879668580765</v>
      </c>
      <c r="E17" s="23">
        <f t="shared" ca="1" si="1"/>
        <v>2.2853192507855686</v>
      </c>
      <c r="F17" s="28">
        <f t="shared" ca="1" si="2"/>
        <v>31.239198919366334</v>
      </c>
      <c r="G17" s="23">
        <f t="shared" ca="1" si="3"/>
        <v>4.9166576055399034</v>
      </c>
      <c r="H17" s="23">
        <f t="shared" ca="1" si="4"/>
        <v>7.2019768563254729</v>
      </c>
    </row>
    <row r="18" spans="1:8" x14ac:dyDescent="0.2">
      <c r="A18" s="1">
        <v>7</v>
      </c>
      <c r="B18" s="27">
        <f t="shared" ca="1" si="0"/>
        <v>13.739538683111789</v>
      </c>
      <c r="C18" s="23">
        <f t="shared" ca="1" si="5"/>
        <v>37.776760746152647</v>
      </c>
      <c r="D18" s="23">
        <f t="shared" ca="1" si="6"/>
        <v>37.776760746152647</v>
      </c>
      <c r="E18" s="23">
        <f t="shared" ca="1" si="1"/>
        <v>2.034335196822683</v>
      </c>
      <c r="F18" s="28">
        <f t="shared" ca="1" si="2"/>
        <v>39.811095942975328</v>
      </c>
      <c r="G18" s="23">
        <f t="shared" ca="1" si="3"/>
        <v>0</v>
      </c>
      <c r="H18" s="23">
        <f t="shared" ca="1" si="4"/>
        <v>2.0343351968226813</v>
      </c>
    </row>
    <row r="19" spans="1:8" x14ac:dyDescent="0.2">
      <c r="A19" s="1">
        <v>8</v>
      </c>
      <c r="B19" s="27">
        <f t="shared" ca="1" si="0"/>
        <v>5.3445308834663514</v>
      </c>
      <c r="C19" s="23">
        <f t="shared" ca="1" si="5"/>
        <v>43.121291629618995</v>
      </c>
      <c r="D19" s="23">
        <f t="shared" ca="1" si="6"/>
        <v>43.121291629618995</v>
      </c>
      <c r="E19" s="23">
        <f t="shared" ca="1" si="1"/>
        <v>3.069782195032662</v>
      </c>
      <c r="F19" s="28">
        <f t="shared" ca="1" si="2"/>
        <v>46.191073824651653</v>
      </c>
      <c r="G19" s="23">
        <f t="shared" ca="1" si="3"/>
        <v>0</v>
      </c>
      <c r="H19" s="23">
        <f t="shared" ca="1" si="4"/>
        <v>3.0697821950326585</v>
      </c>
    </row>
    <row r="20" spans="1:8" x14ac:dyDescent="0.2">
      <c r="A20" s="1">
        <v>9</v>
      </c>
      <c r="B20" s="27">
        <f t="shared" ca="1" si="0"/>
        <v>1.553904901007114</v>
      </c>
      <c r="C20" s="23">
        <f t="shared" ca="1" si="5"/>
        <v>44.67519653062611</v>
      </c>
      <c r="D20" s="23">
        <f t="shared" ca="1" si="6"/>
        <v>46.191073824651653</v>
      </c>
      <c r="E20" s="23">
        <f t="shared" ca="1" si="1"/>
        <v>1.4050038026240081</v>
      </c>
      <c r="F20" s="28">
        <f t="shared" ca="1" si="2"/>
        <v>47.596077627275662</v>
      </c>
      <c r="G20" s="23">
        <f t="shared" ca="1" si="3"/>
        <v>1.5158772940255432</v>
      </c>
      <c r="H20" s="23">
        <f t="shared" ca="1" si="4"/>
        <v>2.920881096649552</v>
      </c>
    </row>
    <row r="21" spans="1:8" x14ac:dyDescent="0.2">
      <c r="A21" s="1">
        <v>10</v>
      </c>
      <c r="B21" s="27">
        <f t="shared" ca="1" si="0"/>
        <v>11.411218491939492</v>
      </c>
      <c r="C21" s="23">
        <f t="shared" ca="1" si="5"/>
        <v>56.086415022565603</v>
      </c>
      <c r="D21" s="23">
        <f t="shared" ca="1" si="6"/>
        <v>56.086415022565603</v>
      </c>
      <c r="E21" s="23">
        <f t="shared" ca="1" si="1"/>
        <v>0.38430380848218326</v>
      </c>
      <c r="F21" s="28">
        <f t="shared" ca="1" si="2"/>
        <v>56.470718831047783</v>
      </c>
      <c r="G21" s="23">
        <f t="shared" ca="1" si="3"/>
        <v>0</v>
      </c>
      <c r="H21" s="23">
        <f t="shared" ca="1" si="4"/>
        <v>0.38430380848217993</v>
      </c>
    </row>
    <row r="22" spans="1:8" x14ac:dyDescent="0.2">
      <c r="A22" s="1">
        <v>11</v>
      </c>
      <c r="B22" s="27">
        <f t="shared" ca="1" si="0"/>
        <v>1.1873225752749486</v>
      </c>
      <c r="C22" s="23">
        <f t="shared" ca="1" si="5"/>
        <v>57.273737597840551</v>
      </c>
      <c r="D22" s="23">
        <f t="shared" ca="1" si="6"/>
        <v>57.273737597840551</v>
      </c>
      <c r="E22" s="23">
        <f t="shared" ca="1" si="1"/>
        <v>5.5674140245651387</v>
      </c>
      <c r="F22" s="28">
        <f t="shared" ca="1" si="2"/>
        <v>62.84115162240569</v>
      </c>
      <c r="G22" s="23">
        <f t="shared" ca="1" si="3"/>
        <v>0</v>
      </c>
      <c r="H22" s="23">
        <f t="shared" ca="1" si="4"/>
        <v>5.5674140245651387</v>
      </c>
    </row>
    <row r="23" spans="1:8" x14ac:dyDescent="0.2">
      <c r="A23" s="1">
        <v>12</v>
      </c>
      <c r="B23" s="27">
        <f t="shared" ca="1" si="0"/>
        <v>3.6500338624172199</v>
      </c>
      <c r="C23" s="23">
        <f t="shared" ca="1" si="5"/>
        <v>60.923771460257768</v>
      </c>
      <c r="D23" s="23">
        <f t="shared" ca="1" si="6"/>
        <v>62.84115162240569</v>
      </c>
      <c r="E23" s="23">
        <f t="shared" ca="1" si="1"/>
        <v>4.3518523857463105</v>
      </c>
      <c r="F23" s="28">
        <f t="shared" ca="1" si="2"/>
        <v>67.193004008152002</v>
      </c>
      <c r="G23" s="23">
        <f t="shared" ca="1" si="3"/>
        <v>1.9173801621479214</v>
      </c>
      <c r="H23" s="23">
        <f t="shared" ca="1" si="4"/>
        <v>6.2692325478942337</v>
      </c>
    </row>
    <row r="24" spans="1:8" x14ac:dyDescent="0.2">
      <c r="A24" s="1">
        <v>13</v>
      </c>
      <c r="B24" s="27">
        <f t="shared" ca="1" si="0"/>
        <v>1.1156247347082879</v>
      </c>
      <c r="C24" s="23">
        <f t="shared" ca="1" si="5"/>
        <v>62.039396194966059</v>
      </c>
      <c r="D24" s="23">
        <f t="shared" ca="1" si="6"/>
        <v>67.193004008152002</v>
      </c>
      <c r="E24" s="23">
        <f t="shared" ca="1" si="1"/>
        <v>1.1263325030330269</v>
      </c>
      <c r="F24" s="28">
        <f t="shared" ca="1" si="2"/>
        <v>68.319336511185028</v>
      </c>
      <c r="G24" s="23">
        <f t="shared" ca="1" si="3"/>
        <v>5.1536078131859426</v>
      </c>
      <c r="H24" s="23">
        <f t="shared" ca="1" si="4"/>
        <v>6.2799403162189691</v>
      </c>
    </row>
    <row r="25" spans="1:8" x14ac:dyDescent="0.2">
      <c r="A25" s="1">
        <v>14</v>
      </c>
      <c r="B25" s="27">
        <f t="shared" ca="1" si="0"/>
        <v>5.6435594697940816</v>
      </c>
      <c r="C25" s="23">
        <f t="shared" ca="1" si="5"/>
        <v>67.682955664760144</v>
      </c>
      <c r="D25" s="23">
        <f t="shared" ca="1" si="6"/>
        <v>68.319336511185028</v>
      </c>
      <c r="E25" s="23">
        <f t="shared" ca="1" si="1"/>
        <v>1.2664801559826857</v>
      </c>
      <c r="F25" s="28">
        <f t="shared" ca="1" si="2"/>
        <v>69.58581666716772</v>
      </c>
      <c r="G25" s="23">
        <f t="shared" ca="1" si="3"/>
        <v>0.63638084642488479</v>
      </c>
      <c r="H25" s="23">
        <f t="shared" ca="1" si="4"/>
        <v>1.9028610024075761</v>
      </c>
    </row>
    <row r="26" spans="1:8" x14ac:dyDescent="0.2">
      <c r="A26" s="1">
        <v>15</v>
      </c>
      <c r="B26" s="27">
        <f t="shared" ca="1" si="0"/>
        <v>1.4216970814985477</v>
      </c>
      <c r="C26" s="23">
        <f t="shared" ca="1" si="5"/>
        <v>69.104652746258694</v>
      </c>
      <c r="D26" s="23">
        <f t="shared" ca="1" si="6"/>
        <v>69.58581666716772</v>
      </c>
      <c r="E26" s="23">
        <f t="shared" ca="1" si="1"/>
        <v>0.28450401423298</v>
      </c>
      <c r="F26" s="28">
        <f t="shared" ca="1" si="2"/>
        <v>69.870320681400699</v>
      </c>
      <c r="G26" s="23">
        <f t="shared" ca="1" si="3"/>
        <v>0.48116392090902593</v>
      </c>
      <c r="H26" s="23">
        <f t="shared" ca="1" si="4"/>
        <v>0.76566793514200526</v>
      </c>
    </row>
    <row r="27" spans="1:8" x14ac:dyDescent="0.2">
      <c r="A27" s="1">
        <v>16</v>
      </c>
      <c r="B27" s="27">
        <f t="shared" ca="1" si="0"/>
        <v>7.310701420310223</v>
      </c>
      <c r="C27" s="23">
        <f t="shared" ca="1" si="5"/>
        <v>76.415354166568918</v>
      </c>
      <c r="D27" s="23">
        <f t="shared" ca="1" si="6"/>
        <v>76.415354166568918</v>
      </c>
      <c r="E27" s="23">
        <f t="shared" ca="1" si="1"/>
        <v>4.6540932064392484</v>
      </c>
      <c r="F27" s="28">
        <f t="shared" ca="1" si="2"/>
        <v>81.06944737300816</v>
      </c>
      <c r="G27" s="23">
        <f t="shared" ca="1" si="3"/>
        <v>0</v>
      </c>
      <c r="H27" s="23">
        <f t="shared" ca="1" si="4"/>
        <v>4.6540932064392422</v>
      </c>
    </row>
    <row r="28" spans="1:8" x14ac:dyDescent="0.2">
      <c r="A28" s="1">
        <v>17</v>
      </c>
      <c r="B28" s="27">
        <f t="shared" ca="1" si="0"/>
        <v>6.9624905485591508</v>
      </c>
      <c r="C28" s="23">
        <f t="shared" ca="1" si="5"/>
        <v>83.377844715128063</v>
      </c>
      <c r="D28" s="23">
        <f t="shared" ca="1" si="6"/>
        <v>83.377844715128063</v>
      </c>
      <c r="E28" s="23">
        <f t="shared" ca="1" si="1"/>
        <v>4.1274068583006081</v>
      </c>
      <c r="F28" s="28">
        <f t="shared" ca="1" si="2"/>
        <v>87.505251573428666</v>
      </c>
      <c r="G28" s="23">
        <f t="shared" ca="1" si="3"/>
        <v>0</v>
      </c>
      <c r="H28" s="23">
        <f t="shared" ca="1" si="4"/>
        <v>4.1274068583006027</v>
      </c>
    </row>
    <row r="29" spans="1:8" x14ac:dyDescent="0.2">
      <c r="A29" s="1">
        <v>18</v>
      </c>
      <c r="B29" s="27">
        <f t="shared" ca="1" si="0"/>
        <v>6.3859114554838179</v>
      </c>
      <c r="C29" s="23">
        <f t="shared" ca="1" si="5"/>
        <v>89.763756170611884</v>
      </c>
      <c r="D29" s="23">
        <f t="shared" ca="1" si="6"/>
        <v>89.763756170611884</v>
      </c>
      <c r="E29" s="23">
        <f t="shared" ca="1" si="1"/>
        <v>3.4184782264483324</v>
      </c>
      <c r="F29" s="28">
        <f t="shared" ca="1" si="2"/>
        <v>93.182234397060213</v>
      </c>
      <c r="G29" s="23">
        <f t="shared" ca="1" si="3"/>
        <v>0</v>
      </c>
      <c r="H29" s="23">
        <f t="shared" ca="1" si="4"/>
        <v>3.4184782264483289</v>
      </c>
    </row>
    <row r="30" spans="1:8" x14ac:dyDescent="0.2">
      <c r="A30" s="1">
        <v>19</v>
      </c>
      <c r="B30" s="27">
        <f t="shared" ca="1" si="0"/>
        <v>1.617304597248133</v>
      </c>
      <c r="C30" s="23">
        <f t="shared" ca="1" si="5"/>
        <v>91.381060767860021</v>
      </c>
      <c r="D30" s="23">
        <f t="shared" ca="1" si="6"/>
        <v>93.182234397060213</v>
      </c>
      <c r="E30" s="23">
        <f t="shared" ca="1" si="1"/>
        <v>3.451180172510155</v>
      </c>
      <c r="F30" s="28">
        <f t="shared" ca="1" si="2"/>
        <v>96.633414569570363</v>
      </c>
      <c r="G30" s="23">
        <f t="shared" ca="1" si="3"/>
        <v>1.8011736292001927</v>
      </c>
      <c r="H30" s="23">
        <f t="shared" ca="1" si="4"/>
        <v>5.2523538017103419</v>
      </c>
    </row>
    <row r="31" spans="1:8" x14ac:dyDescent="0.2">
      <c r="A31" s="1">
        <v>20</v>
      </c>
      <c r="B31" s="27">
        <f t="shared" ca="1" si="0"/>
        <v>0.65957197853707683</v>
      </c>
      <c r="C31" s="23">
        <f t="shared" ca="1" si="5"/>
        <v>92.040632746397094</v>
      </c>
      <c r="D31" s="23">
        <f t="shared" ca="1" si="6"/>
        <v>96.633414569570363</v>
      </c>
      <c r="E31" s="23">
        <f t="shared" ca="1" si="1"/>
        <v>3.9023921396296433</v>
      </c>
      <c r="F31" s="28">
        <f t="shared" ca="1" si="2"/>
        <v>100.5358067092</v>
      </c>
      <c r="G31" s="23">
        <f t="shared" ca="1" si="3"/>
        <v>4.5927818231732687</v>
      </c>
      <c r="H31" s="23">
        <f t="shared" ca="1" si="4"/>
        <v>8.4951739628029088</v>
      </c>
    </row>
    <row r="32" spans="1:8" x14ac:dyDescent="0.2">
      <c r="A32" s="1">
        <v>21</v>
      </c>
      <c r="B32" s="27">
        <f t="shared" ca="1" si="0"/>
        <v>6.9286203497837926</v>
      </c>
      <c r="C32" s="23">
        <f t="shared" ca="1" si="5"/>
        <v>98.969253096180893</v>
      </c>
      <c r="D32" s="23">
        <f t="shared" ca="1" si="6"/>
        <v>100.5358067092</v>
      </c>
      <c r="E32" s="23">
        <f t="shared" ca="1" si="1"/>
        <v>2.233956120545626</v>
      </c>
      <c r="F32" s="28">
        <f t="shared" ca="1" si="2"/>
        <v>102.76976282974563</v>
      </c>
      <c r="G32" s="23">
        <f t="shared" ca="1" si="3"/>
        <v>1.56655361301911</v>
      </c>
      <c r="H32" s="23">
        <f t="shared" ca="1" si="4"/>
        <v>3.8005097335647378</v>
      </c>
    </row>
    <row r="33" spans="1:8" x14ac:dyDescent="0.2">
      <c r="A33" s="1">
        <v>22</v>
      </c>
      <c r="B33" s="27">
        <f t="shared" ca="1" si="0"/>
        <v>1.4527514892627562</v>
      </c>
      <c r="C33" s="23">
        <f t="shared" ca="1" si="5"/>
        <v>100.42200458544364</v>
      </c>
      <c r="D33" s="23">
        <f t="shared" ca="1" si="6"/>
        <v>102.76976282974563</v>
      </c>
      <c r="E33" s="23">
        <f t="shared" ca="1" si="1"/>
        <v>1.038613648290825</v>
      </c>
      <c r="F33" s="28">
        <f t="shared" ca="1" si="2"/>
        <v>103.80837647803645</v>
      </c>
      <c r="G33" s="23">
        <f t="shared" ca="1" si="3"/>
        <v>2.3477582443019855</v>
      </c>
      <c r="H33" s="23">
        <f t="shared" ca="1" si="4"/>
        <v>3.3863718925928055</v>
      </c>
    </row>
    <row r="34" spans="1:8" x14ac:dyDescent="0.2">
      <c r="A34" s="1">
        <v>23</v>
      </c>
      <c r="B34" s="27">
        <f t="shared" ca="1" si="0"/>
        <v>0.23980327977232052</v>
      </c>
      <c r="C34" s="23">
        <f t="shared" ca="1" si="5"/>
        <v>100.66180786521596</v>
      </c>
      <c r="D34" s="23">
        <f t="shared" ca="1" si="6"/>
        <v>103.80837647803645</v>
      </c>
      <c r="E34" s="23">
        <f t="shared" ca="1" si="1"/>
        <v>0.47126694662946411</v>
      </c>
      <c r="F34" s="28">
        <f t="shared" ca="1" si="2"/>
        <v>104.27964342466592</v>
      </c>
      <c r="G34" s="23">
        <f t="shared" ca="1" si="3"/>
        <v>3.1465686128204879</v>
      </c>
      <c r="H34" s="23">
        <f t="shared" ca="1" si="4"/>
        <v>3.6178355594499578</v>
      </c>
    </row>
    <row r="35" spans="1:8" x14ac:dyDescent="0.2">
      <c r="A35" s="1">
        <v>24</v>
      </c>
      <c r="B35" s="27">
        <f t="shared" ca="1" si="0"/>
        <v>13.448887500737872</v>
      </c>
      <c r="C35" s="23">
        <f t="shared" ca="1" si="5"/>
        <v>114.11069536595383</v>
      </c>
      <c r="D35" s="23">
        <f t="shared" ca="1" si="6"/>
        <v>114.11069536595383</v>
      </c>
      <c r="E35" s="23">
        <f t="shared" ca="1" si="1"/>
        <v>0.4734952667271195</v>
      </c>
      <c r="F35" s="28">
        <f t="shared" ca="1" si="2"/>
        <v>114.58419063268094</v>
      </c>
      <c r="G35" s="23">
        <f t="shared" ca="1" si="3"/>
        <v>0</v>
      </c>
      <c r="H35" s="23">
        <f t="shared" ca="1" si="4"/>
        <v>0.47349526672711306</v>
      </c>
    </row>
    <row r="36" spans="1:8" x14ac:dyDescent="0.2">
      <c r="A36" s="1">
        <v>25</v>
      </c>
      <c r="B36" s="27">
        <f t="shared" ca="1" si="0"/>
        <v>1.9533355390103022</v>
      </c>
      <c r="C36" s="23">
        <f t="shared" ca="1" si="5"/>
        <v>116.06403090496413</v>
      </c>
      <c r="D36" s="23">
        <f t="shared" ca="1" si="6"/>
        <v>116.06403090496413</v>
      </c>
      <c r="E36" s="23">
        <f t="shared" ca="1" si="1"/>
        <v>3.3800082124991038</v>
      </c>
      <c r="F36" s="28">
        <f t="shared" ca="1" si="2"/>
        <v>119.44403911746323</v>
      </c>
      <c r="G36" s="23">
        <f t="shared" ca="1" si="3"/>
        <v>0</v>
      </c>
      <c r="H36" s="23">
        <f t="shared" ca="1" si="4"/>
        <v>3.3800082124991064</v>
      </c>
    </row>
    <row r="37" spans="1:8" x14ac:dyDescent="0.2">
      <c r="A37" s="1">
        <v>26</v>
      </c>
      <c r="B37" s="27">
        <f t="shared" ca="1" si="0"/>
        <v>0.60402016628928235</v>
      </c>
      <c r="C37" s="23">
        <f t="shared" ca="1" si="5"/>
        <v>116.66805107125342</v>
      </c>
      <c r="D37" s="23">
        <f t="shared" ca="1" si="6"/>
        <v>119.44403911746323</v>
      </c>
      <c r="E37" s="23">
        <f t="shared" ca="1" si="1"/>
        <v>5.0149853902958208</v>
      </c>
      <c r="F37" s="28">
        <f t="shared" ca="1" si="2"/>
        <v>124.45902450775905</v>
      </c>
      <c r="G37" s="23">
        <f t="shared" ca="1" si="3"/>
        <v>2.7759880462098181</v>
      </c>
      <c r="H37" s="23">
        <f t="shared" ca="1" si="4"/>
        <v>7.790973436505638</v>
      </c>
    </row>
    <row r="38" spans="1:8" x14ac:dyDescent="0.2">
      <c r="A38" s="1">
        <v>27</v>
      </c>
      <c r="B38" s="27">
        <f t="shared" ca="1" si="0"/>
        <v>1.5493530759991949</v>
      </c>
      <c r="C38" s="23">
        <f t="shared" ca="1" si="5"/>
        <v>118.21740414725261</v>
      </c>
      <c r="D38" s="23">
        <f t="shared" ca="1" si="6"/>
        <v>124.45902450775905</v>
      </c>
      <c r="E38" s="23">
        <f t="shared" ca="1" si="1"/>
        <v>2.4991599902401327</v>
      </c>
      <c r="F38" s="28">
        <f t="shared" ca="1" si="2"/>
        <v>126.95818449799918</v>
      </c>
      <c r="G38" s="23">
        <f t="shared" ca="1" si="3"/>
        <v>6.2416203605064453</v>
      </c>
      <c r="H38" s="23">
        <f t="shared" ca="1" si="4"/>
        <v>8.7407803507465758</v>
      </c>
    </row>
    <row r="39" spans="1:8" x14ac:dyDescent="0.2">
      <c r="A39" s="1">
        <v>28</v>
      </c>
      <c r="B39" s="27">
        <f t="shared" ca="1" si="0"/>
        <v>2.8426747945385116</v>
      </c>
      <c r="C39" s="23">
        <f t="shared" ca="1" si="5"/>
        <v>121.06007894179112</v>
      </c>
      <c r="D39" s="23">
        <f t="shared" ca="1" si="6"/>
        <v>126.95818449799918</v>
      </c>
      <c r="E39" s="23">
        <f t="shared" ca="1" si="1"/>
        <v>1.4746874692682412</v>
      </c>
      <c r="F39" s="28">
        <f t="shared" ca="1" si="2"/>
        <v>128.43287196726743</v>
      </c>
      <c r="G39" s="23">
        <f t="shared" ca="1" si="3"/>
        <v>5.8981055562080655</v>
      </c>
      <c r="H39" s="23">
        <f t="shared" ca="1" si="4"/>
        <v>7.3727930254763123</v>
      </c>
    </row>
    <row r="40" spans="1:8" x14ac:dyDescent="0.2">
      <c r="A40" s="1">
        <v>29</v>
      </c>
      <c r="B40" s="27">
        <f t="shared" ca="1" si="0"/>
        <v>0.81986757244807129</v>
      </c>
      <c r="C40" s="23">
        <f t="shared" ca="1" si="5"/>
        <v>121.87994651423919</v>
      </c>
      <c r="D40" s="23">
        <f t="shared" ca="1" si="6"/>
        <v>128.43287196726743</v>
      </c>
      <c r="E40" s="23">
        <f t="shared" ca="1" si="1"/>
        <v>1.6962319133377448</v>
      </c>
      <c r="F40" s="28">
        <f t="shared" ca="1" si="2"/>
        <v>130.12910388060519</v>
      </c>
      <c r="G40" s="23">
        <f t="shared" ca="1" si="3"/>
        <v>6.5529254530282373</v>
      </c>
      <c r="H40" s="23">
        <f t="shared" ca="1" si="4"/>
        <v>8.2491573663659921</v>
      </c>
    </row>
    <row r="41" spans="1:8" x14ac:dyDescent="0.2">
      <c r="A41" s="1">
        <v>30</v>
      </c>
      <c r="B41" s="27">
        <f t="shared" ca="1" si="0"/>
        <v>3.2771010911618284</v>
      </c>
      <c r="C41" s="23">
        <f t="shared" ca="1" si="5"/>
        <v>125.15704760540102</v>
      </c>
      <c r="D41" s="23">
        <f t="shared" ca="1" si="6"/>
        <v>130.12910388060519</v>
      </c>
      <c r="E41" s="23">
        <f t="shared" ca="1" si="1"/>
        <v>4.6418159733182707</v>
      </c>
      <c r="F41" s="28">
        <f t="shared" ca="1" si="2"/>
        <v>134.77091985392346</v>
      </c>
      <c r="G41" s="23">
        <f t="shared" ca="1" si="3"/>
        <v>4.9720562752041673</v>
      </c>
      <c r="H41" s="23">
        <f t="shared" ca="1" si="4"/>
        <v>9.6138722485224406</v>
      </c>
    </row>
    <row r="42" spans="1:8" x14ac:dyDescent="0.2">
      <c r="A42" s="1">
        <v>31</v>
      </c>
      <c r="B42" s="27">
        <f t="shared" ca="1" si="0"/>
        <v>16.641063080520357</v>
      </c>
      <c r="C42" s="23">
        <f t="shared" ca="1" si="5"/>
        <v>141.79811068592139</v>
      </c>
      <c r="D42" s="23">
        <f t="shared" ca="1" si="6"/>
        <v>141.79811068592139</v>
      </c>
      <c r="E42" s="23">
        <f t="shared" ca="1" si="1"/>
        <v>0.1566657052985001</v>
      </c>
      <c r="F42" s="28">
        <f t="shared" ca="1" si="2"/>
        <v>141.95477639121989</v>
      </c>
      <c r="G42" s="23">
        <f t="shared" ca="1" si="3"/>
        <v>0</v>
      </c>
      <c r="H42" s="23">
        <f t="shared" ca="1" si="4"/>
        <v>0.15666570529850787</v>
      </c>
    </row>
    <row r="43" spans="1:8" x14ac:dyDescent="0.2">
      <c r="A43" s="1">
        <v>32</v>
      </c>
      <c r="B43" s="27">
        <f t="shared" ca="1" si="0"/>
        <v>2.3897376240813006</v>
      </c>
      <c r="C43" s="23">
        <f t="shared" ca="1" si="5"/>
        <v>144.18784831000269</v>
      </c>
      <c r="D43" s="23">
        <f t="shared" ca="1" si="6"/>
        <v>144.18784831000269</v>
      </c>
      <c r="E43" s="23">
        <f t="shared" ca="1" si="1"/>
        <v>5.008471274893374</v>
      </c>
      <c r="F43" s="28">
        <f t="shared" ca="1" si="2"/>
        <v>149.19631958489606</v>
      </c>
      <c r="G43" s="23">
        <f t="shared" ca="1" si="3"/>
        <v>0</v>
      </c>
      <c r="H43" s="23">
        <f t="shared" ca="1" si="4"/>
        <v>5.0084712748933669</v>
      </c>
    </row>
    <row r="44" spans="1:8" x14ac:dyDescent="0.2">
      <c r="A44" s="1">
        <v>33</v>
      </c>
      <c r="B44" s="27">
        <f t="shared" ref="B44:B75" ca="1" si="7">-$C$2*LN(RAND())</f>
        <v>12.378926872817518</v>
      </c>
      <c r="C44" s="23">
        <f t="shared" ca="1" si="5"/>
        <v>156.56677518282021</v>
      </c>
      <c r="D44" s="23">
        <f t="shared" ca="1" si="6"/>
        <v>156.56677518282021</v>
      </c>
      <c r="E44" s="23">
        <f t="shared" ref="E44:E75" ca="1" si="8">$C$4*2*RAND()</f>
        <v>3.3156743927173782</v>
      </c>
      <c r="F44" s="28">
        <f t="shared" ca="1" si="2"/>
        <v>159.88244957553758</v>
      </c>
      <c r="G44" s="23">
        <f t="shared" ca="1" si="3"/>
        <v>0</v>
      </c>
      <c r="H44" s="23">
        <f t="shared" ca="1" si="4"/>
        <v>3.3156743927173693</v>
      </c>
    </row>
    <row r="45" spans="1:8" x14ac:dyDescent="0.2">
      <c r="A45" s="1">
        <v>34</v>
      </c>
      <c r="B45" s="27">
        <f t="shared" ca="1" si="7"/>
        <v>0.15028313105784497</v>
      </c>
      <c r="C45" s="23">
        <f t="shared" ca="1" si="5"/>
        <v>156.71705831387806</v>
      </c>
      <c r="D45" s="23">
        <f t="shared" ca="1" si="6"/>
        <v>159.88244957553758</v>
      </c>
      <c r="E45" s="23">
        <f t="shared" ca="1" si="8"/>
        <v>4.1750537725481642</v>
      </c>
      <c r="F45" s="28">
        <f t="shared" ca="1" si="2"/>
        <v>164.05750334808573</v>
      </c>
      <c r="G45" s="23">
        <f t="shared" ca="1" si="3"/>
        <v>3.1653912616595221</v>
      </c>
      <c r="H45" s="23">
        <f t="shared" ca="1" si="4"/>
        <v>7.3404450342076757</v>
      </c>
    </row>
    <row r="46" spans="1:8" x14ac:dyDescent="0.2">
      <c r="A46" s="1">
        <v>35</v>
      </c>
      <c r="B46" s="27">
        <f t="shared" ca="1" si="7"/>
        <v>1.6437129302512468</v>
      </c>
      <c r="C46" s="23">
        <f t="shared" ca="1" si="5"/>
        <v>158.3607712441293</v>
      </c>
      <c r="D46" s="23">
        <f t="shared" ca="1" si="6"/>
        <v>164.05750334808573</v>
      </c>
      <c r="E46" s="23">
        <f t="shared" ca="1" si="8"/>
        <v>1.8776745206373679</v>
      </c>
      <c r="F46" s="28">
        <f t="shared" ca="1" si="2"/>
        <v>165.93517786872309</v>
      </c>
      <c r="G46" s="23">
        <f t="shared" ca="1" si="3"/>
        <v>5.6967321039564354</v>
      </c>
      <c r="H46" s="23">
        <f t="shared" ca="1" si="4"/>
        <v>7.5744066245937915</v>
      </c>
    </row>
    <row r="47" spans="1:8" x14ac:dyDescent="0.2">
      <c r="A47" s="1">
        <v>36</v>
      </c>
      <c r="B47" s="27">
        <f t="shared" ca="1" si="7"/>
        <v>4.4683534835689507</v>
      </c>
      <c r="C47" s="23">
        <f t="shared" ca="1" si="5"/>
        <v>162.82912472769826</v>
      </c>
      <c r="D47" s="23">
        <f t="shared" ca="1" si="6"/>
        <v>165.93517786872309</v>
      </c>
      <c r="E47" s="23">
        <f t="shared" ca="1" si="8"/>
        <v>4.4016604285388468</v>
      </c>
      <c r="F47" s="28">
        <f t="shared" ca="1" si="2"/>
        <v>170.33683829726192</v>
      </c>
      <c r="G47" s="23">
        <f t="shared" ca="1" si="3"/>
        <v>3.1060531410248302</v>
      </c>
      <c r="H47" s="23">
        <f t="shared" ca="1" si="4"/>
        <v>7.5077135695636628</v>
      </c>
    </row>
    <row r="48" spans="1:8" x14ac:dyDescent="0.2">
      <c r="A48" s="1">
        <v>37</v>
      </c>
      <c r="B48" s="27">
        <f t="shared" ca="1" si="7"/>
        <v>14.213371795586768</v>
      </c>
      <c r="C48" s="23">
        <f t="shared" ca="1" si="5"/>
        <v>177.04249652328502</v>
      </c>
      <c r="D48" s="23">
        <f t="shared" ca="1" si="6"/>
        <v>177.04249652328502</v>
      </c>
      <c r="E48" s="23">
        <f t="shared" ca="1" si="8"/>
        <v>3.274193652076876</v>
      </c>
      <c r="F48" s="28">
        <f t="shared" ca="1" si="2"/>
        <v>180.31669017536191</v>
      </c>
      <c r="G48" s="23">
        <f t="shared" ca="1" si="3"/>
        <v>0</v>
      </c>
      <c r="H48" s="23">
        <f t="shared" ca="1" si="4"/>
        <v>3.2741936520768888</v>
      </c>
    </row>
    <row r="49" spans="1:8" x14ac:dyDescent="0.2">
      <c r="A49" s="1">
        <v>38</v>
      </c>
      <c r="B49" s="27">
        <f t="shared" ca="1" si="7"/>
        <v>12.820025526526992</v>
      </c>
      <c r="C49" s="23">
        <f t="shared" ca="1" si="5"/>
        <v>189.86252204981201</v>
      </c>
      <c r="D49" s="23">
        <f t="shared" ca="1" si="6"/>
        <v>189.86252204981201</v>
      </c>
      <c r="E49" s="23">
        <f t="shared" ca="1" si="8"/>
        <v>2.7722979458006547</v>
      </c>
      <c r="F49" s="28">
        <f t="shared" ca="1" si="2"/>
        <v>192.63481999561267</v>
      </c>
      <c r="G49" s="23">
        <f t="shared" ca="1" si="3"/>
        <v>0</v>
      </c>
      <c r="H49" s="23">
        <f t="shared" ca="1" si="4"/>
        <v>2.7722979458006591</v>
      </c>
    </row>
    <row r="50" spans="1:8" x14ac:dyDescent="0.2">
      <c r="A50" s="1">
        <v>39</v>
      </c>
      <c r="B50" s="27">
        <f t="shared" ca="1" si="7"/>
        <v>7.2605335006013419E-2</v>
      </c>
      <c r="C50" s="23">
        <f t="shared" ca="1" si="5"/>
        <v>189.93512738481803</v>
      </c>
      <c r="D50" s="23">
        <f t="shared" ca="1" si="6"/>
        <v>192.63481999561267</v>
      </c>
      <c r="E50" s="23">
        <f t="shared" ca="1" si="8"/>
        <v>0.26135146654535801</v>
      </c>
      <c r="F50" s="28">
        <f t="shared" ca="1" si="2"/>
        <v>192.89617146215804</v>
      </c>
      <c r="G50" s="23">
        <f t="shared" ca="1" si="3"/>
        <v>2.6996926107946422</v>
      </c>
      <c r="H50" s="23">
        <f t="shared" ca="1" si="4"/>
        <v>2.9610440773400057</v>
      </c>
    </row>
    <row r="51" spans="1:8" x14ac:dyDescent="0.2">
      <c r="A51" s="1">
        <v>40</v>
      </c>
      <c r="B51" s="27">
        <f t="shared" ca="1" si="7"/>
        <v>4.2450081357973648</v>
      </c>
      <c r="C51" s="23">
        <f t="shared" ca="1" si="5"/>
        <v>194.18013552061541</v>
      </c>
      <c r="D51" s="23">
        <f t="shared" ca="1" si="6"/>
        <v>194.18013552061541</v>
      </c>
      <c r="E51" s="23">
        <f t="shared" ca="1" si="8"/>
        <v>3.9559080944408853</v>
      </c>
      <c r="F51" s="28">
        <f t="shared" ca="1" si="2"/>
        <v>198.13604361505628</v>
      </c>
      <c r="G51" s="23">
        <f t="shared" ca="1" si="3"/>
        <v>0</v>
      </c>
      <c r="H51" s="23">
        <f t="shared" ca="1" si="4"/>
        <v>3.955908094440872</v>
      </c>
    </row>
    <row r="52" spans="1:8" x14ac:dyDescent="0.2">
      <c r="A52" s="1">
        <v>41</v>
      </c>
      <c r="B52" s="27">
        <f t="shared" ca="1" si="7"/>
        <v>7.3461692647323407</v>
      </c>
      <c r="C52" s="23">
        <f t="shared" ca="1" si="5"/>
        <v>201.52630478534775</v>
      </c>
      <c r="D52" s="23">
        <f t="shared" ca="1" si="6"/>
        <v>201.52630478534775</v>
      </c>
      <c r="E52" s="23">
        <f t="shared" ca="1" si="8"/>
        <v>0.60141058387873247</v>
      </c>
      <c r="F52" s="28">
        <f t="shared" ca="1" si="2"/>
        <v>202.12771536922648</v>
      </c>
      <c r="G52" s="23">
        <f t="shared" ca="1" si="3"/>
        <v>0</v>
      </c>
      <c r="H52" s="23">
        <f t="shared" ca="1" si="4"/>
        <v>0.60141058387873159</v>
      </c>
    </row>
    <row r="53" spans="1:8" x14ac:dyDescent="0.2">
      <c r="A53" s="1">
        <v>42</v>
      </c>
      <c r="B53" s="27">
        <f t="shared" ca="1" si="7"/>
        <v>23.140873636823937</v>
      </c>
      <c r="C53" s="23">
        <f t="shared" ca="1" si="5"/>
        <v>224.66717842217167</v>
      </c>
      <c r="D53" s="23">
        <f t="shared" ca="1" si="6"/>
        <v>224.66717842217167</v>
      </c>
      <c r="E53" s="23">
        <f t="shared" ca="1" si="8"/>
        <v>5.2781696774988749</v>
      </c>
      <c r="F53" s="28">
        <f t="shared" ca="1" si="2"/>
        <v>229.94534809967055</v>
      </c>
      <c r="G53" s="23">
        <f t="shared" ca="1" si="3"/>
        <v>0</v>
      </c>
      <c r="H53" s="23">
        <f t="shared" ca="1" si="4"/>
        <v>5.2781696774988802</v>
      </c>
    </row>
    <row r="54" spans="1:8" x14ac:dyDescent="0.2">
      <c r="A54" s="1">
        <v>43</v>
      </c>
      <c r="B54" s="27">
        <f t="shared" ca="1" si="7"/>
        <v>8.2030776884037454E-2</v>
      </c>
      <c r="C54" s="23">
        <f t="shared" ca="1" si="5"/>
        <v>224.74920919905571</v>
      </c>
      <c r="D54" s="23">
        <f t="shared" ca="1" si="6"/>
        <v>229.94534809967055</v>
      </c>
      <c r="E54" s="23">
        <f t="shared" ca="1" si="8"/>
        <v>0.18635102707105466</v>
      </c>
      <c r="F54" s="28">
        <f t="shared" ca="1" si="2"/>
        <v>230.13169912674161</v>
      </c>
      <c r="G54" s="23">
        <f t="shared" ca="1" si="3"/>
        <v>5.1961389006148408</v>
      </c>
      <c r="H54" s="23">
        <f t="shared" ca="1" si="4"/>
        <v>5.3824899276858957</v>
      </c>
    </row>
    <row r="55" spans="1:8" x14ac:dyDescent="0.2">
      <c r="A55" s="1">
        <v>44</v>
      </c>
      <c r="B55" s="27">
        <f t="shared" ca="1" si="7"/>
        <v>16.266939405662121</v>
      </c>
      <c r="C55" s="23">
        <f t="shared" ca="1" si="5"/>
        <v>241.01614860471784</v>
      </c>
      <c r="D55" s="23">
        <f t="shared" ca="1" si="6"/>
        <v>241.01614860471784</v>
      </c>
      <c r="E55" s="23">
        <f t="shared" ca="1" si="8"/>
        <v>4.7892563988241834</v>
      </c>
      <c r="F55" s="28">
        <f t="shared" ca="1" si="2"/>
        <v>245.80540500354203</v>
      </c>
      <c r="G55" s="23">
        <f t="shared" ca="1" si="3"/>
        <v>0</v>
      </c>
      <c r="H55" s="23">
        <f t="shared" ca="1" si="4"/>
        <v>4.7892563988241932</v>
      </c>
    </row>
    <row r="56" spans="1:8" x14ac:dyDescent="0.2">
      <c r="A56" s="1">
        <v>45</v>
      </c>
      <c r="B56" s="27">
        <f t="shared" ca="1" si="7"/>
        <v>1.5250004427421646</v>
      </c>
      <c r="C56" s="23">
        <f t="shared" ca="1" si="5"/>
        <v>242.54114904746001</v>
      </c>
      <c r="D56" s="23">
        <f t="shared" ca="1" si="6"/>
        <v>245.80540500354203</v>
      </c>
      <c r="E56" s="23">
        <f t="shared" ca="1" si="8"/>
        <v>3.4381945657184918</v>
      </c>
      <c r="F56" s="28">
        <f t="shared" ca="1" si="2"/>
        <v>249.24359956926054</v>
      </c>
      <c r="G56" s="23">
        <f t="shared" ca="1" si="3"/>
        <v>3.2642559560820246</v>
      </c>
      <c r="H56" s="23">
        <f t="shared" ca="1" si="4"/>
        <v>6.7024505218005288</v>
      </c>
    </row>
    <row r="57" spans="1:8" x14ac:dyDescent="0.2">
      <c r="A57" s="1">
        <v>46</v>
      </c>
      <c r="B57" s="27">
        <f t="shared" ca="1" si="7"/>
        <v>7.3639969731853627</v>
      </c>
      <c r="C57" s="23">
        <f t="shared" ca="1" si="5"/>
        <v>249.90514602064536</v>
      </c>
      <c r="D57" s="23">
        <f t="shared" ca="1" si="6"/>
        <v>249.90514602064536</v>
      </c>
      <c r="E57" s="23">
        <f t="shared" ca="1" si="8"/>
        <v>5.1723765774497599</v>
      </c>
      <c r="F57" s="28">
        <f t="shared" ca="1" si="2"/>
        <v>255.07752259809513</v>
      </c>
      <c r="G57" s="23">
        <f t="shared" ca="1" si="3"/>
        <v>0</v>
      </c>
      <c r="H57" s="23">
        <f t="shared" ca="1" si="4"/>
        <v>5.1723765774497679</v>
      </c>
    </row>
    <row r="58" spans="1:8" x14ac:dyDescent="0.2">
      <c r="A58" s="1">
        <v>47</v>
      </c>
      <c r="B58" s="27">
        <f t="shared" ca="1" si="7"/>
        <v>2.7008908038472841</v>
      </c>
      <c r="C58" s="23">
        <f t="shared" ca="1" si="5"/>
        <v>252.60603682449263</v>
      </c>
      <c r="D58" s="23">
        <f t="shared" ca="1" si="6"/>
        <v>255.07752259809513</v>
      </c>
      <c r="E58" s="23">
        <f t="shared" ca="1" si="8"/>
        <v>1.2635854550253334</v>
      </c>
      <c r="F58" s="28">
        <f t="shared" ca="1" si="2"/>
        <v>256.34110805312048</v>
      </c>
      <c r="G58" s="23">
        <f t="shared" ca="1" si="3"/>
        <v>2.4714857736024953</v>
      </c>
      <c r="H58" s="23">
        <f t="shared" ca="1" si="4"/>
        <v>3.7350712286278451</v>
      </c>
    </row>
    <row r="59" spans="1:8" x14ac:dyDescent="0.2">
      <c r="A59" s="1">
        <v>48</v>
      </c>
      <c r="B59" s="27">
        <f t="shared" ca="1" si="7"/>
        <v>0.93803204094752746</v>
      </c>
      <c r="C59" s="23">
        <f t="shared" ca="1" si="5"/>
        <v>253.54406886544015</v>
      </c>
      <c r="D59" s="23">
        <f t="shared" ca="1" si="6"/>
        <v>256.34110805312048</v>
      </c>
      <c r="E59" s="23">
        <f t="shared" ca="1" si="8"/>
        <v>2.4227366520861051</v>
      </c>
      <c r="F59" s="28">
        <f t="shared" ca="1" si="2"/>
        <v>258.76384470520657</v>
      </c>
      <c r="G59" s="23">
        <f t="shared" ca="1" si="3"/>
        <v>2.7970391876803262</v>
      </c>
      <c r="H59" s="23">
        <f t="shared" ca="1" si="4"/>
        <v>5.2197758397664131</v>
      </c>
    </row>
    <row r="60" spans="1:8" x14ac:dyDescent="0.2">
      <c r="A60" s="1">
        <v>49</v>
      </c>
      <c r="B60" s="27">
        <f t="shared" ca="1" si="7"/>
        <v>4.692058042611869</v>
      </c>
      <c r="C60" s="23">
        <f t="shared" ca="1" si="5"/>
        <v>258.23612690805203</v>
      </c>
      <c r="D60" s="23">
        <f t="shared" ca="1" si="6"/>
        <v>258.76384470520657</v>
      </c>
      <c r="E60" s="23">
        <f t="shared" ca="1" si="8"/>
        <v>3.5521170752480957</v>
      </c>
      <c r="F60" s="28">
        <f t="shared" ca="1" si="2"/>
        <v>262.31596178045464</v>
      </c>
      <c r="G60" s="23">
        <f t="shared" ca="1" si="3"/>
        <v>0.52771779715453704</v>
      </c>
      <c r="H60" s="23">
        <f t="shared" ca="1" si="4"/>
        <v>4.0798348724026141</v>
      </c>
    </row>
    <row r="61" spans="1:8" x14ac:dyDescent="0.2">
      <c r="A61" s="1">
        <v>50</v>
      </c>
      <c r="B61" s="27">
        <f t="shared" ca="1" si="7"/>
        <v>3.7474721321351616</v>
      </c>
      <c r="C61" s="23">
        <f t="shared" ca="1" si="5"/>
        <v>261.98359904018719</v>
      </c>
      <c r="D61" s="23">
        <f t="shared" ca="1" si="6"/>
        <v>262.31596178045464</v>
      </c>
      <c r="E61" s="23">
        <f t="shared" ca="1" si="8"/>
        <v>3.4398492530692621</v>
      </c>
      <c r="F61" s="28">
        <f t="shared" ca="1" si="2"/>
        <v>265.75581103352391</v>
      </c>
      <c r="G61" s="23">
        <f t="shared" ca="1" si="3"/>
        <v>0.33236274026745605</v>
      </c>
      <c r="H61" s="23">
        <f t="shared" ca="1" si="4"/>
        <v>3.7722119933367253</v>
      </c>
    </row>
    <row r="62" spans="1:8" x14ac:dyDescent="0.2">
      <c r="A62" s="1">
        <v>51</v>
      </c>
      <c r="B62" s="27">
        <f t="shared" ca="1" si="7"/>
        <v>0.64973614603054708</v>
      </c>
      <c r="C62" s="23">
        <f t="shared" ca="1" si="5"/>
        <v>262.63333518621772</v>
      </c>
      <c r="D62" s="23">
        <f t="shared" ca="1" si="6"/>
        <v>265.75581103352391</v>
      </c>
      <c r="E62" s="23">
        <f t="shared" ca="1" si="8"/>
        <v>1.8533069834777312</v>
      </c>
      <c r="F62" s="28">
        <f t="shared" ca="1" si="2"/>
        <v>267.60911801700166</v>
      </c>
      <c r="G62" s="23">
        <f t="shared" ca="1" si="3"/>
        <v>3.1224758473061911</v>
      </c>
      <c r="H62" s="23">
        <f t="shared" ca="1" si="4"/>
        <v>4.9757828307839418</v>
      </c>
    </row>
    <row r="63" spans="1:8" x14ac:dyDescent="0.2">
      <c r="A63" s="1">
        <v>52</v>
      </c>
      <c r="B63" s="27">
        <f t="shared" ca="1" si="7"/>
        <v>3.6035901965140109</v>
      </c>
      <c r="C63" s="23">
        <f t="shared" ca="1" si="5"/>
        <v>266.23692538273173</v>
      </c>
      <c r="D63" s="23">
        <f t="shared" ca="1" si="6"/>
        <v>267.60911801700166</v>
      </c>
      <c r="E63" s="23">
        <f t="shared" ca="1" si="8"/>
        <v>1.5803499687295259</v>
      </c>
      <c r="F63" s="28">
        <f t="shared" ca="1" si="2"/>
        <v>269.1894679857312</v>
      </c>
      <c r="G63" s="23">
        <f t="shared" ca="1" si="3"/>
        <v>1.3721926342699362</v>
      </c>
      <c r="H63" s="23">
        <f t="shared" ca="1" si="4"/>
        <v>2.9525426029994719</v>
      </c>
    </row>
    <row r="64" spans="1:8" x14ac:dyDescent="0.2">
      <c r="A64" s="1">
        <v>53</v>
      </c>
      <c r="B64" s="27">
        <f t="shared" ca="1" si="7"/>
        <v>3.5035367678894525</v>
      </c>
      <c r="C64" s="23">
        <f t="shared" ca="1" si="5"/>
        <v>269.74046215062117</v>
      </c>
      <c r="D64" s="23">
        <f t="shared" ca="1" si="6"/>
        <v>269.74046215062117</v>
      </c>
      <c r="E64" s="23">
        <f t="shared" ca="1" si="8"/>
        <v>5.8112815201962551</v>
      </c>
      <c r="F64" s="28">
        <f t="shared" ca="1" si="2"/>
        <v>275.55174367081742</v>
      </c>
      <c r="G64" s="23">
        <f t="shared" ca="1" si="3"/>
        <v>0</v>
      </c>
      <c r="H64" s="23">
        <f t="shared" ca="1" si="4"/>
        <v>5.8112815201962462</v>
      </c>
    </row>
    <row r="65" spans="1:8" x14ac:dyDescent="0.2">
      <c r="A65" s="1">
        <v>54</v>
      </c>
      <c r="B65" s="27">
        <f t="shared" ca="1" si="7"/>
        <v>3.1730022258399506</v>
      </c>
      <c r="C65" s="23">
        <f t="shared" ca="1" si="5"/>
        <v>272.91346437646109</v>
      </c>
      <c r="D65" s="23">
        <f t="shared" ca="1" si="6"/>
        <v>275.55174367081742</v>
      </c>
      <c r="E65" s="23">
        <f t="shared" ca="1" si="8"/>
        <v>1.9946798640859673</v>
      </c>
      <c r="F65" s="28">
        <f t="shared" ca="1" si="2"/>
        <v>277.5464235349034</v>
      </c>
      <c r="G65" s="23">
        <f t="shared" ca="1" si="3"/>
        <v>2.6382792943563231</v>
      </c>
      <c r="H65" s="23">
        <f t="shared" ca="1" si="4"/>
        <v>4.6329591584423042</v>
      </c>
    </row>
    <row r="66" spans="1:8" x14ac:dyDescent="0.2">
      <c r="A66" s="1">
        <v>55</v>
      </c>
      <c r="B66" s="27">
        <f t="shared" ca="1" si="7"/>
        <v>7.2153236875380583E-2</v>
      </c>
      <c r="C66" s="23">
        <f t="shared" ca="1" si="5"/>
        <v>272.9856176133365</v>
      </c>
      <c r="D66" s="23">
        <f t="shared" ca="1" si="6"/>
        <v>277.5464235349034</v>
      </c>
      <c r="E66" s="23">
        <f t="shared" ca="1" si="8"/>
        <v>5.4196144096714711</v>
      </c>
      <c r="F66" s="28">
        <f t="shared" ca="1" si="2"/>
        <v>282.96603794457485</v>
      </c>
      <c r="G66" s="23">
        <f t="shared" ca="1" si="3"/>
        <v>4.5608059215668959</v>
      </c>
      <c r="H66" s="23">
        <f t="shared" ca="1" si="4"/>
        <v>9.9804203312383493</v>
      </c>
    </row>
    <row r="67" spans="1:8" x14ac:dyDescent="0.2">
      <c r="A67" s="1">
        <v>56</v>
      </c>
      <c r="B67" s="27">
        <f t="shared" ca="1" si="7"/>
        <v>19.105625561376595</v>
      </c>
      <c r="C67" s="23">
        <f t="shared" ca="1" si="5"/>
        <v>292.0912431747131</v>
      </c>
      <c r="D67" s="23">
        <f t="shared" ca="1" si="6"/>
        <v>292.0912431747131</v>
      </c>
      <c r="E67" s="23">
        <f t="shared" ca="1" si="8"/>
        <v>3.2798472519818755</v>
      </c>
      <c r="F67" s="28">
        <f t="shared" ca="1" si="2"/>
        <v>295.37109042669499</v>
      </c>
      <c r="G67" s="23">
        <f t="shared" ca="1" si="3"/>
        <v>0</v>
      </c>
      <c r="H67" s="23">
        <f t="shared" ca="1" si="4"/>
        <v>3.2798472519818915</v>
      </c>
    </row>
    <row r="68" spans="1:8" x14ac:dyDescent="0.2">
      <c r="A68" s="1">
        <v>57</v>
      </c>
      <c r="B68" s="27">
        <f t="shared" ca="1" si="7"/>
        <v>1.1367681768618985</v>
      </c>
      <c r="C68" s="23">
        <f t="shared" ca="1" si="5"/>
        <v>293.22801135157499</v>
      </c>
      <c r="D68" s="23">
        <f t="shared" ca="1" si="6"/>
        <v>295.37109042669499</v>
      </c>
      <c r="E68" s="23">
        <f t="shared" ca="1" si="8"/>
        <v>5.6091092943129741</v>
      </c>
      <c r="F68" s="28">
        <f t="shared" ca="1" si="2"/>
        <v>300.98019972100798</v>
      </c>
      <c r="G68" s="23">
        <f t="shared" ca="1" si="3"/>
        <v>2.1430790751199993</v>
      </c>
      <c r="H68" s="23">
        <f t="shared" ca="1" si="4"/>
        <v>7.7521883694329858</v>
      </c>
    </row>
    <row r="69" spans="1:8" x14ac:dyDescent="0.2">
      <c r="A69" s="1">
        <v>58</v>
      </c>
      <c r="B69" s="27">
        <f t="shared" ca="1" si="7"/>
        <v>7.2592437680636603</v>
      </c>
      <c r="C69" s="23">
        <f t="shared" ca="1" si="5"/>
        <v>300.48725511963863</v>
      </c>
      <c r="D69" s="23">
        <f t="shared" ca="1" si="6"/>
        <v>300.98019972100798</v>
      </c>
      <c r="E69" s="23">
        <f t="shared" ca="1" si="8"/>
        <v>0.54110119521906008</v>
      </c>
      <c r="F69" s="28">
        <f t="shared" ca="1" si="2"/>
        <v>301.52130091622706</v>
      </c>
      <c r="G69" s="23">
        <f t="shared" ca="1" si="3"/>
        <v>0.49294460136934504</v>
      </c>
      <c r="H69" s="23">
        <f t="shared" ca="1" si="4"/>
        <v>1.0340457965884298</v>
      </c>
    </row>
    <row r="70" spans="1:8" x14ac:dyDescent="0.2">
      <c r="A70" s="1">
        <v>59</v>
      </c>
      <c r="B70" s="27">
        <f t="shared" ca="1" si="7"/>
        <v>3.1784891251550853</v>
      </c>
      <c r="C70" s="23">
        <f t="shared" ca="1" si="5"/>
        <v>303.6657442447937</v>
      </c>
      <c r="D70" s="23">
        <f t="shared" ca="1" si="6"/>
        <v>303.6657442447937</v>
      </c>
      <c r="E70" s="23">
        <f t="shared" ca="1" si="8"/>
        <v>1.5077245036090983</v>
      </c>
      <c r="F70" s="28">
        <f t="shared" ca="1" si="2"/>
        <v>305.1734687484028</v>
      </c>
      <c r="G70" s="23">
        <f t="shared" ca="1" si="3"/>
        <v>0</v>
      </c>
      <c r="H70" s="23">
        <f t="shared" ca="1" si="4"/>
        <v>1.5077245036090972</v>
      </c>
    </row>
    <row r="71" spans="1:8" x14ac:dyDescent="0.2">
      <c r="A71" s="1">
        <v>60</v>
      </c>
      <c r="B71" s="27">
        <f t="shared" ca="1" si="7"/>
        <v>0.8296222509253397</v>
      </c>
      <c r="C71" s="23">
        <f t="shared" ca="1" si="5"/>
        <v>304.49536649571905</v>
      </c>
      <c r="D71" s="23">
        <f t="shared" ca="1" si="6"/>
        <v>305.1734687484028</v>
      </c>
      <c r="E71" s="23">
        <f t="shared" ca="1" si="8"/>
        <v>4.6148229511915915</v>
      </c>
      <c r="F71" s="28">
        <f t="shared" ca="1" si="2"/>
        <v>309.78829169959437</v>
      </c>
      <c r="G71" s="23">
        <f t="shared" ca="1" si="3"/>
        <v>0.67810225268374325</v>
      </c>
      <c r="H71" s="23">
        <f t="shared" ca="1" si="4"/>
        <v>5.2929252038753134</v>
      </c>
    </row>
    <row r="72" spans="1:8" x14ac:dyDescent="0.2">
      <c r="A72" s="1">
        <v>61</v>
      </c>
      <c r="B72" s="27">
        <f t="shared" ca="1" si="7"/>
        <v>0.29983043464117887</v>
      </c>
      <c r="C72" s="23">
        <f t="shared" ca="1" si="5"/>
        <v>304.79519693036025</v>
      </c>
      <c r="D72" s="23">
        <f t="shared" ca="1" si="6"/>
        <v>309.78829169959437</v>
      </c>
      <c r="E72" s="23">
        <f t="shared" ca="1" si="8"/>
        <v>4.3664548479204113</v>
      </c>
      <c r="F72" s="28">
        <f t="shared" ca="1" si="2"/>
        <v>314.15474654751478</v>
      </c>
      <c r="G72" s="23">
        <f t="shared" ca="1" si="3"/>
        <v>4.9930947692341192</v>
      </c>
      <c r="H72" s="23">
        <f t="shared" ca="1" si="4"/>
        <v>9.3595496171545278</v>
      </c>
    </row>
    <row r="73" spans="1:8" x14ac:dyDescent="0.2">
      <c r="A73" s="1">
        <v>62</v>
      </c>
      <c r="B73" s="27">
        <f t="shared" ca="1" si="7"/>
        <v>14.522678520522277</v>
      </c>
      <c r="C73" s="23">
        <f t="shared" ca="1" si="5"/>
        <v>319.31787545088253</v>
      </c>
      <c r="D73" s="23">
        <f t="shared" ca="1" si="6"/>
        <v>319.31787545088253</v>
      </c>
      <c r="E73" s="23">
        <f t="shared" ca="1" si="8"/>
        <v>3.0782824651200391</v>
      </c>
      <c r="F73" s="28">
        <f t="shared" ca="1" si="2"/>
        <v>322.39615791600255</v>
      </c>
      <c r="G73" s="23">
        <f t="shared" ca="1" si="3"/>
        <v>0</v>
      </c>
      <c r="H73" s="23">
        <f t="shared" ca="1" si="4"/>
        <v>3.0782824651200258</v>
      </c>
    </row>
    <row r="74" spans="1:8" x14ac:dyDescent="0.2">
      <c r="A74" s="1">
        <v>63</v>
      </c>
      <c r="B74" s="27">
        <f t="shared" ca="1" si="7"/>
        <v>4.1332467920780118</v>
      </c>
      <c r="C74" s="23">
        <f t="shared" ca="1" si="5"/>
        <v>323.45112224296054</v>
      </c>
      <c r="D74" s="23">
        <f t="shared" ca="1" si="6"/>
        <v>323.45112224296054</v>
      </c>
      <c r="E74" s="23">
        <f t="shared" ca="1" si="8"/>
        <v>5.2749091859412847</v>
      </c>
      <c r="F74" s="28">
        <f t="shared" ca="1" si="2"/>
        <v>328.72603142890182</v>
      </c>
      <c r="G74" s="23">
        <f t="shared" ca="1" si="3"/>
        <v>0</v>
      </c>
      <c r="H74" s="23">
        <f t="shared" ca="1" si="4"/>
        <v>5.2749091859412829</v>
      </c>
    </row>
    <row r="75" spans="1:8" x14ac:dyDescent="0.2">
      <c r="A75" s="1">
        <v>64</v>
      </c>
      <c r="B75" s="27">
        <f t="shared" ca="1" si="7"/>
        <v>4.5200455010821363</v>
      </c>
      <c r="C75" s="23">
        <f t="shared" ca="1" si="5"/>
        <v>327.97116774404265</v>
      </c>
      <c r="D75" s="23">
        <f t="shared" ca="1" si="6"/>
        <v>328.72603142890182</v>
      </c>
      <c r="E75" s="23">
        <f t="shared" ca="1" si="8"/>
        <v>2.5516653101211113</v>
      </c>
      <c r="F75" s="28">
        <f t="shared" ca="1" si="2"/>
        <v>331.27769673902293</v>
      </c>
      <c r="G75" s="23">
        <f t="shared" ca="1" si="3"/>
        <v>0.7548636848591741</v>
      </c>
      <c r="H75" s="23">
        <f t="shared" ca="1" si="4"/>
        <v>3.3065289949802832</v>
      </c>
    </row>
    <row r="76" spans="1:8" x14ac:dyDescent="0.2">
      <c r="A76" s="1">
        <v>65</v>
      </c>
      <c r="B76" s="27">
        <f t="shared" ref="B76:B111" ca="1" si="9">-$C$2*LN(RAND())</f>
        <v>3.3704704692576599</v>
      </c>
      <c r="C76" s="23">
        <f t="shared" ca="1" si="5"/>
        <v>331.34163821330031</v>
      </c>
      <c r="D76" s="23">
        <f t="shared" ca="1" si="6"/>
        <v>331.34163821330031</v>
      </c>
      <c r="E76" s="23">
        <f t="shared" ref="E76:E111" ca="1" si="10">$C$4*2*RAND()</f>
        <v>2.0954479143106228</v>
      </c>
      <c r="F76" s="28">
        <f t="shared" ref="F76:F107" ca="1" si="11">D76+E76</f>
        <v>333.43708612761094</v>
      </c>
      <c r="G76" s="23">
        <f t="shared" ref="G76:G111" ca="1" si="12">D76-C76</f>
        <v>0</v>
      </c>
      <c r="H76" s="23">
        <f t="shared" ref="H76:H111" ca="1" si="13">F76-C76</f>
        <v>2.0954479143106255</v>
      </c>
    </row>
    <row r="77" spans="1:8" x14ac:dyDescent="0.2">
      <c r="A77" s="1">
        <v>66</v>
      </c>
      <c r="B77" s="27">
        <f t="shared" ca="1" si="9"/>
        <v>2.5127565330695765</v>
      </c>
      <c r="C77" s="23">
        <f t="shared" ref="C77:C108" ca="1" si="14">C76+B77</f>
        <v>333.85439474636991</v>
      </c>
      <c r="D77" s="23">
        <f t="shared" ref="D77:D108" ca="1" si="15">MAX(F76,C77)</f>
        <v>333.85439474636991</v>
      </c>
      <c r="E77" s="23">
        <f t="shared" ca="1" si="10"/>
        <v>0.29565294039372758</v>
      </c>
      <c r="F77" s="28">
        <f t="shared" ca="1" si="11"/>
        <v>334.15004768676363</v>
      </c>
      <c r="G77" s="23">
        <f t="shared" ca="1" si="12"/>
        <v>0</v>
      </c>
      <c r="H77" s="23">
        <f t="shared" ca="1" si="13"/>
        <v>0.29565294039372247</v>
      </c>
    </row>
    <row r="78" spans="1:8" x14ac:dyDescent="0.2">
      <c r="A78" s="1">
        <v>67</v>
      </c>
      <c r="B78" s="27">
        <f t="shared" ca="1" si="9"/>
        <v>11.620191700262543</v>
      </c>
      <c r="C78" s="23">
        <f t="shared" ca="1" si="14"/>
        <v>345.47458644663243</v>
      </c>
      <c r="D78" s="23">
        <f t="shared" ca="1" si="15"/>
        <v>345.47458644663243</v>
      </c>
      <c r="E78" s="23">
        <f t="shared" ca="1" si="10"/>
        <v>4.8952180163997765</v>
      </c>
      <c r="F78" s="28">
        <f t="shared" ca="1" si="11"/>
        <v>350.36980446303221</v>
      </c>
      <c r="G78" s="23">
        <f t="shared" ca="1" si="12"/>
        <v>0</v>
      </c>
      <c r="H78" s="23">
        <f t="shared" ca="1" si="13"/>
        <v>4.8952180163997809</v>
      </c>
    </row>
    <row r="79" spans="1:8" x14ac:dyDescent="0.2">
      <c r="A79" s="1">
        <v>68</v>
      </c>
      <c r="B79" s="27">
        <f t="shared" ca="1" si="9"/>
        <v>0.50969199285787292</v>
      </c>
      <c r="C79" s="23">
        <f t="shared" ca="1" si="14"/>
        <v>345.98427843949031</v>
      </c>
      <c r="D79" s="23">
        <f t="shared" ca="1" si="15"/>
        <v>350.36980446303221</v>
      </c>
      <c r="E79" s="23">
        <f t="shared" ca="1" si="10"/>
        <v>1.7351362950183176</v>
      </c>
      <c r="F79" s="28">
        <f t="shared" ca="1" si="11"/>
        <v>352.10494075805053</v>
      </c>
      <c r="G79" s="23">
        <f t="shared" ca="1" si="12"/>
        <v>4.3855260235418996</v>
      </c>
      <c r="H79" s="23">
        <f t="shared" ca="1" si="13"/>
        <v>6.1206623185602211</v>
      </c>
    </row>
    <row r="80" spans="1:8" x14ac:dyDescent="0.2">
      <c r="A80" s="1">
        <v>69</v>
      </c>
      <c r="B80" s="27">
        <f t="shared" ca="1" si="9"/>
        <v>25.369619843043075</v>
      </c>
      <c r="C80" s="23">
        <f t="shared" ca="1" si="14"/>
        <v>371.35389828253341</v>
      </c>
      <c r="D80" s="23">
        <f t="shared" ca="1" si="15"/>
        <v>371.35389828253341</v>
      </c>
      <c r="E80" s="23">
        <f t="shared" ca="1" si="10"/>
        <v>3.2042837538046571</v>
      </c>
      <c r="F80" s="28">
        <f t="shared" ca="1" si="11"/>
        <v>374.55818203633805</v>
      </c>
      <c r="G80" s="23">
        <f t="shared" ca="1" si="12"/>
        <v>0</v>
      </c>
      <c r="H80" s="23">
        <f t="shared" ca="1" si="13"/>
        <v>3.2042837538046456</v>
      </c>
    </row>
    <row r="81" spans="1:8" x14ac:dyDescent="0.2">
      <c r="A81" s="1">
        <v>70</v>
      </c>
      <c r="B81" s="27">
        <f t="shared" ca="1" si="9"/>
        <v>5.2431260274979792</v>
      </c>
      <c r="C81" s="23">
        <f t="shared" ca="1" si="14"/>
        <v>376.59702431003137</v>
      </c>
      <c r="D81" s="23">
        <f t="shared" ca="1" si="15"/>
        <v>376.59702431003137</v>
      </c>
      <c r="E81" s="23">
        <f t="shared" ca="1" si="10"/>
        <v>5.4891005154547017</v>
      </c>
      <c r="F81" s="28">
        <f t="shared" ca="1" si="11"/>
        <v>382.08612482548608</v>
      </c>
      <c r="G81" s="23">
        <f t="shared" ca="1" si="12"/>
        <v>0</v>
      </c>
      <c r="H81" s="23">
        <f t="shared" ca="1" si="13"/>
        <v>5.4891005154547088</v>
      </c>
    </row>
    <row r="82" spans="1:8" x14ac:dyDescent="0.2">
      <c r="A82" s="1">
        <v>71</v>
      </c>
      <c r="B82" s="27">
        <f t="shared" ca="1" si="9"/>
        <v>17.013365289961047</v>
      </c>
      <c r="C82" s="23">
        <f t="shared" ca="1" si="14"/>
        <v>393.6103895999924</v>
      </c>
      <c r="D82" s="23">
        <f t="shared" ca="1" si="15"/>
        <v>393.6103895999924</v>
      </c>
      <c r="E82" s="23">
        <f t="shared" ca="1" si="10"/>
        <v>4.0168679754768561</v>
      </c>
      <c r="F82" s="28">
        <f t="shared" ca="1" si="11"/>
        <v>397.62725757546923</v>
      </c>
      <c r="G82" s="23">
        <f t="shared" ca="1" si="12"/>
        <v>0</v>
      </c>
      <c r="H82" s="23">
        <f t="shared" ca="1" si="13"/>
        <v>4.0168679754768277</v>
      </c>
    </row>
    <row r="83" spans="1:8" x14ac:dyDescent="0.2">
      <c r="A83" s="1">
        <v>72</v>
      </c>
      <c r="B83" s="27">
        <f t="shared" ca="1" si="9"/>
        <v>2.5715016922959322</v>
      </c>
      <c r="C83" s="23">
        <f t="shared" ca="1" si="14"/>
        <v>396.18189129228836</v>
      </c>
      <c r="D83" s="23">
        <f t="shared" ca="1" si="15"/>
        <v>397.62725757546923</v>
      </c>
      <c r="E83" s="23">
        <f t="shared" ca="1" si="10"/>
        <v>3.9876139867818625</v>
      </c>
      <c r="F83" s="28">
        <f t="shared" ca="1" si="11"/>
        <v>401.6148715622511</v>
      </c>
      <c r="G83" s="23">
        <f t="shared" ca="1" si="12"/>
        <v>1.4453662831808742</v>
      </c>
      <c r="H83" s="23">
        <f t="shared" ca="1" si="13"/>
        <v>5.4329802699627407</v>
      </c>
    </row>
    <row r="84" spans="1:8" x14ac:dyDescent="0.2">
      <c r="A84" s="1">
        <v>73</v>
      </c>
      <c r="B84" s="27">
        <f t="shared" ca="1" si="9"/>
        <v>1.9589938833438643</v>
      </c>
      <c r="C84" s="23">
        <f t="shared" ca="1" si="14"/>
        <v>398.14088517563221</v>
      </c>
      <c r="D84" s="23">
        <f t="shared" ca="1" si="15"/>
        <v>401.6148715622511</v>
      </c>
      <c r="E84" s="23">
        <f t="shared" ca="1" si="10"/>
        <v>5.4416321596543842</v>
      </c>
      <c r="F84" s="28">
        <f t="shared" ca="1" si="11"/>
        <v>407.05650372190547</v>
      </c>
      <c r="G84" s="23">
        <f t="shared" ca="1" si="12"/>
        <v>3.4739863866188898</v>
      </c>
      <c r="H84" s="23">
        <f t="shared" ca="1" si="13"/>
        <v>8.9156185462732651</v>
      </c>
    </row>
    <row r="85" spans="1:8" x14ac:dyDescent="0.2">
      <c r="A85" s="1">
        <v>74</v>
      </c>
      <c r="B85" s="27">
        <f t="shared" ca="1" si="9"/>
        <v>3.1437806869679163</v>
      </c>
      <c r="C85" s="23">
        <f t="shared" ca="1" si="14"/>
        <v>401.28466586260015</v>
      </c>
      <c r="D85" s="23">
        <f t="shared" ca="1" si="15"/>
        <v>407.05650372190547</v>
      </c>
      <c r="E85" s="23">
        <f t="shared" ca="1" si="10"/>
        <v>0.57660121264643172</v>
      </c>
      <c r="F85" s="28">
        <f t="shared" ca="1" si="11"/>
        <v>407.63310493455191</v>
      </c>
      <c r="G85" s="23">
        <f t="shared" ca="1" si="12"/>
        <v>5.7718378593053217</v>
      </c>
      <c r="H85" s="23">
        <f t="shared" ca="1" si="13"/>
        <v>6.3484390719517592</v>
      </c>
    </row>
    <row r="86" spans="1:8" x14ac:dyDescent="0.2">
      <c r="A86" s="1">
        <v>75</v>
      </c>
      <c r="B86" s="27">
        <f t="shared" ca="1" si="9"/>
        <v>5.73241118395583</v>
      </c>
      <c r="C86" s="23">
        <f t="shared" ca="1" si="14"/>
        <v>407.01707704655598</v>
      </c>
      <c r="D86" s="23">
        <f t="shared" ca="1" si="15"/>
        <v>407.63310493455191</v>
      </c>
      <c r="E86" s="23">
        <f t="shared" ca="1" si="10"/>
        <v>2.1179744358838453</v>
      </c>
      <c r="F86" s="28">
        <f t="shared" ca="1" si="11"/>
        <v>409.75107937043578</v>
      </c>
      <c r="G86" s="23">
        <f t="shared" ca="1" si="12"/>
        <v>0.61602788799592645</v>
      </c>
      <c r="H86" s="23">
        <f t="shared" ca="1" si="13"/>
        <v>2.7340023238797926</v>
      </c>
    </row>
    <row r="87" spans="1:8" x14ac:dyDescent="0.2">
      <c r="A87" s="1">
        <v>76</v>
      </c>
      <c r="B87" s="27">
        <f t="shared" ca="1" si="9"/>
        <v>1.8754800180761986</v>
      </c>
      <c r="C87" s="23">
        <f t="shared" ca="1" si="14"/>
        <v>408.89255706463217</v>
      </c>
      <c r="D87" s="23">
        <f t="shared" ca="1" si="15"/>
        <v>409.75107937043578</v>
      </c>
      <c r="E87" s="23">
        <f t="shared" ca="1" si="10"/>
        <v>3.1169162658624519</v>
      </c>
      <c r="F87" s="28">
        <f t="shared" ca="1" si="11"/>
        <v>412.86799563629825</v>
      </c>
      <c r="G87" s="23">
        <f t="shared" ca="1" si="12"/>
        <v>0.85852230580360356</v>
      </c>
      <c r="H87" s="23">
        <f t="shared" ca="1" si="13"/>
        <v>3.9754385716660749</v>
      </c>
    </row>
    <row r="88" spans="1:8" x14ac:dyDescent="0.2">
      <c r="A88" s="1">
        <v>77</v>
      </c>
      <c r="B88" s="27">
        <f t="shared" ca="1" si="9"/>
        <v>3.8754234277812016</v>
      </c>
      <c r="C88" s="23">
        <f t="shared" ca="1" si="14"/>
        <v>412.76798049241336</v>
      </c>
      <c r="D88" s="23">
        <f t="shared" ca="1" si="15"/>
        <v>412.86799563629825</v>
      </c>
      <c r="E88" s="23">
        <f t="shared" ca="1" si="10"/>
        <v>5.0488880422602689</v>
      </c>
      <c r="F88" s="28">
        <f t="shared" ca="1" si="11"/>
        <v>417.91688367855852</v>
      </c>
      <c r="G88" s="23">
        <f t="shared" ca="1" si="12"/>
        <v>0.10001514388488886</v>
      </c>
      <c r="H88" s="23">
        <f t="shared" ca="1" si="13"/>
        <v>5.1489031861451622</v>
      </c>
    </row>
    <row r="89" spans="1:8" x14ac:dyDescent="0.2">
      <c r="A89" s="1">
        <v>78</v>
      </c>
      <c r="B89" s="27">
        <f t="shared" ca="1" si="9"/>
        <v>0.90224370609039151</v>
      </c>
      <c r="C89" s="23">
        <f t="shared" ca="1" si="14"/>
        <v>413.67022419850377</v>
      </c>
      <c r="D89" s="23">
        <f t="shared" ca="1" si="15"/>
        <v>417.91688367855852</v>
      </c>
      <c r="E89" s="23">
        <f t="shared" ca="1" si="10"/>
        <v>4.3834188149919795</v>
      </c>
      <c r="F89" s="28">
        <f t="shared" ca="1" si="11"/>
        <v>422.30030249355048</v>
      </c>
      <c r="G89" s="23">
        <f t="shared" ca="1" si="12"/>
        <v>4.2466594800547455</v>
      </c>
      <c r="H89" s="23">
        <f t="shared" ca="1" si="13"/>
        <v>8.630078295046701</v>
      </c>
    </row>
    <row r="90" spans="1:8" x14ac:dyDescent="0.2">
      <c r="A90" s="1">
        <v>79</v>
      </c>
      <c r="B90" s="27">
        <f t="shared" ca="1" si="9"/>
        <v>3.7190333889945926</v>
      </c>
      <c r="C90" s="23">
        <f t="shared" ca="1" si="14"/>
        <v>417.38925758749838</v>
      </c>
      <c r="D90" s="23">
        <f t="shared" ca="1" si="15"/>
        <v>422.30030249355048</v>
      </c>
      <c r="E90" s="23">
        <f t="shared" ca="1" si="10"/>
        <v>0.38568317883053882</v>
      </c>
      <c r="F90" s="28">
        <f t="shared" ca="1" si="11"/>
        <v>422.68598567238104</v>
      </c>
      <c r="G90" s="23">
        <f t="shared" ca="1" si="12"/>
        <v>4.9110449060520978</v>
      </c>
      <c r="H90" s="23">
        <f t="shared" ca="1" si="13"/>
        <v>5.296728084882659</v>
      </c>
    </row>
    <row r="91" spans="1:8" x14ac:dyDescent="0.2">
      <c r="A91" s="1">
        <v>80</v>
      </c>
      <c r="B91" s="27">
        <f t="shared" ca="1" si="9"/>
        <v>4.4337921612973528</v>
      </c>
      <c r="C91" s="23">
        <f t="shared" ca="1" si="14"/>
        <v>421.82304974879571</v>
      </c>
      <c r="D91" s="23">
        <f t="shared" ca="1" si="15"/>
        <v>422.68598567238104</v>
      </c>
      <c r="E91" s="23">
        <f t="shared" ca="1" si="10"/>
        <v>0.93060407148412194</v>
      </c>
      <c r="F91" s="28">
        <f t="shared" ca="1" si="11"/>
        <v>423.61658974386518</v>
      </c>
      <c r="G91" s="23">
        <f t="shared" ca="1" si="12"/>
        <v>0.86293592358532578</v>
      </c>
      <c r="H91" s="23">
        <f t="shared" ca="1" si="13"/>
        <v>1.7935399950694659</v>
      </c>
    </row>
    <row r="92" spans="1:8" x14ac:dyDescent="0.2">
      <c r="A92" s="1">
        <v>81</v>
      </c>
      <c r="B92" s="27">
        <f t="shared" ca="1" si="9"/>
        <v>0.92034760212731292</v>
      </c>
      <c r="C92" s="23">
        <f t="shared" ca="1" si="14"/>
        <v>422.74339735092303</v>
      </c>
      <c r="D92" s="23">
        <f t="shared" ca="1" si="15"/>
        <v>423.61658974386518</v>
      </c>
      <c r="E92" s="23">
        <f t="shared" ca="1" si="10"/>
        <v>3.7619287070131184</v>
      </c>
      <c r="F92" s="28">
        <f t="shared" ca="1" si="11"/>
        <v>427.37851845087829</v>
      </c>
      <c r="G92" s="23">
        <f t="shared" ca="1" si="12"/>
        <v>0.87319239294214412</v>
      </c>
      <c r="H92" s="23">
        <f t="shared" ca="1" si="13"/>
        <v>4.6351210999552563</v>
      </c>
    </row>
    <row r="93" spans="1:8" x14ac:dyDescent="0.2">
      <c r="A93" s="1">
        <v>82</v>
      </c>
      <c r="B93" s="27">
        <f t="shared" ca="1" si="9"/>
        <v>7.6844226529810458</v>
      </c>
      <c r="C93" s="23">
        <f t="shared" ca="1" si="14"/>
        <v>430.42782000390406</v>
      </c>
      <c r="D93" s="23">
        <f t="shared" ca="1" si="15"/>
        <v>430.42782000390406</v>
      </c>
      <c r="E93" s="23">
        <f t="shared" ca="1" si="10"/>
        <v>1.9799701950033417</v>
      </c>
      <c r="F93" s="28">
        <f t="shared" ca="1" si="11"/>
        <v>432.40779019890738</v>
      </c>
      <c r="G93" s="23">
        <f t="shared" ca="1" si="12"/>
        <v>0</v>
      </c>
      <c r="H93" s="23">
        <f t="shared" ca="1" si="13"/>
        <v>1.9799701950033182</v>
      </c>
    </row>
    <row r="94" spans="1:8" x14ac:dyDescent="0.2">
      <c r="A94" s="1">
        <v>83</v>
      </c>
      <c r="B94" s="27">
        <f t="shared" ca="1" si="9"/>
        <v>4.9404058695941453</v>
      </c>
      <c r="C94" s="23">
        <f t="shared" ca="1" si="14"/>
        <v>435.3682258734982</v>
      </c>
      <c r="D94" s="23">
        <f t="shared" ca="1" si="15"/>
        <v>435.3682258734982</v>
      </c>
      <c r="E94" s="23">
        <f t="shared" ca="1" si="10"/>
        <v>3.5330185772086482</v>
      </c>
      <c r="F94" s="28">
        <f t="shared" ca="1" si="11"/>
        <v>438.90124445070683</v>
      </c>
      <c r="G94" s="23">
        <f t="shared" ca="1" si="12"/>
        <v>0</v>
      </c>
      <c r="H94" s="23">
        <f t="shared" ca="1" si="13"/>
        <v>3.5330185772086224</v>
      </c>
    </row>
    <row r="95" spans="1:8" x14ac:dyDescent="0.2">
      <c r="A95" s="1">
        <v>84</v>
      </c>
      <c r="B95" s="27">
        <f t="shared" ca="1" si="9"/>
        <v>3.7127168146004035</v>
      </c>
      <c r="C95" s="23">
        <f t="shared" ca="1" si="14"/>
        <v>439.08094268809862</v>
      </c>
      <c r="D95" s="23">
        <f t="shared" ca="1" si="15"/>
        <v>439.08094268809862</v>
      </c>
      <c r="E95" s="23">
        <f t="shared" ca="1" si="10"/>
        <v>5.5178735794777145</v>
      </c>
      <c r="F95" s="28">
        <f t="shared" ca="1" si="11"/>
        <v>444.59881626757635</v>
      </c>
      <c r="G95" s="23">
        <f t="shared" ca="1" si="12"/>
        <v>0</v>
      </c>
      <c r="H95" s="23">
        <f t="shared" ca="1" si="13"/>
        <v>5.5178735794777367</v>
      </c>
    </row>
    <row r="96" spans="1:8" x14ac:dyDescent="0.2">
      <c r="A96" s="1">
        <v>85</v>
      </c>
      <c r="B96" s="27">
        <f t="shared" ca="1" si="9"/>
        <v>1.9479667351364196</v>
      </c>
      <c r="C96" s="23">
        <f t="shared" ca="1" si="14"/>
        <v>441.02890942323506</v>
      </c>
      <c r="D96" s="23">
        <f t="shared" ca="1" si="15"/>
        <v>444.59881626757635</v>
      </c>
      <c r="E96" s="23">
        <f t="shared" ca="1" si="10"/>
        <v>1.7783492011231743</v>
      </c>
      <c r="F96" s="28">
        <f t="shared" ca="1" si="11"/>
        <v>446.3771654686995</v>
      </c>
      <c r="G96" s="23">
        <f t="shared" ca="1" si="12"/>
        <v>3.5699068443412898</v>
      </c>
      <c r="H96" s="23">
        <f t="shared" ca="1" si="13"/>
        <v>5.3482560454644386</v>
      </c>
    </row>
    <row r="97" spans="1:8" x14ac:dyDescent="0.2">
      <c r="A97" s="1">
        <v>86</v>
      </c>
      <c r="B97" s="27">
        <f t="shared" ca="1" si="9"/>
        <v>1.7001930039379365</v>
      </c>
      <c r="C97" s="23">
        <f t="shared" ca="1" si="14"/>
        <v>442.72910242717302</v>
      </c>
      <c r="D97" s="23">
        <f t="shared" ca="1" si="15"/>
        <v>446.3771654686995</v>
      </c>
      <c r="E97" s="23">
        <f t="shared" ca="1" si="10"/>
        <v>5.8464572882351682</v>
      </c>
      <c r="F97" s="28">
        <f t="shared" ca="1" si="11"/>
        <v>452.22362275693467</v>
      </c>
      <c r="G97" s="23">
        <f t="shared" ca="1" si="12"/>
        <v>3.6480630415264841</v>
      </c>
      <c r="H97" s="23">
        <f t="shared" ca="1" si="13"/>
        <v>9.4945203297616558</v>
      </c>
    </row>
    <row r="98" spans="1:8" x14ac:dyDescent="0.2">
      <c r="A98" s="1">
        <v>87</v>
      </c>
      <c r="B98" s="27">
        <f t="shared" ca="1" si="9"/>
        <v>6.9505747432804785</v>
      </c>
      <c r="C98" s="23">
        <f t="shared" ca="1" si="14"/>
        <v>449.67967717045349</v>
      </c>
      <c r="D98" s="23">
        <f t="shared" ca="1" si="15"/>
        <v>452.22362275693467</v>
      </c>
      <c r="E98" s="23">
        <f t="shared" ca="1" si="10"/>
        <v>4.024843899038224</v>
      </c>
      <c r="F98" s="28">
        <f t="shared" ca="1" si="11"/>
        <v>456.24846665597289</v>
      </c>
      <c r="G98" s="23">
        <f t="shared" ca="1" si="12"/>
        <v>2.5439455864811862</v>
      </c>
      <c r="H98" s="23">
        <f t="shared" ca="1" si="13"/>
        <v>6.5687894855194031</v>
      </c>
    </row>
    <row r="99" spans="1:8" x14ac:dyDescent="0.2">
      <c r="A99" s="1">
        <v>88</v>
      </c>
      <c r="B99" s="27">
        <f t="shared" ca="1" si="9"/>
        <v>1.5353897380868533</v>
      </c>
      <c r="C99" s="23">
        <f t="shared" ca="1" si="14"/>
        <v>451.21506690854034</v>
      </c>
      <c r="D99" s="23">
        <f t="shared" ca="1" si="15"/>
        <v>456.24846665597289</v>
      </c>
      <c r="E99" s="23">
        <f t="shared" ca="1" si="10"/>
        <v>3.3736489853905569</v>
      </c>
      <c r="F99" s="28">
        <f t="shared" ca="1" si="11"/>
        <v>459.62211564136345</v>
      </c>
      <c r="G99" s="23">
        <f t="shared" ca="1" si="12"/>
        <v>5.0333997474325542</v>
      </c>
      <c r="H99" s="23">
        <f t="shared" ca="1" si="13"/>
        <v>8.4070487328231138</v>
      </c>
    </row>
    <row r="100" spans="1:8" x14ac:dyDescent="0.2">
      <c r="A100" s="1">
        <v>89</v>
      </c>
      <c r="B100" s="27">
        <f t="shared" ca="1" si="9"/>
        <v>11.615641922503791</v>
      </c>
      <c r="C100" s="23">
        <f t="shared" ca="1" si="14"/>
        <v>462.83070883104415</v>
      </c>
      <c r="D100" s="23">
        <f t="shared" ca="1" si="15"/>
        <v>462.83070883104415</v>
      </c>
      <c r="E100" s="23">
        <f t="shared" ca="1" si="10"/>
        <v>2.078317434970562</v>
      </c>
      <c r="F100" s="28">
        <f t="shared" ca="1" si="11"/>
        <v>464.90902626601473</v>
      </c>
      <c r="G100" s="23">
        <f t="shared" ca="1" si="12"/>
        <v>0</v>
      </c>
      <c r="H100" s="23">
        <f t="shared" ca="1" si="13"/>
        <v>2.078317434970586</v>
      </c>
    </row>
    <row r="101" spans="1:8" x14ac:dyDescent="0.2">
      <c r="A101" s="1">
        <v>90</v>
      </c>
      <c r="B101" s="27">
        <f t="shared" ca="1" si="9"/>
        <v>1.3612837132204527</v>
      </c>
      <c r="C101" s="23">
        <f t="shared" ca="1" si="14"/>
        <v>464.19199254426462</v>
      </c>
      <c r="D101" s="23">
        <f t="shared" ca="1" si="15"/>
        <v>464.90902626601473</v>
      </c>
      <c r="E101" s="23">
        <f t="shared" ca="1" si="10"/>
        <v>3.5056488603632125</v>
      </c>
      <c r="F101" s="28">
        <f t="shared" ca="1" si="11"/>
        <v>468.41467512637797</v>
      </c>
      <c r="G101" s="23">
        <f t="shared" ca="1" si="12"/>
        <v>0.71703372175011282</v>
      </c>
      <c r="H101" s="23">
        <f t="shared" ca="1" si="13"/>
        <v>4.2226825821133502</v>
      </c>
    </row>
    <row r="102" spans="1:8" x14ac:dyDescent="0.2">
      <c r="A102" s="1">
        <v>91</v>
      </c>
      <c r="B102" s="27">
        <f t="shared" ca="1" si="9"/>
        <v>0.58280398691621205</v>
      </c>
      <c r="C102" s="23">
        <f t="shared" ca="1" si="14"/>
        <v>464.77479653118081</v>
      </c>
      <c r="D102" s="23">
        <f t="shared" ca="1" si="15"/>
        <v>468.41467512637797</v>
      </c>
      <c r="E102" s="23">
        <f t="shared" ca="1" si="10"/>
        <v>5.7309785554036807</v>
      </c>
      <c r="F102" s="28">
        <f t="shared" ca="1" si="11"/>
        <v>474.14565368178165</v>
      </c>
      <c r="G102" s="23">
        <f t="shared" ca="1" si="12"/>
        <v>3.6398785951971604</v>
      </c>
      <c r="H102" s="23">
        <f t="shared" ca="1" si="13"/>
        <v>9.3708571506008411</v>
      </c>
    </row>
    <row r="103" spans="1:8" x14ac:dyDescent="0.2">
      <c r="A103" s="1">
        <v>92</v>
      </c>
      <c r="B103" s="27">
        <f t="shared" ca="1" si="9"/>
        <v>6.4608744344653433</v>
      </c>
      <c r="C103" s="23">
        <f t="shared" ca="1" si="14"/>
        <v>471.23567096564614</v>
      </c>
      <c r="D103" s="23">
        <f t="shared" ca="1" si="15"/>
        <v>474.14565368178165</v>
      </c>
      <c r="E103" s="23">
        <f t="shared" ca="1" si="10"/>
        <v>3.5375026916267034</v>
      </c>
      <c r="F103" s="28">
        <f t="shared" ca="1" si="11"/>
        <v>477.68315637340834</v>
      </c>
      <c r="G103" s="23">
        <f t="shared" ca="1" si="12"/>
        <v>2.9099827161355165</v>
      </c>
      <c r="H103" s="23">
        <f t="shared" ca="1" si="13"/>
        <v>6.4474854077622012</v>
      </c>
    </row>
    <row r="104" spans="1:8" x14ac:dyDescent="0.2">
      <c r="A104" s="1">
        <v>93</v>
      </c>
      <c r="B104" s="27">
        <f t="shared" ca="1" si="9"/>
        <v>2.7572652404572526</v>
      </c>
      <c r="C104" s="23">
        <f t="shared" ca="1" si="14"/>
        <v>473.99293620610337</v>
      </c>
      <c r="D104" s="23">
        <f t="shared" ca="1" si="15"/>
        <v>477.68315637340834</v>
      </c>
      <c r="E104" s="23">
        <f t="shared" ca="1" si="10"/>
        <v>0.46188003155995161</v>
      </c>
      <c r="F104" s="28">
        <f t="shared" ca="1" si="11"/>
        <v>478.14503640496827</v>
      </c>
      <c r="G104" s="23">
        <f t="shared" ca="1" si="12"/>
        <v>3.6902201673049717</v>
      </c>
      <c r="H104" s="23">
        <f t="shared" ca="1" si="13"/>
        <v>4.1521001988649004</v>
      </c>
    </row>
    <row r="105" spans="1:8" x14ac:dyDescent="0.2">
      <c r="A105" s="1">
        <v>94</v>
      </c>
      <c r="B105" s="27">
        <f t="shared" ca="1" si="9"/>
        <v>6.8474055103109404</v>
      </c>
      <c r="C105" s="23">
        <f t="shared" ca="1" si="14"/>
        <v>480.84034171641429</v>
      </c>
      <c r="D105" s="23">
        <f t="shared" ca="1" si="15"/>
        <v>480.84034171641429</v>
      </c>
      <c r="E105" s="23">
        <f t="shared" ca="1" si="10"/>
        <v>4.1163411435776851</v>
      </c>
      <c r="F105" s="28">
        <f t="shared" ca="1" si="11"/>
        <v>484.95668285999199</v>
      </c>
      <c r="G105" s="23">
        <f t="shared" ca="1" si="12"/>
        <v>0</v>
      </c>
      <c r="H105" s="23">
        <f t="shared" ca="1" si="13"/>
        <v>4.1163411435776993</v>
      </c>
    </row>
    <row r="106" spans="1:8" x14ac:dyDescent="0.2">
      <c r="A106" s="1">
        <v>95</v>
      </c>
      <c r="B106" s="27">
        <f t="shared" ca="1" si="9"/>
        <v>2.4114819685157332</v>
      </c>
      <c r="C106" s="23">
        <f t="shared" ca="1" si="14"/>
        <v>483.25182368493</v>
      </c>
      <c r="D106" s="23">
        <f t="shared" ca="1" si="15"/>
        <v>484.95668285999199</v>
      </c>
      <c r="E106" s="23">
        <f t="shared" ca="1" si="10"/>
        <v>4.5042321997938792</v>
      </c>
      <c r="F106" s="28">
        <f t="shared" ca="1" si="11"/>
        <v>489.46091505978586</v>
      </c>
      <c r="G106" s="23">
        <f t="shared" ca="1" si="12"/>
        <v>1.7048591750619835</v>
      </c>
      <c r="H106" s="23">
        <f t="shared" ca="1" si="13"/>
        <v>6.2090913748558592</v>
      </c>
    </row>
    <row r="107" spans="1:8" x14ac:dyDescent="0.2">
      <c r="A107" s="1">
        <v>96</v>
      </c>
      <c r="B107" s="27">
        <f t="shared" ca="1" si="9"/>
        <v>9.7533601938527124</v>
      </c>
      <c r="C107" s="23">
        <f t="shared" ca="1" si="14"/>
        <v>493.0051838787827</v>
      </c>
      <c r="D107" s="23">
        <f t="shared" ca="1" si="15"/>
        <v>493.0051838787827</v>
      </c>
      <c r="E107" s="23">
        <f t="shared" ca="1" si="10"/>
        <v>5.6104484634424043</v>
      </c>
      <c r="F107" s="28">
        <f t="shared" ca="1" si="11"/>
        <v>498.61563234222513</v>
      </c>
      <c r="G107" s="23">
        <f t="shared" ca="1" si="12"/>
        <v>0</v>
      </c>
      <c r="H107" s="23">
        <f t="shared" ca="1" si="13"/>
        <v>5.6104484634424239</v>
      </c>
    </row>
    <row r="108" spans="1:8" x14ac:dyDescent="0.2">
      <c r="A108" s="1">
        <v>97</v>
      </c>
      <c r="B108" s="27">
        <f t="shared" ca="1" si="9"/>
        <v>0.35240909773624751</v>
      </c>
      <c r="C108" s="23">
        <f t="shared" ca="1" si="14"/>
        <v>493.35759297651896</v>
      </c>
      <c r="D108" s="23">
        <f t="shared" ca="1" si="15"/>
        <v>498.61563234222513</v>
      </c>
      <c r="E108" s="23">
        <f t="shared" ca="1" si="10"/>
        <v>9.5422825145924151E-2</v>
      </c>
      <c r="F108" s="28">
        <f ca="1">D108+E108</f>
        <v>498.71105516737106</v>
      </c>
      <c r="G108" s="23">
        <f t="shared" ca="1" si="12"/>
        <v>5.2580393657061677</v>
      </c>
      <c r="H108" s="23">
        <f t="shared" ca="1" si="13"/>
        <v>5.353462190852099</v>
      </c>
    </row>
    <row r="109" spans="1:8" x14ac:dyDescent="0.2">
      <c r="A109" s="1">
        <v>98</v>
      </c>
      <c r="B109" s="27">
        <f t="shared" ca="1" si="9"/>
        <v>3.5988351575414832</v>
      </c>
      <c r="C109" s="23">
        <f ca="1">C108+B109</f>
        <v>496.95642813406045</v>
      </c>
      <c r="D109" s="23">
        <f ca="1">MAX(F108,C109)</f>
        <v>498.71105516737106</v>
      </c>
      <c r="E109" s="23">
        <f t="shared" ca="1" si="10"/>
        <v>4.5380424861229827</v>
      </c>
      <c r="F109" s="28">
        <f ca="1">D109+E109</f>
        <v>503.24909765349406</v>
      </c>
      <c r="G109" s="23">
        <f t="shared" ca="1" si="12"/>
        <v>1.7546270333106122</v>
      </c>
      <c r="H109" s="23">
        <f t="shared" ca="1" si="13"/>
        <v>6.2926695194336162</v>
      </c>
    </row>
    <row r="110" spans="1:8" x14ac:dyDescent="0.2">
      <c r="A110" s="1">
        <v>99</v>
      </c>
      <c r="B110" s="27">
        <f t="shared" ca="1" si="9"/>
        <v>13.050394536673638</v>
      </c>
      <c r="C110" s="23">
        <f ca="1">C109+B110</f>
        <v>510.0068226707341</v>
      </c>
      <c r="D110" s="23">
        <f ca="1">MAX(F109,C110)</f>
        <v>510.0068226707341</v>
      </c>
      <c r="E110" s="23">
        <f t="shared" ca="1" si="10"/>
        <v>1.9284372815915647</v>
      </c>
      <c r="F110" s="28">
        <f ca="1">D110+E110</f>
        <v>511.93525995232568</v>
      </c>
      <c r="G110" s="23">
        <f t="shared" ca="1" si="12"/>
        <v>0</v>
      </c>
      <c r="H110" s="23">
        <f t="shared" ca="1" si="13"/>
        <v>1.9284372815915845</v>
      </c>
    </row>
    <row r="111" spans="1:8" x14ac:dyDescent="0.2">
      <c r="A111" s="1">
        <v>100</v>
      </c>
      <c r="B111" s="27">
        <f t="shared" ca="1" si="9"/>
        <v>7.0724057985411104</v>
      </c>
      <c r="C111" s="23">
        <f ca="1">C110+B111</f>
        <v>517.07922846927522</v>
      </c>
      <c r="D111" s="23">
        <f ca="1">MAX(F110,C111)</f>
        <v>517.07922846927522</v>
      </c>
      <c r="E111" s="23">
        <f t="shared" ca="1" si="10"/>
        <v>4.822555289793284</v>
      </c>
      <c r="F111" s="28">
        <f ca="1">D111+E111</f>
        <v>521.90178375906851</v>
      </c>
      <c r="G111" s="23">
        <f t="shared" ca="1" si="12"/>
        <v>0</v>
      </c>
      <c r="H111" s="23">
        <f t="shared" ca="1" si="13"/>
        <v>4.8225552897932857</v>
      </c>
    </row>
    <row r="112" spans="1:8" x14ac:dyDescent="0.2">
      <c r="B112" s="23"/>
      <c r="C112" s="23"/>
      <c r="D112" s="23"/>
      <c r="E112" s="23"/>
      <c r="F112" s="23"/>
      <c r="G112" s="23"/>
      <c r="H112" s="23"/>
    </row>
    <row r="113" spans="2:8" x14ac:dyDescent="0.2">
      <c r="B113" s="23"/>
      <c r="E113" s="23"/>
      <c r="F113" s="23"/>
      <c r="G113" s="23"/>
      <c r="H113" s="23"/>
    </row>
    <row r="114" spans="2:8" x14ac:dyDescent="0.2">
      <c r="B114" s="23"/>
      <c r="C114" s="23"/>
      <c r="D114" s="23"/>
      <c r="E114" s="23"/>
      <c r="F114" s="23"/>
      <c r="G114" s="23"/>
      <c r="H114" s="23"/>
    </row>
    <row r="115" spans="2:8" x14ac:dyDescent="0.2">
      <c r="B115" s="23"/>
      <c r="C115" s="23"/>
      <c r="D115" s="23"/>
      <c r="E115" s="23"/>
      <c r="F115" s="23"/>
      <c r="G115" s="23"/>
      <c r="H115" s="23"/>
    </row>
    <row r="116" spans="2:8" x14ac:dyDescent="0.2">
      <c r="B116" s="23"/>
      <c r="C116" s="23"/>
      <c r="D116" s="23"/>
      <c r="E116" s="23"/>
      <c r="F116" s="23"/>
      <c r="G116" s="23"/>
      <c r="H116" s="23"/>
    </row>
    <row r="117" spans="2:8" x14ac:dyDescent="0.2">
      <c r="B117" s="23"/>
      <c r="C117" s="23"/>
      <c r="D117" s="23"/>
      <c r="E117" s="23"/>
      <c r="F117" s="23"/>
      <c r="G117" s="23"/>
      <c r="H117" s="23"/>
    </row>
    <row r="118" spans="2:8" x14ac:dyDescent="0.2">
      <c r="B118" s="23"/>
      <c r="C118" s="23"/>
      <c r="D118" s="23"/>
      <c r="E118" s="23"/>
      <c r="F118" s="23"/>
      <c r="G118" s="23"/>
      <c r="H118" s="23"/>
    </row>
    <row r="119" spans="2:8" x14ac:dyDescent="0.2">
      <c r="B119" s="23"/>
      <c r="C119" s="23"/>
      <c r="D119" s="23"/>
      <c r="E119" s="23"/>
      <c r="F119" s="23"/>
      <c r="G119" s="23"/>
      <c r="H119" s="23"/>
    </row>
    <row r="120" spans="2:8" x14ac:dyDescent="0.2">
      <c r="B120" s="23"/>
      <c r="C120" s="23"/>
      <c r="D120" s="23"/>
      <c r="E120" s="23"/>
      <c r="F120" s="23"/>
      <c r="G120" s="23"/>
      <c r="H120" s="23"/>
    </row>
    <row r="121" spans="2:8" x14ac:dyDescent="0.2">
      <c r="B121" s="23"/>
      <c r="C121" s="23"/>
      <c r="D121" s="23"/>
      <c r="E121" s="23"/>
      <c r="F121" s="23"/>
      <c r="G121" s="23"/>
      <c r="H121" s="23"/>
    </row>
    <row r="122" spans="2:8" x14ac:dyDescent="0.2">
      <c r="B122" s="23"/>
      <c r="C122" s="23"/>
      <c r="D122" s="23"/>
      <c r="E122" s="23"/>
      <c r="F122" s="23"/>
      <c r="G122" s="23"/>
      <c r="H122" s="23"/>
    </row>
    <row r="123" spans="2:8" x14ac:dyDescent="0.2">
      <c r="B123" s="23"/>
      <c r="C123" s="23"/>
      <c r="D123" s="23"/>
      <c r="E123" s="23"/>
      <c r="F123" s="23"/>
      <c r="G123" s="23"/>
      <c r="H123" s="23"/>
    </row>
    <row r="124" spans="2:8" x14ac:dyDescent="0.2">
      <c r="B124" s="23"/>
      <c r="C124" s="23"/>
      <c r="D124" s="23"/>
      <c r="E124" s="23"/>
      <c r="F124" s="23"/>
      <c r="G124" s="23"/>
      <c r="H124" s="23"/>
    </row>
    <row r="125" spans="2:8" x14ac:dyDescent="0.2">
      <c r="B125" s="23"/>
      <c r="C125" s="23"/>
      <c r="D125" s="23"/>
      <c r="E125" s="23"/>
      <c r="F125" s="23"/>
      <c r="G125" s="23"/>
      <c r="H125" s="23"/>
    </row>
    <row r="126" spans="2:8" x14ac:dyDescent="0.2">
      <c r="B126" s="23"/>
      <c r="C126" s="23"/>
      <c r="D126" s="23"/>
      <c r="E126" s="23"/>
      <c r="F126" s="23"/>
      <c r="G126" s="23"/>
      <c r="H126" s="23"/>
    </row>
    <row r="127" spans="2:8" x14ac:dyDescent="0.2">
      <c r="B127" s="23"/>
      <c r="C127" s="23"/>
      <c r="D127" s="23"/>
      <c r="E127" s="23"/>
      <c r="F127" s="23"/>
      <c r="G127" s="23"/>
      <c r="H127" s="23"/>
    </row>
    <row r="128" spans="2:8" x14ac:dyDescent="0.2">
      <c r="B128" s="23"/>
      <c r="C128" s="23"/>
      <c r="D128" s="23"/>
      <c r="E128" s="23"/>
      <c r="F128" s="23"/>
      <c r="G128" s="23"/>
      <c r="H128" s="23"/>
    </row>
    <row r="129" spans="2:8" x14ac:dyDescent="0.2">
      <c r="B129" s="23"/>
      <c r="C129" s="23"/>
      <c r="D129" s="23"/>
      <c r="E129" s="23"/>
      <c r="F129" s="23"/>
      <c r="G129" s="23"/>
      <c r="H129" s="23"/>
    </row>
    <row r="130" spans="2:8" x14ac:dyDescent="0.2">
      <c r="B130" s="23"/>
      <c r="C130" s="23"/>
      <c r="D130" s="23"/>
      <c r="E130" s="23"/>
      <c r="F130" s="23"/>
      <c r="G130" s="23"/>
      <c r="H130" s="23"/>
    </row>
    <row r="131" spans="2:8" x14ac:dyDescent="0.2">
      <c r="B131" s="23"/>
      <c r="C131" s="23"/>
      <c r="D131" s="23"/>
      <c r="E131" s="23"/>
      <c r="F131" s="23"/>
      <c r="G131" s="23"/>
      <c r="H131" s="23"/>
    </row>
    <row r="132" spans="2:8" x14ac:dyDescent="0.2">
      <c r="B132" s="23"/>
      <c r="C132" s="23"/>
      <c r="D132" s="23"/>
      <c r="E132" s="23"/>
      <c r="F132" s="23"/>
      <c r="G132" s="23"/>
      <c r="H132" s="23"/>
    </row>
    <row r="133" spans="2:8" x14ac:dyDescent="0.2">
      <c r="B133" s="23"/>
      <c r="C133" s="23"/>
      <c r="D133" s="23"/>
      <c r="E133" s="23"/>
      <c r="F133" s="23"/>
      <c r="G133" s="23"/>
      <c r="H133" s="23"/>
    </row>
    <row r="134" spans="2:8" x14ac:dyDescent="0.2">
      <c r="B134" s="23"/>
      <c r="C134" s="23"/>
      <c r="D134" s="23"/>
      <c r="E134" s="23"/>
      <c r="F134" s="23"/>
      <c r="G134" s="23"/>
      <c r="H134" s="23"/>
    </row>
    <row r="135" spans="2:8" x14ac:dyDescent="0.2">
      <c r="B135" s="23"/>
      <c r="C135" s="23"/>
      <c r="D135" s="23"/>
      <c r="E135" s="23"/>
      <c r="F135" s="23"/>
      <c r="G135" s="23"/>
      <c r="H135" s="23"/>
    </row>
    <row r="136" spans="2:8" x14ac:dyDescent="0.2">
      <c r="B136" s="23"/>
      <c r="C136" s="23"/>
      <c r="D136" s="23"/>
      <c r="E136" s="23"/>
      <c r="F136" s="23"/>
      <c r="G136" s="23"/>
      <c r="H136" s="23"/>
    </row>
    <row r="137" spans="2:8" x14ac:dyDescent="0.2">
      <c r="B137" s="23"/>
      <c r="C137" s="23"/>
      <c r="D137" s="23"/>
      <c r="E137" s="23"/>
      <c r="F137" s="23"/>
      <c r="G137" s="23"/>
      <c r="H137" s="23"/>
    </row>
    <row r="138" spans="2:8" x14ac:dyDescent="0.2">
      <c r="B138" s="23"/>
      <c r="C138" s="23"/>
      <c r="D138" s="23"/>
      <c r="E138" s="23"/>
      <c r="F138" s="23"/>
      <c r="G138" s="23"/>
      <c r="H138" s="23"/>
    </row>
    <row r="139" spans="2:8" x14ac:dyDescent="0.2">
      <c r="B139" s="23"/>
      <c r="C139" s="23"/>
      <c r="D139" s="23"/>
      <c r="E139" s="23"/>
      <c r="F139" s="23"/>
      <c r="G139" s="23"/>
      <c r="H139" s="23"/>
    </row>
    <row r="140" spans="2:8" x14ac:dyDescent="0.2">
      <c r="B140" s="23"/>
      <c r="C140" s="23"/>
      <c r="D140" s="23"/>
      <c r="E140" s="23"/>
      <c r="F140" s="23"/>
      <c r="G140" s="23"/>
      <c r="H140" s="23"/>
    </row>
    <row r="141" spans="2:8" x14ac:dyDescent="0.2">
      <c r="B141" s="23"/>
      <c r="C141" s="23"/>
      <c r="D141" s="23"/>
      <c r="E141" s="23"/>
      <c r="F141" s="23"/>
      <c r="G141" s="23"/>
      <c r="H141" s="23"/>
    </row>
    <row r="142" spans="2:8" x14ac:dyDescent="0.2">
      <c r="B142" s="23"/>
      <c r="C142" s="23"/>
      <c r="D142" s="23"/>
      <c r="E142" s="23"/>
      <c r="F142" s="23"/>
      <c r="G142" s="23"/>
      <c r="H142" s="23"/>
    </row>
    <row r="143" spans="2:8" x14ac:dyDescent="0.2">
      <c r="B143" s="23"/>
      <c r="C143" s="23"/>
      <c r="D143" s="23"/>
      <c r="E143" s="23"/>
      <c r="F143" s="23"/>
      <c r="G143" s="23"/>
      <c r="H143" s="23"/>
    </row>
    <row r="144" spans="2:8" x14ac:dyDescent="0.2">
      <c r="B144" s="23"/>
      <c r="C144" s="23"/>
      <c r="D144" s="23"/>
      <c r="E144" s="23"/>
      <c r="F144" s="23"/>
      <c r="G144" s="23"/>
      <c r="H144" s="23"/>
    </row>
    <row r="145" spans="2:8" x14ac:dyDescent="0.2">
      <c r="B145" s="23"/>
      <c r="C145" s="23"/>
      <c r="D145" s="23"/>
      <c r="E145" s="23"/>
      <c r="F145" s="23"/>
      <c r="G145" s="23"/>
      <c r="H145" s="23"/>
    </row>
    <row r="146" spans="2:8" x14ac:dyDescent="0.2">
      <c r="B146" s="23"/>
      <c r="C146" s="23"/>
      <c r="D146" s="23"/>
      <c r="E146" s="23"/>
      <c r="F146" s="23"/>
      <c r="G146" s="23"/>
      <c r="H146" s="23"/>
    </row>
    <row r="147" spans="2:8" x14ac:dyDescent="0.2">
      <c r="B147" s="23"/>
      <c r="C147" s="23"/>
      <c r="D147" s="23"/>
      <c r="E147" s="23"/>
      <c r="F147" s="23"/>
      <c r="G147" s="23"/>
      <c r="H147" s="23"/>
    </row>
    <row r="148" spans="2:8" x14ac:dyDescent="0.2">
      <c r="B148" s="23"/>
      <c r="C148" s="23"/>
      <c r="D148" s="23"/>
      <c r="E148" s="23"/>
      <c r="F148" s="23"/>
      <c r="G148" s="23"/>
      <c r="H148" s="23"/>
    </row>
    <row r="149" spans="2:8" x14ac:dyDescent="0.2">
      <c r="B149" s="23"/>
      <c r="C149" s="23"/>
      <c r="D149" s="23"/>
      <c r="E149" s="23"/>
      <c r="F149" s="23"/>
      <c r="G149" s="23"/>
      <c r="H149" s="23"/>
    </row>
    <row r="150" spans="2:8" x14ac:dyDescent="0.2">
      <c r="B150" s="23"/>
      <c r="C150" s="23"/>
      <c r="D150" s="23"/>
      <c r="E150" s="23"/>
      <c r="F150" s="23"/>
      <c r="G150" s="23"/>
      <c r="H150" s="23"/>
    </row>
    <row r="151" spans="2:8" x14ac:dyDescent="0.2">
      <c r="B151" s="23"/>
      <c r="C151" s="23"/>
      <c r="D151" s="23"/>
      <c r="E151" s="23"/>
      <c r="F151" s="23"/>
      <c r="G151" s="23"/>
      <c r="H151" s="23"/>
    </row>
    <row r="152" spans="2:8" x14ac:dyDescent="0.2">
      <c r="B152" s="23"/>
      <c r="C152" s="23"/>
      <c r="D152" s="23"/>
      <c r="E152" s="23"/>
      <c r="F152" s="23"/>
      <c r="G152" s="23"/>
      <c r="H152" s="23"/>
    </row>
    <row r="153" spans="2:8" x14ac:dyDescent="0.2">
      <c r="B153" s="23"/>
      <c r="C153" s="23"/>
      <c r="D153" s="23"/>
      <c r="E153" s="23"/>
      <c r="F153" s="23"/>
      <c r="G153" s="23"/>
      <c r="H153" s="23"/>
    </row>
    <row r="154" spans="2:8" x14ac:dyDescent="0.2">
      <c r="B154" s="23"/>
      <c r="C154" s="23"/>
      <c r="D154" s="23"/>
      <c r="E154" s="23"/>
      <c r="F154" s="23"/>
      <c r="G154" s="23"/>
      <c r="H154" s="23"/>
    </row>
    <row r="155" spans="2:8" x14ac:dyDescent="0.2">
      <c r="B155" s="23"/>
      <c r="C155" s="23"/>
      <c r="D155" s="23"/>
      <c r="E155" s="23"/>
      <c r="F155" s="23"/>
      <c r="G155" s="23"/>
      <c r="H155" s="23"/>
    </row>
    <row r="156" spans="2:8" x14ac:dyDescent="0.2">
      <c r="B156" s="23"/>
      <c r="C156" s="23"/>
      <c r="D156" s="23"/>
      <c r="E156" s="23"/>
      <c r="F156" s="23"/>
      <c r="G156" s="23"/>
      <c r="H156" s="23"/>
    </row>
    <row r="157" spans="2:8" x14ac:dyDescent="0.2">
      <c r="B157" s="23"/>
      <c r="C157" s="23"/>
      <c r="D157" s="23"/>
      <c r="E157" s="23"/>
      <c r="F157" s="23"/>
      <c r="G157" s="23"/>
      <c r="H157" s="23"/>
    </row>
    <row r="158" spans="2:8" x14ac:dyDescent="0.2">
      <c r="B158" s="23"/>
      <c r="C158" s="23"/>
      <c r="D158" s="23"/>
      <c r="E158" s="23"/>
      <c r="F158" s="23"/>
      <c r="G158" s="23"/>
      <c r="H158" s="23"/>
    </row>
    <row r="159" spans="2:8" x14ac:dyDescent="0.2">
      <c r="B159" s="23"/>
      <c r="C159" s="23"/>
      <c r="D159" s="23"/>
      <c r="E159" s="23"/>
      <c r="F159" s="23"/>
      <c r="G159" s="23"/>
      <c r="H159" s="23"/>
    </row>
    <row r="160" spans="2:8" x14ac:dyDescent="0.2">
      <c r="B160" s="23"/>
      <c r="C160" s="23"/>
      <c r="D160" s="23"/>
      <c r="E160" s="23"/>
      <c r="F160" s="23"/>
      <c r="G160" s="23"/>
      <c r="H160" s="23"/>
    </row>
    <row r="161" spans="2:8" x14ac:dyDescent="0.2">
      <c r="B161" s="23"/>
      <c r="C161" s="23"/>
      <c r="D161" s="23"/>
      <c r="E161" s="23"/>
      <c r="F161" s="23"/>
      <c r="G161" s="23"/>
      <c r="H161" s="23"/>
    </row>
    <row r="162" spans="2:8" x14ac:dyDescent="0.2">
      <c r="B162" s="23"/>
      <c r="C162" s="23"/>
      <c r="D162" s="23"/>
      <c r="E162" s="23"/>
      <c r="F162" s="23"/>
      <c r="G162" s="23"/>
      <c r="H162" s="23"/>
    </row>
    <row r="163" spans="2:8" x14ac:dyDescent="0.2">
      <c r="B163" s="23"/>
      <c r="C163" s="23"/>
      <c r="D163" s="23"/>
      <c r="E163" s="23"/>
      <c r="F163" s="23"/>
      <c r="G163" s="23"/>
      <c r="H163" s="23"/>
    </row>
    <row r="164" spans="2:8" x14ac:dyDescent="0.2">
      <c r="B164" s="23"/>
      <c r="C164" s="23"/>
      <c r="D164" s="23"/>
      <c r="E164" s="23"/>
      <c r="F164" s="23"/>
      <c r="G164" s="23"/>
      <c r="H164" s="23"/>
    </row>
    <row r="165" spans="2:8" x14ac:dyDescent="0.2">
      <c r="B165" s="23"/>
      <c r="C165" s="23"/>
      <c r="D165" s="23"/>
      <c r="E165" s="23"/>
      <c r="F165" s="23"/>
      <c r="G165" s="23"/>
      <c r="H165" s="23"/>
    </row>
    <row r="166" spans="2:8" x14ac:dyDescent="0.2">
      <c r="B166" s="23"/>
      <c r="C166" s="23"/>
      <c r="D166" s="23"/>
      <c r="E166" s="23"/>
      <c r="F166" s="23"/>
      <c r="G166" s="23"/>
      <c r="H166" s="23"/>
    </row>
    <row r="167" spans="2:8" x14ac:dyDescent="0.2">
      <c r="B167" s="23"/>
      <c r="C167" s="23"/>
      <c r="D167" s="23"/>
      <c r="E167" s="23"/>
      <c r="F167" s="23"/>
      <c r="G167" s="23"/>
      <c r="H167" s="23"/>
    </row>
    <row r="168" spans="2:8" x14ac:dyDescent="0.2">
      <c r="B168" s="23"/>
      <c r="C168" s="23"/>
      <c r="D168" s="23"/>
      <c r="E168" s="23"/>
      <c r="F168" s="23"/>
      <c r="G168" s="23"/>
      <c r="H168" s="23"/>
    </row>
    <row r="169" spans="2:8" x14ac:dyDescent="0.2">
      <c r="B169" s="23"/>
      <c r="C169" s="23"/>
      <c r="D169" s="23"/>
      <c r="E169" s="23"/>
      <c r="F169" s="23"/>
      <c r="G169" s="23"/>
      <c r="H169" s="23"/>
    </row>
    <row r="170" spans="2:8" x14ac:dyDescent="0.2">
      <c r="B170" s="23"/>
      <c r="C170" s="23"/>
      <c r="D170" s="23"/>
      <c r="E170" s="23"/>
      <c r="F170" s="23"/>
      <c r="G170" s="23"/>
      <c r="H170" s="23"/>
    </row>
    <row r="171" spans="2:8" x14ac:dyDescent="0.2">
      <c r="B171" s="23"/>
      <c r="C171" s="23"/>
      <c r="D171" s="23"/>
      <c r="E171" s="23"/>
      <c r="F171" s="23"/>
      <c r="G171" s="23"/>
      <c r="H171" s="23"/>
    </row>
    <row r="172" spans="2:8" x14ac:dyDescent="0.2">
      <c r="B172" s="23"/>
      <c r="C172" s="23"/>
      <c r="D172" s="23"/>
      <c r="E172" s="23"/>
      <c r="F172" s="23"/>
      <c r="G172" s="23"/>
      <c r="H172" s="23"/>
    </row>
    <row r="173" spans="2:8" x14ac:dyDescent="0.2">
      <c r="B173" s="23"/>
      <c r="C173" s="23"/>
      <c r="D173" s="23"/>
      <c r="E173" s="23"/>
      <c r="F173" s="23"/>
      <c r="G173" s="23"/>
      <c r="H173" s="23"/>
    </row>
    <row r="174" spans="2:8" x14ac:dyDescent="0.2">
      <c r="B174" s="23"/>
      <c r="C174" s="23"/>
      <c r="D174" s="23"/>
      <c r="E174" s="23"/>
      <c r="F174" s="23"/>
      <c r="G174" s="23"/>
      <c r="H174" s="23"/>
    </row>
    <row r="175" spans="2:8" x14ac:dyDescent="0.2">
      <c r="B175" s="23"/>
      <c r="C175" s="23"/>
      <c r="D175" s="23"/>
      <c r="E175" s="23"/>
      <c r="F175" s="23"/>
      <c r="G175" s="23"/>
      <c r="H175" s="23"/>
    </row>
    <row r="176" spans="2:8" x14ac:dyDescent="0.2">
      <c r="B176" s="23"/>
      <c r="C176" s="23"/>
      <c r="D176" s="23"/>
      <c r="E176" s="23"/>
      <c r="F176" s="23"/>
      <c r="G176" s="23"/>
      <c r="H176" s="23"/>
    </row>
    <row r="177" spans="2:8" x14ac:dyDescent="0.2">
      <c r="B177" s="23"/>
      <c r="C177" s="23"/>
      <c r="D177" s="23"/>
      <c r="E177" s="23"/>
      <c r="F177" s="23"/>
      <c r="G177" s="23"/>
      <c r="H177" s="23"/>
    </row>
    <row r="178" spans="2:8" x14ac:dyDescent="0.2">
      <c r="B178" s="23"/>
      <c r="C178" s="23"/>
      <c r="D178" s="23"/>
      <c r="E178" s="23"/>
      <c r="F178" s="23"/>
      <c r="G178" s="23"/>
      <c r="H178" s="23"/>
    </row>
    <row r="179" spans="2:8" x14ac:dyDescent="0.2">
      <c r="B179" s="23"/>
      <c r="C179" s="23"/>
      <c r="D179" s="23"/>
      <c r="E179" s="23"/>
      <c r="F179" s="23"/>
      <c r="G179" s="23"/>
      <c r="H179" s="23"/>
    </row>
    <row r="180" spans="2:8" x14ac:dyDescent="0.2">
      <c r="B180" s="23"/>
      <c r="C180" s="23"/>
      <c r="D180" s="23"/>
      <c r="E180" s="23"/>
      <c r="F180" s="23"/>
      <c r="G180" s="23"/>
      <c r="H180" s="23"/>
    </row>
    <row r="181" spans="2:8" x14ac:dyDescent="0.2">
      <c r="B181" s="23"/>
      <c r="C181" s="23"/>
      <c r="D181" s="23"/>
      <c r="E181" s="23"/>
      <c r="F181" s="23"/>
      <c r="G181" s="23"/>
      <c r="H181" s="23"/>
    </row>
    <row r="182" spans="2:8" x14ac:dyDescent="0.2">
      <c r="B182" s="23"/>
      <c r="C182" s="23"/>
      <c r="D182" s="23"/>
      <c r="E182" s="23"/>
      <c r="F182" s="23"/>
      <c r="G182" s="23"/>
      <c r="H182" s="23"/>
    </row>
    <row r="183" spans="2:8" x14ac:dyDescent="0.2">
      <c r="B183" s="23"/>
      <c r="C183" s="23"/>
      <c r="D183" s="23"/>
      <c r="E183" s="23"/>
      <c r="F183" s="23"/>
      <c r="G183" s="23"/>
      <c r="H183" s="23"/>
    </row>
    <row r="184" spans="2:8" x14ac:dyDescent="0.2">
      <c r="B184" s="23"/>
      <c r="C184" s="23"/>
      <c r="D184" s="23"/>
      <c r="E184" s="23"/>
      <c r="F184" s="23"/>
      <c r="G184" s="23"/>
      <c r="H184" s="23"/>
    </row>
    <row r="185" spans="2:8" x14ac:dyDescent="0.2">
      <c r="B185" s="23"/>
      <c r="C185" s="23"/>
      <c r="D185" s="23"/>
      <c r="E185" s="23"/>
      <c r="F185" s="23"/>
      <c r="G185" s="23"/>
      <c r="H185" s="23"/>
    </row>
    <row r="186" spans="2:8" x14ac:dyDescent="0.2">
      <c r="B186" s="23"/>
      <c r="C186" s="23"/>
      <c r="D186" s="23"/>
      <c r="E186" s="23"/>
      <c r="F186" s="23"/>
      <c r="G186" s="23"/>
      <c r="H186" s="23"/>
    </row>
    <row r="187" spans="2:8" x14ac:dyDescent="0.2">
      <c r="B187" s="23"/>
      <c r="C187" s="23"/>
      <c r="D187" s="23"/>
      <c r="E187" s="23"/>
      <c r="F187" s="23"/>
      <c r="G187" s="23"/>
      <c r="H187" s="23"/>
    </row>
    <row r="188" spans="2:8" x14ac:dyDescent="0.2">
      <c r="B188" s="23"/>
      <c r="C188" s="23"/>
      <c r="D188" s="23"/>
      <c r="E188" s="23"/>
      <c r="F188" s="23"/>
      <c r="G188" s="23"/>
      <c r="H188" s="23"/>
    </row>
    <row r="189" spans="2:8" x14ac:dyDescent="0.2">
      <c r="B189" s="23"/>
      <c r="C189" s="23"/>
      <c r="D189" s="23"/>
      <c r="E189" s="23"/>
      <c r="F189" s="23"/>
      <c r="G189" s="23"/>
      <c r="H189" s="23"/>
    </row>
    <row r="190" spans="2:8" x14ac:dyDescent="0.2">
      <c r="B190" s="23"/>
      <c r="C190" s="23"/>
      <c r="D190" s="23"/>
      <c r="E190" s="23"/>
      <c r="F190" s="23"/>
      <c r="G190" s="23"/>
      <c r="H190" s="23"/>
    </row>
    <row r="191" spans="2:8" x14ac:dyDescent="0.2">
      <c r="B191" s="23"/>
      <c r="C191" s="23"/>
      <c r="D191" s="23"/>
      <c r="E191" s="23"/>
      <c r="F191" s="23"/>
      <c r="G191" s="23"/>
      <c r="H191" s="23"/>
    </row>
    <row r="192" spans="2:8" x14ac:dyDescent="0.2">
      <c r="B192" s="23"/>
      <c r="C192" s="23"/>
      <c r="D192" s="23"/>
      <c r="E192" s="23"/>
      <c r="F192" s="23"/>
      <c r="G192" s="23"/>
      <c r="H192" s="23"/>
    </row>
    <row r="193" spans="2:8" x14ac:dyDescent="0.2">
      <c r="B193" s="23"/>
      <c r="C193" s="23"/>
      <c r="D193" s="23"/>
      <c r="E193" s="23"/>
      <c r="F193" s="23"/>
      <c r="G193" s="23"/>
      <c r="H193" s="23"/>
    </row>
    <row r="194" spans="2:8" x14ac:dyDescent="0.2">
      <c r="B194" s="23"/>
      <c r="C194" s="23"/>
      <c r="D194" s="23"/>
      <c r="E194" s="23"/>
      <c r="F194" s="23"/>
      <c r="G194" s="23"/>
      <c r="H194" s="23"/>
    </row>
    <row r="195" spans="2:8" x14ac:dyDescent="0.2">
      <c r="B195" s="23"/>
      <c r="C195" s="23"/>
      <c r="D195" s="23"/>
      <c r="E195" s="23"/>
      <c r="F195" s="23"/>
      <c r="G195" s="23"/>
      <c r="H195" s="23"/>
    </row>
    <row r="196" spans="2:8" x14ac:dyDescent="0.2">
      <c r="B196" s="23"/>
      <c r="C196" s="23"/>
      <c r="D196" s="23"/>
      <c r="E196" s="23"/>
      <c r="F196" s="23"/>
      <c r="G196" s="23"/>
      <c r="H196" s="23"/>
    </row>
    <row r="197" spans="2:8" x14ac:dyDescent="0.2">
      <c r="B197" s="23"/>
      <c r="C197" s="23"/>
      <c r="D197" s="23"/>
      <c r="E197" s="23"/>
      <c r="F197" s="23"/>
      <c r="G197" s="23"/>
      <c r="H197" s="23"/>
    </row>
    <row r="198" spans="2:8" x14ac:dyDescent="0.2">
      <c r="B198" s="23"/>
      <c r="C198" s="23"/>
      <c r="D198" s="23"/>
      <c r="E198" s="23"/>
      <c r="F198" s="23"/>
      <c r="G198" s="23"/>
      <c r="H198" s="23"/>
    </row>
    <row r="199" spans="2:8" x14ac:dyDescent="0.2">
      <c r="B199" s="23"/>
      <c r="C199" s="23"/>
      <c r="D199" s="23"/>
      <c r="E199" s="23"/>
      <c r="F199" s="23"/>
      <c r="G199" s="23"/>
      <c r="H199" s="23"/>
    </row>
    <row r="200" spans="2:8" x14ac:dyDescent="0.2">
      <c r="B200" s="23"/>
      <c r="C200" s="23"/>
      <c r="D200" s="23"/>
      <c r="E200" s="23"/>
      <c r="F200" s="23"/>
      <c r="G200" s="23"/>
      <c r="H200" s="23"/>
    </row>
    <row r="201" spans="2:8" x14ac:dyDescent="0.2">
      <c r="B201" s="23"/>
      <c r="C201" s="23"/>
      <c r="D201" s="23"/>
      <c r="E201" s="23"/>
      <c r="F201" s="23"/>
      <c r="G201" s="23"/>
      <c r="H201" s="23"/>
    </row>
    <row r="202" spans="2:8" x14ac:dyDescent="0.2">
      <c r="B202" s="23"/>
      <c r="C202" s="23"/>
      <c r="D202" s="23"/>
      <c r="E202" s="23"/>
      <c r="F202" s="23"/>
      <c r="G202" s="23"/>
      <c r="H202" s="23"/>
    </row>
    <row r="203" spans="2:8" x14ac:dyDescent="0.2">
      <c r="B203" s="23"/>
      <c r="C203" s="23"/>
      <c r="D203" s="23"/>
      <c r="E203" s="23"/>
      <c r="F203" s="23"/>
      <c r="G203" s="23"/>
      <c r="H203" s="23"/>
    </row>
    <row r="204" spans="2:8" x14ac:dyDescent="0.2">
      <c r="B204" s="23"/>
      <c r="C204" s="23"/>
      <c r="D204" s="23"/>
      <c r="E204" s="23"/>
      <c r="F204" s="23"/>
      <c r="G204" s="23"/>
      <c r="H204" s="23"/>
    </row>
    <row r="205" spans="2:8" x14ac:dyDescent="0.2">
      <c r="B205" s="23"/>
      <c r="C205" s="23"/>
      <c r="D205" s="23"/>
      <c r="E205" s="23"/>
      <c r="F205" s="23"/>
      <c r="G205" s="23"/>
      <c r="H205" s="23"/>
    </row>
    <row r="206" spans="2:8" x14ac:dyDescent="0.2">
      <c r="B206" s="23"/>
      <c r="C206" s="23"/>
      <c r="D206" s="23"/>
      <c r="E206" s="23"/>
      <c r="F206" s="23"/>
      <c r="G206" s="23"/>
      <c r="H206" s="23"/>
    </row>
    <row r="207" spans="2:8" x14ac:dyDescent="0.2">
      <c r="B207" s="23"/>
      <c r="C207" s="23"/>
      <c r="D207" s="23"/>
      <c r="E207" s="23"/>
      <c r="F207" s="23"/>
      <c r="G207" s="23"/>
      <c r="H207" s="23"/>
    </row>
    <row r="208" spans="2:8" x14ac:dyDescent="0.2">
      <c r="B208" s="23"/>
      <c r="C208" s="23"/>
      <c r="D208" s="23"/>
      <c r="E208" s="23"/>
      <c r="F208" s="23"/>
      <c r="G208" s="23"/>
      <c r="H208" s="23"/>
    </row>
    <row r="209" spans="2:8" x14ac:dyDescent="0.2">
      <c r="B209" s="23"/>
      <c r="C209" s="23"/>
      <c r="D209" s="23"/>
      <c r="E209" s="23"/>
      <c r="F209" s="23"/>
      <c r="G209" s="23"/>
      <c r="H209" s="23"/>
    </row>
    <row r="210" spans="2:8" x14ac:dyDescent="0.2">
      <c r="B210" s="23"/>
      <c r="C210" s="23"/>
      <c r="D210" s="23"/>
      <c r="E210" s="23"/>
      <c r="F210" s="23"/>
      <c r="G210" s="23"/>
      <c r="H210" s="23"/>
    </row>
    <row r="211" spans="2:8" x14ac:dyDescent="0.2">
      <c r="B211" s="23"/>
      <c r="C211" s="23"/>
      <c r="D211" s="23"/>
      <c r="E211" s="23"/>
      <c r="F211" s="23"/>
      <c r="G211" s="23"/>
      <c r="H211" s="23"/>
    </row>
    <row r="212" spans="2:8" x14ac:dyDescent="0.2">
      <c r="B212" s="23"/>
      <c r="C212" s="23"/>
      <c r="D212" s="23"/>
      <c r="E212" s="23"/>
      <c r="F212" s="23"/>
      <c r="G212" s="23"/>
      <c r="H212" s="23"/>
    </row>
    <row r="213" spans="2:8" x14ac:dyDescent="0.2">
      <c r="B213" s="23"/>
      <c r="C213" s="23"/>
      <c r="D213" s="23"/>
      <c r="E213" s="23"/>
      <c r="F213" s="23"/>
      <c r="G213" s="23"/>
      <c r="H213" s="23"/>
    </row>
    <row r="214" spans="2:8" x14ac:dyDescent="0.2">
      <c r="B214" s="23"/>
      <c r="C214" s="23"/>
      <c r="D214" s="23"/>
      <c r="E214" s="23"/>
      <c r="F214" s="23"/>
      <c r="G214" s="23"/>
      <c r="H214" s="23"/>
    </row>
    <row r="215" spans="2:8" x14ac:dyDescent="0.2">
      <c r="B215" s="23"/>
      <c r="C215" s="23"/>
      <c r="D215" s="23"/>
      <c r="E215" s="23"/>
      <c r="F215" s="23"/>
      <c r="G215" s="23"/>
      <c r="H215" s="23"/>
    </row>
    <row r="216" spans="2:8" x14ac:dyDescent="0.2">
      <c r="B216" s="23"/>
      <c r="C216" s="23"/>
      <c r="D216" s="23"/>
      <c r="E216" s="23"/>
      <c r="F216" s="23"/>
      <c r="G216" s="23"/>
      <c r="H216" s="23"/>
    </row>
    <row r="217" spans="2:8" x14ac:dyDescent="0.2">
      <c r="B217" s="23"/>
      <c r="C217" s="23"/>
      <c r="D217" s="23"/>
      <c r="E217" s="23"/>
      <c r="F217" s="23"/>
      <c r="G217" s="23"/>
      <c r="H217" s="23"/>
    </row>
    <row r="218" spans="2:8" x14ac:dyDescent="0.2">
      <c r="B218" s="23"/>
      <c r="C218" s="23"/>
      <c r="D218" s="23"/>
      <c r="E218" s="23"/>
      <c r="F218" s="23"/>
      <c r="G218" s="23"/>
      <c r="H218" s="23"/>
    </row>
    <row r="219" spans="2:8" x14ac:dyDescent="0.2">
      <c r="B219" s="23"/>
      <c r="C219" s="23"/>
      <c r="D219" s="23"/>
      <c r="E219" s="23"/>
      <c r="F219" s="23"/>
      <c r="G219" s="23"/>
      <c r="H219" s="23"/>
    </row>
    <row r="220" spans="2:8" x14ac:dyDescent="0.2">
      <c r="B220" s="23"/>
      <c r="C220" s="23"/>
      <c r="D220" s="23"/>
      <c r="E220" s="23"/>
      <c r="F220" s="23"/>
      <c r="G220" s="23"/>
      <c r="H220" s="23"/>
    </row>
    <row r="221" spans="2:8" x14ac:dyDescent="0.2">
      <c r="B221" s="23"/>
      <c r="C221" s="23"/>
      <c r="D221" s="23"/>
      <c r="E221" s="23"/>
      <c r="F221" s="23"/>
      <c r="G221" s="23"/>
      <c r="H221" s="23"/>
    </row>
    <row r="222" spans="2:8" x14ac:dyDescent="0.2">
      <c r="B222" s="23"/>
      <c r="C222" s="23"/>
      <c r="D222" s="23"/>
      <c r="E222" s="23"/>
      <c r="F222" s="23"/>
      <c r="G222" s="23"/>
      <c r="H222" s="23"/>
    </row>
    <row r="223" spans="2:8" x14ac:dyDescent="0.2">
      <c r="B223" s="23"/>
      <c r="C223" s="23"/>
      <c r="D223" s="23"/>
      <c r="E223" s="23"/>
      <c r="F223" s="23"/>
      <c r="G223" s="23"/>
      <c r="H223" s="23"/>
    </row>
    <row r="224" spans="2:8" x14ac:dyDescent="0.2">
      <c r="B224" s="23"/>
      <c r="C224" s="23"/>
      <c r="D224" s="23"/>
      <c r="E224" s="23"/>
      <c r="F224" s="23"/>
      <c r="G224" s="23"/>
      <c r="H224" s="23"/>
    </row>
    <row r="225" spans="2:8" x14ac:dyDescent="0.2">
      <c r="B225" s="23"/>
      <c r="C225" s="23"/>
      <c r="D225" s="23"/>
      <c r="E225" s="23"/>
      <c r="F225" s="23"/>
      <c r="G225" s="23"/>
      <c r="H225" s="23"/>
    </row>
    <row r="226" spans="2:8" x14ac:dyDescent="0.2">
      <c r="B226" s="23"/>
      <c r="C226" s="23"/>
      <c r="D226" s="23"/>
      <c r="E226" s="23"/>
      <c r="F226" s="23"/>
      <c r="G226" s="23"/>
      <c r="H226" s="23"/>
    </row>
    <row r="227" spans="2:8" x14ac:dyDescent="0.2">
      <c r="B227" s="23"/>
      <c r="C227" s="23"/>
      <c r="D227" s="23"/>
      <c r="E227" s="23"/>
      <c r="F227" s="23"/>
      <c r="G227" s="23"/>
      <c r="H227" s="23"/>
    </row>
    <row r="228" spans="2:8" x14ac:dyDescent="0.2">
      <c r="B228" s="23"/>
      <c r="C228" s="23"/>
      <c r="D228" s="23"/>
      <c r="E228" s="23"/>
      <c r="F228" s="23"/>
      <c r="G228" s="23"/>
      <c r="H228" s="23"/>
    </row>
    <row r="229" spans="2:8" x14ac:dyDescent="0.2">
      <c r="B229" s="23"/>
      <c r="C229" s="23"/>
      <c r="D229" s="23"/>
      <c r="E229" s="23"/>
      <c r="F229" s="23"/>
      <c r="G229" s="23"/>
      <c r="H229" s="23"/>
    </row>
    <row r="230" spans="2:8" x14ac:dyDescent="0.2">
      <c r="B230" s="23"/>
      <c r="C230" s="23"/>
      <c r="D230" s="23"/>
      <c r="E230" s="23"/>
      <c r="F230" s="23"/>
      <c r="G230" s="23"/>
      <c r="H230" s="23"/>
    </row>
    <row r="231" spans="2:8" x14ac:dyDescent="0.2">
      <c r="B231" s="23"/>
      <c r="C231" s="23"/>
      <c r="D231" s="23"/>
      <c r="E231" s="23"/>
      <c r="F231" s="23"/>
      <c r="G231" s="23"/>
      <c r="H231" s="23"/>
    </row>
    <row r="232" spans="2:8" x14ac:dyDescent="0.2">
      <c r="B232" s="23"/>
      <c r="C232" s="23"/>
      <c r="D232" s="23"/>
      <c r="E232" s="23"/>
      <c r="F232" s="23"/>
      <c r="G232" s="23"/>
      <c r="H232" s="23"/>
    </row>
    <row r="233" spans="2:8" x14ac:dyDescent="0.2">
      <c r="B233" s="23"/>
      <c r="C233" s="23"/>
      <c r="D233" s="23"/>
      <c r="E233" s="23"/>
      <c r="F233" s="23"/>
      <c r="G233" s="23"/>
      <c r="H233" s="23"/>
    </row>
    <row r="234" spans="2:8" x14ac:dyDescent="0.2">
      <c r="B234" s="23"/>
      <c r="C234" s="23"/>
      <c r="D234" s="23"/>
      <c r="E234" s="23"/>
      <c r="F234" s="23"/>
      <c r="G234" s="23"/>
      <c r="H234" s="23"/>
    </row>
    <row r="235" spans="2:8" x14ac:dyDescent="0.2">
      <c r="B235" s="23"/>
      <c r="C235" s="23"/>
      <c r="D235" s="23"/>
      <c r="E235" s="23"/>
      <c r="F235" s="23"/>
      <c r="G235" s="23"/>
      <c r="H235" s="23"/>
    </row>
    <row r="236" spans="2:8" x14ac:dyDescent="0.2">
      <c r="B236" s="23"/>
      <c r="C236" s="23"/>
      <c r="D236" s="23"/>
      <c r="E236" s="23"/>
      <c r="F236" s="23"/>
      <c r="G236" s="23"/>
      <c r="H236" s="23"/>
    </row>
    <row r="237" spans="2:8" x14ac:dyDescent="0.2">
      <c r="B237" s="23"/>
      <c r="C237" s="23"/>
      <c r="D237" s="23"/>
      <c r="E237" s="23"/>
      <c r="F237" s="23"/>
      <c r="G237" s="23"/>
      <c r="H237" s="23"/>
    </row>
    <row r="238" spans="2:8" x14ac:dyDescent="0.2">
      <c r="B238" s="23"/>
      <c r="C238" s="23"/>
      <c r="D238" s="23"/>
      <c r="E238" s="23"/>
      <c r="F238" s="23"/>
      <c r="G238" s="23"/>
      <c r="H238" s="23"/>
    </row>
    <row r="239" spans="2:8" x14ac:dyDescent="0.2">
      <c r="B239" s="23"/>
      <c r="C239" s="23"/>
      <c r="D239" s="23"/>
      <c r="E239" s="23"/>
      <c r="F239" s="23"/>
      <c r="G239" s="23"/>
      <c r="H239" s="23"/>
    </row>
    <row r="240" spans="2:8" x14ac:dyDescent="0.2">
      <c r="B240" s="23"/>
      <c r="C240" s="23"/>
      <c r="D240" s="23"/>
      <c r="E240" s="23"/>
      <c r="F240" s="23"/>
      <c r="G240" s="23"/>
      <c r="H240" s="23"/>
    </row>
    <row r="241" spans="2:8" x14ac:dyDescent="0.2">
      <c r="B241" s="23"/>
      <c r="C241" s="23"/>
      <c r="D241" s="23"/>
      <c r="E241" s="23"/>
      <c r="F241" s="23"/>
      <c r="G241" s="23"/>
      <c r="H241" s="23"/>
    </row>
    <row r="242" spans="2:8" x14ac:dyDescent="0.2">
      <c r="B242" s="23"/>
      <c r="C242" s="23"/>
      <c r="D242" s="23"/>
      <c r="E242" s="23"/>
      <c r="F242" s="23"/>
      <c r="G242" s="23"/>
      <c r="H242" s="23"/>
    </row>
    <row r="243" spans="2:8" x14ac:dyDescent="0.2">
      <c r="B243" s="23"/>
      <c r="C243" s="23"/>
      <c r="D243" s="23"/>
      <c r="E243" s="23"/>
      <c r="F243" s="23"/>
      <c r="G243" s="23"/>
      <c r="H243" s="23"/>
    </row>
    <row r="244" spans="2:8" x14ac:dyDescent="0.2">
      <c r="B244" s="23"/>
      <c r="C244" s="23"/>
      <c r="D244" s="23"/>
      <c r="E244" s="23"/>
      <c r="F244" s="23"/>
      <c r="G244" s="23"/>
      <c r="H244" s="23"/>
    </row>
    <row r="245" spans="2:8" x14ac:dyDescent="0.2">
      <c r="B245" s="23"/>
      <c r="C245" s="23"/>
      <c r="D245" s="23"/>
      <c r="E245" s="23"/>
      <c r="F245" s="23"/>
      <c r="G245" s="23"/>
      <c r="H245" s="23"/>
    </row>
    <row r="246" spans="2:8" x14ac:dyDescent="0.2">
      <c r="B246" s="23"/>
      <c r="C246" s="23"/>
      <c r="D246" s="23"/>
      <c r="E246" s="23"/>
      <c r="F246" s="23"/>
      <c r="G246" s="23"/>
      <c r="H246" s="23"/>
    </row>
    <row r="247" spans="2:8" x14ac:dyDescent="0.2">
      <c r="B247" s="23"/>
      <c r="C247" s="23"/>
      <c r="D247" s="23"/>
      <c r="E247" s="23"/>
      <c r="F247" s="23"/>
      <c r="G247" s="23"/>
      <c r="H247" s="23"/>
    </row>
    <row r="248" spans="2:8" x14ac:dyDescent="0.2">
      <c r="B248" s="23"/>
      <c r="C248" s="23"/>
      <c r="D248" s="23"/>
      <c r="E248" s="23"/>
      <c r="F248" s="23"/>
      <c r="G248" s="23"/>
      <c r="H248" s="23"/>
    </row>
    <row r="249" spans="2:8" x14ac:dyDescent="0.2">
      <c r="B249" s="23"/>
      <c r="C249" s="23"/>
      <c r="D249" s="23"/>
      <c r="E249" s="23"/>
      <c r="F249" s="23"/>
      <c r="G249" s="23"/>
      <c r="H249" s="23"/>
    </row>
    <row r="250" spans="2:8" x14ac:dyDescent="0.2">
      <c r="B250" s="23"/>
      <c r="C250" s="23"/>
      <c r="D250" s="23"/>
      <c r="E250" s="23"/>
      <c r="F250" s="23"/>
      <c r="G250" s="23"/>
      <c r="H250" s="23"/>
    </row>
    <row r="251" spans="2:8" x14ac:dyDescent="0.2">
      <c r="B251" s="23"/>
      <c r="C251" s="23"/>
      <c r="D251" s="23"/>
      <c r="E251" s="23"/>
      <c r="F251" s="23"/>
      <c r="G251" s="23"/>
      <c r="H251" s="23"/>
    </row>
    <row r="252" spans="2:8" x14ac:dyDescent="0.2">
      <c r="B252" s="23"/>
      <c r="C252" s="23"/>
      <c r="D252" s="23"/>
      <c r="E252" s="23"/>
      <c r="F252" s="23"/>
      <c r="G252" s="23"/>
      <c r="H252" s="23"/>
    </row>
    <row r="253" spans="2:8" x14ac:dyDescent="0.2">
      <c r="B253" s="23"/>
      <c r="C253" s="23"/>
      <c r="D253" s="23"/>
      <c r="E253" s="23"/>
      <c r="F253" s="23"/>
      <c r="G253" s="23"/>
      <c r="H253" s="23"/>
    </row>
    <row r="254" spans="2:8" x14ac:dyDescent="0.2">
      <c r="B254" s="23"/>
      <c r="C254" s="23"/>
      <c r="D254" s="23"/>
      <c r="E254" s="23"/>
      <c r="F254" s="23"/>
      <c r="G254" s="23"/>
      <c r="H254" s="23"/>
    </row>
    <row r="255" spans="2:8" x14ac:dyDescent="0.2">
      <c r="B255" s="23"/>
      <c r="C255" s="23"/>
      <c r="D255" s="23"/>
      <c r="E255" s="23"/>
      <c r="F255" s="23"/>
      <c r="G255" s="23"/>
      <c r="H255" s="23"/>
    </row>
    <row r="256" spans="2:8" x14ac:dyDescent="0.2">
      <c r="B256" s="23"/>
      <c r="C256" s="23"/>
      <c r="D256" s="23"/>
      <c r="E256" s="23"/>
      <c r="F256" s="23"/>
      <c r="G256" s="23"/>
      <c r="H256" s="23"/>
    </row>
    <row r="257" spans="2:8" x14ac:dyDescent="0.2">
      <c r="B257" s="23"/>
      <c r="C257" s="23"/>
      <c r="D257" s="23"/>
      <c r="E257" s="23"/>
      <c r="F257" s="23"/>
      <c r="G257" s="23"/>
      <c r="H257" s="23"/>
    </row>
    <row r="258" spans="2:8" x14ac:dyDescent="0.2">
      <c r="B258" s="23"/>
      <c r="C258" s="23"/>
      <c r="D258" s="23"/>
      <c r="E258" s="23"/>
      <c r="F258" s="23"/>
      <c r="G258" s="23"/>
      <c r="H258" s="23"/>
    </row>
    <row r="259" spans="2:8" x14ac:dyDescent="0.2">
      <c r="B259" s="23"/>
      <c r="C259" s="23"/>
      <c r="D259" s="23"/>
      <c r="E259" s="23"/>
      <c r="F259" s="23"/>
      <c r="G259" s="23"/>
      <c r="H259" s="23"/>
    </row>
    <row r="260" spans="2:8" x14ac:dyDescent="0.2">
      <c r="B260" s="23"/>
      <c r="C260" s="23"/>
      <c r="D260" s="23"/>
      <c r="E260" s="23"/>
      <c r="F260" s="23"/>
      <c r="G260" s="23"/>
      <c r="H260" s="23"/>
    </row>
    <row r="261" spans="2:8" x14ac:dyDescent="0.2">
      <c r="B261" s="23"/>
      <c r="C261" s="23"/>
      <c r="D261" s="23"/>
      <c r="E261" s="23"/>
      <c r="F261" s="23"/>
      <c r="G261" s="23"/>
      <c r="H261" s="23"/>
    </row>
    <row r="262" spans="2:8" x14ac:dyDescent="0.2">
      <c r="B262" s="23"/>
      <c r="C262" s="23"/>
      <c r="D262" s="23"/>
      <c r="E262" s="23"/>
      <c r="F262" s="23"/>
      <c r="G262" s="23"/>
      <c r="H262" s="23"/>
    </row>
    <row r="263" spans="2:8" x14ac:dyDescent="0.2">
      <c r="B263" s="23"/>
      <c r="C263" s="23"/>
      <c r="D263" s="23"/>
      <c r="E263" s="23"/>
      <c r="F263" s="23"/>
      <c r="G263" s="23"/>
      <c r="H263" s="23"/>
    </row>
    <row r="264" spans="2:8" x14ac:dyDescent="0.2">
      <c r="B264" s="23"/>
      <c r="C264" s="23"/>
      <c r="D264" s="23"/>
      <c r="E264" s="23"/>
      <c r="F264" s="23"/>
      <c r="G264" s="23"/>
      <c r="H264" s="23"/>
    </row>
    <row r="265" spans="2:8" x14ac:dyDescent="0.2">
      <c r="B265" s="23"/>
      <c r="C265" s="23"/>
      <c r="D265" s="23"/>
      <c r="E265" s="23"/>
      <c r="F265" s="23"/>
      <c r="G265" s="23"/>
      <c r="H265" s="23"/>
    </row>
    <row r="266" spans="2:8" x14ac:dyDescent="0.2">
      <c r="B266" s="23"/>
      <c r="C266" s="23"/>
      <c r="D266" s="23"/>
      <c r="E266" s="23"/>
      <c r="F266" s="23"/>
      <c r="G266" s="23"/>
      <c r="H266" s="23"/>
    </row>
    <row r="267" spans="2:8" x14ac:dyDescent="0.2">
      <c r="B267" s="23"/>
      <c r="C267" s="23"/>
      <c r="D267" s="23"/>
      <c r="E267" s="23"/>
      <c r="F267" s="23"/>
      <c r="G267" s="23"/>
      <c r="H267" s="23"/>
    </row>
    <row r="268" spans="2:8" x14ac:dyDescent="0.2">
      <c r="B268" s="23"/>
      <c r="C268" s="23"/>
      <c r="D268" s="23"/>
      <c r="E268" s="23"/>
      <c r="F268" s="23"/>
      <c r="G268" s="23"/>
      <c r="H268" s="23"/>
    </row>
    <row r="269" spans="2:8" x14ac:dyDescent="0.2">
      <c r="B269" s="23"/>
      <c r="C269" s="23"/>
      <c r="D269" s="23"/>
      <c r="E269" s="23"/>
      <c r="F269" s="23"/>
      <c r="G269" s="23"/>
      <c r="H269" s="23"/>
    </row>
    <row r="270" spans="2:8" x14ac:dyDescent="0.2">
      <c r="B270" s="23"/>
      <c r="C270" s="23"/>
      <c r="D270" s="23"/>
      <c r="E270" s="23"/>
      <c r="F270" s="23"/>
      <c r="G270" s="23"/>
      <c r="H270" s="23"/>
    </row>
    <row r="271" spans="2:8" x14ac:dyDescent="0.2">
      <c r="B271" s="23"/>
      <c r="C271" s="23"/>
      <c r="D271" s="23"/>
      <c r="E271" s="23"/>
      <c r="F271" s="23"/>
      <c r="G271" s="23"/>
      <c r="H271" s="23"/>
    </row>
    <row r="272" spans="2:8" x14ac:dyDescent="0.2">
      <c r="B272" s="23"/>
      <c r="C272" s="23"/>
      <c r="D272" s="23"/>
      <c r="E272" s="23"/>
      <c r="F272" s="23"/>
      <c r="G272" s="23"/>
      <c r="H272" s="23"/>
    </row>
    <row r="273" spans="2:8" x14ac:dyDescent="0.2">
      <c r="B273" s="23"/>
      <c r="C273" s="23"/>
      <c r="D273" s="23"/>
      <c r="E273" s="23"/>
      <c r="F273" s="23"/>
      <c r="G273" s="23"/>
      <c r="H273" s="23"/>
    </row>
    <row r="274" spans="2:8" x14ac:dyDescent="0.2">
      <c r="B274" s="23"/>
      <c r="C274" s="23"/>
      <c r="D274" s="23"/>
      <c r="E274" s="23"/>
      <c r="F274" s="23"/>
      <c r="G274" s="23"/>
      <c r="H274" s="23"/>
    </row>
    <row r="275" spans="2:8" x14ac:dyDescent="0.2">
      <c r="B275" s="23"/>
      <c r="C275" s="23"/>
      <c r="D275" s="23"/>
      <c r="E275" s="23"/>
      <c r="F275" s="23"/>
      <c r="G275" s="23"/>
      <c r="H275" s="23"/>
    </row>
    <row r="276" spans="2:8" x14ac:dyDescent="0.2">
      <c r="B276" s="23"/>
      <c r="C276" s="23"/>
      <c r="D276" s="23"/>
      <c r="E276" s="23"/>
      <c r="F276" s="23"/>
      <c r="G276" s="23"/>
      <c r="H276" s="23"/>
    </row>
    <row r="277" spans="2:8" x14ac:dyDescent="0.2">
      <c r="B277" s="23"/>
      <c r="C277" s="23"/>
      <c r="D277" s="23"/>
      <c r="E277" s="23"/>
      <c r="F277" s="23"/>
      <c r="G277" s="23"/>
      <c r="H277" s="23"/>
    </row>
    <row r="278" spans="2:8" x14ac:dyDescent="0.2">
      <c r="B278" s="23"/>
      <c r="C278" s="23"/>
      <c r="D278" s="23"/>
      <c r="E278" s="23"/>
      <c r="F278" s="23"/>
      <c r="G278" s="23"/>
      <c r="H278" s="23"/>
    </row>
    <row r="279" spans="2:8" x14ac:dyDescent="0.2">
      <c r="B279" s="23"/>
      <c r="C279" s="23"/>
      <c r="D279" s="23"/>
      <c r="E279" s="23"/>
      <c r="F279" s="23"/>
      <c r="G279" s="23"/>
      <c r="H279" s="23"/>
    </row>
    <row r="280" spans="2:8" x14ac:dyDescent="0.2">
      <c r="B280" s="23"/>
      <c r="C280" s="23"/>
      <c r="D280" s="23"/>
      <c r="E280" s="23"/>
      <c r="F280" s="23"/>
      <c r="G280" s="23"/>
      <c r="H280" s="23"/>
    </row>
    <row r="281" spans="2:8" x14ac:dyDescent="0.2">
      <c r="B281" s="23"/>
      <c r="C281" s="23"/>
      <c r="D281" s="23"/>
      <c r="E281" s="23"/>
      <c r="F281" s="23"/>
      <c r="G281" s="23"/>
      <c r="H281" s="23"/>
    </row>
    <row r="282" spans="2:8" x14ac:dyDescent="0.2">
      <c r="B282" s="23"/>
      <c r="C282" s="23"/>
      <c r="D282" s="23"/>
      <c r="E282" s="23"/>
      <c r="F282" s="23"/>
      <c r="G282" s="23"/>
      <c r="H282" s="23"/>
    </row>
    <row r="283" spans="2:8" x14ac:dyDescent="0.2">
      <c r="B283" s="23"/>
      <c r="C283" s="23"/>
      <c r="D283" s="23"/>
      <c r="E283" s="23"/>
      <c r="F283" s="23"/>
      <c r="G283" s="23"/>
      <c r="H283" s="23"/>
    </row>
    <row r="284" spans="2:8" x14ac:dyDescent="0.2">
      <c r="B284" s="23"/>
      <c r="C284" s="23"/>
      <c r="D284" s="23"/>
      <c r="E284" s="23"/>
      <c r="F284" s="23"/>
      <c r="G284" s="23"/>
      <c r="H284" s="23"/>
    </row>
    <row r="285" spans="2:8" x14ac:dyDescent="0.2">
      <c r="B285" s="23"/>
      <c r="C285" s="23"/>
      <c r="D285" s="23"/>
      <c r="E285" s="23"/>
      <c r="F285" s="23"/>
      <c r="G285" s="23"/>
      <c r="H285" s="23"/>
    </row>
    <row r="286" spans="2:8" x14ac:dyDescent="0.2">
      <c r="B286" s="23"/>
      <c r="C286" s="23"/>
      <c r="D286" s="23"/>
      <c r="E286" s="23"/>
      <c r="F286" s="23"/>
      <c r="G286" s="23"/>
      <c r="H286" s="23"/>
    </row>
    <row r="287" spans="2:8" x14ac:dyDescent="0.2">
      <c r="B287" s="23"/>
      <c r="C287" s="23"/>
      <c r="D287" s="23"/>
      <c r="E287" s="23"/>
      <c r="F287" s="23"/>
      <c r="G287" s="23"/>
      <c r="H287" s="23"/>
    </row>
    <row r="288" spans="2:8" x14ac:dyDescent="0.2">
      <c r="B288" s="23"/>
      <c r="C288" s="23"/>
      <c r="D288" s="23"/>
      <c r="E288" s="23"/>
      <c r="F288" s="23"/>
      <c r="G288" s="23"/>
      <c r="H288" s="23"/>
    </row>
    <row r="289" spans="2:8" x14ac:dyDescent="0.2">
      <c r="B289" s="23"/>
      <c r="C289" s="23"/>
      <c r="D289" s="23"/>
      <c r="E289" s="23"/>
      <c r="F289" s="23"/>
      <c r="G289" s="23"/>
      <c r="H289" s="23"/>
    </row>
    <row r="290" spans="2:8" x14ac:dyDescent="0.2">
      <c r="B290" s="23"/>
      <c r="C290" s="23"/>
      <c r="D290" s="23"/>
      <c r="E290" s="23"/>
      <c r="F290" s="23"/>
      <c r="G290" s="23"/>
      <c r="H290" s="23"/>
    </row>
    <row r="291" spans="2:8" x14ac:dyDescent="0.2">
      <c r="B291" s="23"/>
      <c r="C291" s="23"/>
      <c r="D291" s="23"/>
      <c r="E291" s="23"/>
      <c r="F291" s="23"/>
      <c r="G291" s="23"/>
      <c r="H291" s="23"/>
    </row>
    <row r="292" spans="2:8" x14ac:dyDescent="0.2">
      <c r="B292" s="23"/>
      <c r="C292" s="23"/>
      <c r="D292" s="23"/>
      <c r="E292" s="23"/>
      <c r="F292" s="23"/>
      <c r="G292" s="23"/>
      <c r="H292" s="23"/>
    </row>
    <row r="293" spans="2:8" x14ac:dyDescent="0.2">
      <c r="B293" s="23"/>
      <c r="C293" s="23"/>
      <c r="D293" s="23"/>
      <c r="E293" s="23"/>
      <c r="F293" s="23"/>
      <c r="G293" s="23"/>
      <c r="H293" s="23"/>
    </row>
    <row r="294" spans="2:8" x14ac:dyDescent="0.2">
      <c r="B294" s="23"/>
      <c r="C294" s="23"/>
      <c r="D294" s="23"/>
      <c r="E294" s="23"/>
      <c r="F294" s="23"/>
      <c r="G294" s="23"/>
      <c r="H294" s="23"/>
    </row>
    <row r="295" spans="2:8" x14ac:dyDescent="0.2">
      <c r="B295" s="23"/>
      <c r="C295" s="23"/>
      <c r="D295" s="23"/>
      <c r="E295" s="23"/>
      <c r="F295" s="23"/>
      <c r="G295" s="23"/>
      <c r="H295" s="23"/>
    </row>
    <row r="296" spans="2:8" x14ac:dyDescent="0.2">
      <c r="B296" s="23"/>
      <c r="C296" s="23"/>
      <c r="D296" s="23"/>
      <c r="E296" s="23"/>
      <c r="F296" s="23"/>
      <c r="G296" s="23"/>
      <c r="H296" s="23"/>
    </row>
    <row r="297" spans="2:8" x14ac:dyDescent="0.2">
      <c r="B297" s="23"/>
      <c r="C297" s="23"/>
      <c r="D297" s="23"/>
      <c r="E297" s="23"/>
      <c r="F297" s="23"/>
      <c r="G297" s="23"/>
      <c r="H297" s="23"/>
    </row>
    <row r="298" spans="2:8" x14ac:dyDescent="0.2">
      <c r="B298" s="23"/>
      <c r="C298" s="23"/>
      <c r="D298" s="23"/>
      <c r="E298" s="23"/>
      <c r="F298" s="23"/>
      <c r="G298" s="23"/>
      <c r="H298" s="23"/>
    </row>
    <row r="299" spans="2:8" x14ac:dyDescent="0.2">
      <c r="B299" s="23"/>
      <c r="C299" s="23"/>
      <c r="D299" s="23"/>
      <c r="E299" s="23"/>
      <c r="F299" s="23"/>
      <c r="G299" s="23"/>
      <c r="H299" s="23"/>
    </row>
    <row r="300" spans="2:8" x14ac:dyDescent="0.2">
      <c r="B300" s="23"/>
      <c r="C300" s="23"/>
      <c r="D300" s="23"/>
      <c r="E300" s="23"/>
      <c r="F300" s="23"/>
      <c r="G300" s="23"/>
      <c r="H300" s="23"/>
    </row>
    <row r="301" spans="2:8" x14ac:dyDescent="0.2">
      <c r="B301" s="23"/>
      <c r="C301" s="23"/>
      <c r="D301" s="23"/>
      <c r="E301" s="23"/>
      <c r="F301" s="23"/>
      <c r="G301" s="23"/>
      <c r="H301" s="23"/>
    </row>
    <row r="302" spans="2:8" x14ac:dyDescent="0.2">
      <c r="B302" s="23"/>
      <c r="C302" s="23"/>
      <c r="D302" s="23"/>
      <c r="E302" s="23"/>
      <c r="F302" s="23"/>
      <c r="G302" s="23"/>
      <c r="H302" s="23"/>
    </row>
    <row r="303" spans="2:8" x14ac:dyDescent="0.2">
      <c r="B303" s="23"/>
      <c r="C303" s="23"/>
      <c r="D303" s="23"/>
      <c r="E303" s="23"/>
      <c r="F303" s="23"/>
      <c r="G303" s="23"/>
      <c r="H303" s="23"/>
    </row>
    <row r="304" spans="2:8" x14ac:dyDescent="0.2">
      <c r="B304" s="23"/>
      <c r="C304" s="23"/>
      <c r="D304" s="23"/>
      <c r="E304" s="23"/>
      <c r="F304" s="23"/>
      <c r="G304" s="23"/>
      <c r="H304" s="23"/>
    </row>
    <row r="305" spans="2:8" x14ac:dyDescent="0.2">
      <c r="B305" s="23"/>
      <c r="C305" s="23"/>
      <c r="D305" s="23"/>
      <c r="E305" s="23"/>
      <c r="F305" s="23"/>
      <c r="G305" s="23"/>
      <c r="H305" s="23"/>
    </row>
    <row r="306" spans="2:8" x14ac:dyDescent="0.2">
      <c r="B306" s="23"/>
      <c r="C306" s="23"/>
      <c r="D306" s="23"/>
      <c r="E306" s="23"/>
      <c r="F306" s="23"/>
      <c r="G306" s="23"/>
      <c r="H306" s="23"/>
    </row>
    <row r="307" spans="2:8" x14ac:dyDescent="0.2">
      <c r="B307" s="23"/>
      <c r="C307" s="23"/>
      <c r="D307" s="23"/>
      <c r="E307" s="23"/>
      <c r="F307" s="23"/>
      <c r="G307" s="23"/>
      <c r="H307" s="23"/>
    </row>
    <row r="308" spans="2:8" x14ac:dyDescent="0.2">
      <c r="B308" s="23"/>
      <c r="C308" s="23"/>
      <c r="D308" s="23"/>
      <c r="E308" s="23"/>
      <c r="F308" s="23"/>
      <c r="G308" s="23"/>
      <c r="H308" s="23"/>
    </row>
    <row r="309" spans="2:8" x14ac:dyDescent="0.2">
      <c r="B309" s="23"/>
      <c r="C309" s="23"/>
      <c r="D309" s="23"/>
      <c r="E309" s="23"/>
      <c r="F309" s="23"/>
      <c r="G309" s="23"/>
      <c r="H309" s="23"/>
    </row>
    <row r="310" spans="2:8" x14ac:dyDescent="0.2">
      <c r="B310" s="23"/>
      <c r="C310" s="23"/>
      <c r="D310" s="23"/>
      <c r="E310" s="23"/>
      <c r="F310" s="23"/>
      <c r="G310" s="23"/>
      <c r="H310" s="23"/>
    </row>
    <row r="311" spans="2:8" x14ac:dyDescent="0.2">
      <c r="B311" s="23"/>
      <c r="C311" s="23"/>
      <c r="D311" s="23"/>
      <c r="E311" s="23"/>
      <c r="F311" s="23"/>
      <c r="G311" s="23"/>
      <c r="H311" s="23"/>
    </row>
    <row r="312" spans="2:8" x14ac:dyDescent="0.2">
      <c r="B312" s="23"/>
      <c r="C312" s="23"/>
      <c r="D312" s="23"/>
      <c r="E312" s="23"/>
      <c r="F312" s="23"/>
      <c r="G312" s="23"/>
      <c r="H312" s="23"/>
    </row>
    <row r="313" spans="2:8" x14ac:dyDescent="0.2">
      <c r="B313" s="23"/>
      <c r="C313" s="23"/>
      <c r="D313" s="23"/>
      <c r="E313" s="23"/>
      <c r="F313" s="23"/>
      <c r="G313" s="23"/>
      <c r="H313" s="23"/>
    </row>
    <row r="314" spans="2:8" x14ac:dyDescent="0.2">
      <c r="B314" s="23"/>
      <c r="C314" s="23"/>
      <c r="D314" s="23"/>
      <c r="E314" s="23"/>
      <c r="F314" s="23"/>
      <c r="G314" s="23"/>
      <c r="H314" s="23"/>
    </row>
    <row r="315" spans="2:8" x14ac:dyDescent="0.2">
      <c r="B315" s="23"/>
      <c r="C315" s="23"/>
      <c r="D315" s="23"/>
      <c r="E315" s="23"/>
      <c r="F315" s="23"/>
      <c r="G315" s="23"/>
      <c r="H315" s="23"/>
    </row>
    <row r="316" spans="2:8" x14ac:dyDescent="0.2">
      <c r="B316" s="23"/>
      <c r="C316" s="23"/>
      <c r="D316" s="23"/>
      <c r="E316" s="23"/>
      <c r="F316" s="23"/>
      <c r="G316" s="23"/>
      <c r="H316" s="23"/>
    </row>
    <row r="317" spans="2:8" x14ac:dyDescent="0.2">
      <c r="B317" s="23"/>
      <c r="C317" s="23"/>
      <c r="D317" s="23"/>
      <c r="E317" s="23"/>
      <c r="F317" s="23"/>
      <c r="G317" s="23"/>
      <c r="H317" s="23"/>
    </row>
    <row r="318" spans="2:8" x14ac:dyDescent="0.2">
      <c r="B318" s="23"/>
      <c r="C318" s="23"/>
      <c r="D318" s="23"/>
      <c r="E318" s="23"/>
      <c r="F318" s="23"/>
      <c r="G318" s="23"/>
      <c r="H318" s="23"/>
    </row>
    <row r="319" spans="2:8" x14ac:dyDescent="0.2">
      <c r="B319" s="23"/>
      <c r="C319" s="23"/>
      <c r="D319" s="23"/>
      <c r="E319" s="23"/>
      <c r="F319" s="23"/>
      <c r="G319" s="23"/>
      <c r="H319" s="23"/>
    </row>
    <row r="320" spans="2:8" x14ac:dyDescent="0.2">
      <c r="B320" s="23"/>
      <c r="C320" s="23"/>
      <c r="D320" s="23"/>
      <c r="E320" s="23"/>
      <c r="F320" s="23"/>
      <c r="G320" s="23"/>
      <c r="H320" s="23"/>
    </row>
    <row r="321" spans="2:8" x14ac:dyDescent="0.2">
      <c r="B321" s="23"/>
      <c r="C321" s="23"/>
      <c r="D321" s="23"/>
      <c r="E321" s="23"/>
      <c r="F321" s="23"/>
      <c r="G321" s="23"/>
      <c r="H321" s="23"/>
    </row>
    <row r="322" spans="2:8" x14ac:dyDescent="0.2">
      <c r="B322" s="23"/>
      <c r="C322" s="23"/>
      <c r="D322" s="23"/>
      <c r="E322" s="23"/>
      <c r="F322" s="23"/>
      <c r="G322" s="23"/>
      <c r="H322" s="23"/>
    </row>
    <row r="323" spans="2:8" x14ac:dyDescent="0.2">
      <c r="B323" s="23"/>
      <c r="C323" s="23"/>
      <c r="D323" s="23"/>
      <c r="E323" s="23"/>
      <c r="F323" s="23"/>
      <c r="G323" s="23"/>
      <c r="H323" s="23"/>
    </row>
    <row r="324" spans="2:8" x14ac:dyDescent="0.2">
      <c r="B324" s="23"/>
      <c r="C324" s="23"/>
      <c r="D324" s="23"/>
      <c r="E324" s="23"/>
      <c r="F324" s="23"/>
      <c r="G324" s="23"/>
      <c r="H324" s="23"/>
    </row>
    <row r="325" spans="2:8" x14ac:dyDescent="0.2">
      <c r="B325" s="23"/>
      <c r="C325" s="23"/>
      <c r="D325" s="23"/>
      <c r="E325" s="23"/>
      <c r="F325" s="23"/>
      <c r="G325" s="23"/>
      <c r="H325" s="23"/>
    </row>
    <row r="326" spans="2:8" x14ac:dyDescent="0.2">
      <c r="B326" s="23"/>
      <c r="C326" s="23"/>
      <c r="D326" s="23"/>
      <c r="E326" s="23"/>
      <c r="F326" s="23"/>
      <c r="G326" s="23"/>
      <c r="H326" s="23"/>
    </row>
    <row r="327" spans="2:8" x14ac:dyDescent="0.2">
      <c r="B327" s="23"/>
      <c r="C327" s="23"/>
      <c r="D327" s="23"/>
      <c r="E327" s="23"/>
      <c r="F327" s="23"/>
      <c r="G327" s="23"/>
      <c r="H327" s="23"/>
    </row>
    <row r="328" spans="2:8" x14ac:dyDescent="0.2">
      <c r="B328" s="23"/>
      <c r="C328" s="23"/>
      <c r="D328" s="23"/>
      <c r="E328" s="23"/>
      <c r="F328" s="23"/>
      <c r="G328" s="23"/>
      <c r="H328" s="23"/>
    </row>
    <row r="329" spans="2:8" x14ac:dyDescent="0.2">
      <c r="B329" s="23"/>
      <c r="C329" s="23"/>
      <c r="D329" s="23"/>
      <c r="E329" s="23"/>
      <c r="F329" s="23"/>
      <c r="G329" s="23"/>
      <c r="H329" s="23"/>
    </row>
    <row r="330" spans="2:8" x14ac:dyDescent="0.2">
      <c r="B330" s="23"/>
      <c r="C330" s="23"/>
      <c r="D330" s="23"/>
      <c r="E330" s="23"/>
      <c r="F330" s="23"/>
      <c r="G330" s="23"/>
      <c r="H330" s="23"/>
    </row>
    <row r="331" spans="2:8" x14ac:dyDescent="0.2">
      <c r="B331" s="23"/>
      <c r="C331" s="23"/>
      <c r="D331" s="23"/>
      <c r="E331" s="23"/>
      <c r="F331" s="23"/>
      <c r="G331" s="23"/>
      <c r="H331" s="23"/>
    </row>
    <row r="332" spans="2:8" x14ac:dyDescent="0.2">
      <c r="B332" s="23"/>
      <c r="C332" s="23"/>
      <c r="D332" s="23"/>
      <c r="E332" s="23"/>
      <c r="F332" s="23"/>
      <c r="G332" s="23"/>
      <c r="H332" s="23"/>
    </row>
    <row r="333" spans="2:8" x14ac:dyDescent="0.2">
      <c r="B333" s="23"/>
      <c r="C333" s="23"/>
      <c r="D333" s="23"/>
      <c r="E333" s="23"/>
      <c r="F333" s="23"/>
      <c r="G333" s="23"/>
      <c r="H333" s="23"/>
    </row>
    <row r="334" spans="2:8" x14ac:dyDescent="0.2">
      <c r="B334" s="23"/>
      <c r="C334" s="23"/>
      <c r="D334" s="23"/>
      <c r="E334" s="23"/>
      <c r="F334" s="23"/>
      <c r="G334" s="23"/>
      <c r="H334" s="23"/>
    </row>
    <row r="335" spans="2:8" x14ac:dyDescent="0.2">
      <c r="B335" s="23"/>
      <c r="C335" s="23"/>
      <c r="D335" s="23"/>
      <c r="E335" s="23"/>
      <c r="F335" s="23"/>
      <c r="G335" s="23"/>
      <c r="H335" s="23"/>
    </row>
    <row r="336" spans="2:8" x14ac:dyDescent="0.2">
      <c r="B336" s="23"/>
      <c r="C336" s="23"/>
      <c r="D336" s="23"/>
      <c r="E336" s="23"/>
      <c r="F336" s="23"/>
      <c r="G336" s="23"/>
      <c r="H336" s="23"/>
    </row>
    <row r="337" spans="2:8" x14ac:dyDescent="0.2">
      <c r="B337" s="23"/>
      <c r="C337" s="23"/>
      <c r="D337" s="23"/>
      <c r="E337" s="23"/>
      <c r="F337" s="23"/>
      <c r="G337" s="23"/>
      <c r="H337" s="23"/>
    </row>
    <row r="338" spans="2:8" x14ac:dyDescent="0.2">
      <c r="B338" s="23"/>
      <c r="C338" s="23"/>
      <c r="D338" s="23"/>
      <c r="E338" s="23"/>
      <c r="F338" s="23"/>
      <c r="G338" s="23"/>
      <c r="H338" s="23"/>
    </row>
    <row r="339" spans="2:8" x14ac:dyDescent="0.2">
      <c r="B339" s="23"/>
      <c r="C339" s="23"/>
      <c r="D339" s="23"/>
      <c r="E339" s="23"/>
      <c r="F339" s="23"/>
      <c r="G339" s="23"/>
      <c r="H339" s="23"/>
    </row>
    <row r="340" spans="2:8" x14ac:dyDescent="0.2">
      <c r="B340" s="23"/>
      <c r="C340" s="23"/>
      <c r="D340" s="23"/>
      <c r="E340" s="23"/>
      <c r="F340" s="23"/>
      <c r="G340" s="23"/>
      <c r="H340" s="23"/>
    </row>
    <row r="341" spans="2:8" x14ac:dyDescent="0.2">
      <c r="B341" s="23"/>
      <c r="C341" s="23"/>
      <c r="D341" s="23"/>
      <c r="E341" s="23"/>
      <c r="F341" s="23"/>
      <c r="G341" s="23"/>
      <c r="H341" s="23"/>
    </row>
    <row r="342" spans="2:8" x14ac:dyDescent="0.2">
      <c r="B342" s="23"/>
      <c r="C342" s="23"/>
      <c r="D342" s="23"/>
      <c r="E342" s="23"/>
      <c r="F342" s="23"/>
      <c r="G342" s="23"/>
      <c r="H342" s="23"/>
    </row>
    <row r="343" spans="2:8" x14ac:dyDescent="0.2">
      <c r="B343" s="23"/>
      <c r="C343" s="23"/>
      <c r="D343" s="23"/>
      <c r="E343" s="23"/>
      <c r="F343" s="23"/>
      <c r="G343" s="23"/>
      <c r="H343" s="23"/>
    </row>
    <row r="344" spans="2:8" x14ac:dyDescent="0.2">
      <c r="B344" s="23"/>
      <c r="C344" s="23"/>
      <c r="D344" s="23"/>
      <c r="E344" s="23"/>
      <c r="F344" s="23"/>
      <c r="G344" s="23"/>
      <c r="H344" s="23"/>
    </row>
    <row r="345" spans="2:8" x14ac:dyDescent="0.2">
      <c r="B345" s="23"/>
      <c r="C345" s="23"/>
      <c r="D345" s="23"/>
      <c r="E345" s="23"/>
      <c r="F345" s="23"/>
      <c r="G345" s="23"/>
      <c r="H345" s="23"/>
    </row>
    <row r="346" spans="2:8" x14ac:dyDescent="0.2">
      <c r="B346" s="23"/>
      <c r="C346" s="23"/>
      <c r="D346" s="23"/>
      <c r="E346" s="23"/>
      <c r="F346" s="23"/>
      <c r="G346" s="23"/>
      <c r="H346" s="23"/>
    </row>
    <row r="347" spans="2:8" x14ac:dyDescent="0.2">
      <c r="B347" s="23"/>
      <c r="C347" s="23"/>
      <c r="D347" s="23"/>
      <c r="E347" s="23"/>
      <c r="F347" s="23"/>
      <c r="G347" s="23"/>
      <c r="H347" s="23"/>
    </row>
    <row r="348" spans="2:8" x14ac:dyDescent="0.2">
      <c r="B348" s="23"/>
      <c r="C348" s="23"/>
      <c r="D348" s="23"/>
      <c r="E348" s="23"/>
      <c r="F348" s="23"/>
      <c r="G348" s="23"/>
      <c r="H348" s="23"/>
    </row>
    <row r="349" spans="2:8" x14ac:dyDescent="0.2">
      <c r="B349" s="23"/>
      <c r="C349" s="23"/>
      <c r="D349" s="23"/>
      <c r="E349" s="23"/>
      <c r="F349" s="23"/>
      <c r="G349" s="23"/>
      <c r="H349" s="23"/>
    </row>
    <row r="350" spans="2:8" x14ac:dyDescent="0.2">
      <c r="B350" s="23"/>
      <c r="C350" s="23"/>
      <c r="D350" s="23"/>
      <c r="E350" s="23"/>
      <c r="F350" s="23"/>
      <c r="G350" s="23"/>
      <c r="H350" s="23"/>
    </row>
    <row r="351" spans="2:8" x14ac:dyDescent="0.2">
      <c r="B351" s="23"/>
      <c r="C351" s="23"/>
      <c r="D351" s="23"/>
      <c r="E351" s="23"/>
      <c r="F351" s="23"/>
      <c r="G351" s="23"/>
      <c r="H351" s="23"/>
    </row>
    <row r="352" spans="2:8" x14ac:dyDescent="0.2">
      <c r="B352" s="23"/>
      <c r="C352" s="23"/>
      <c r="D352" s="23"/>
      <c r="E352" s="23"/>
      <c r="F352" s="23"/>
      <c r="G352" s="23"/>
      <c r="H352" s="23"/>
    </row>
    <row r="353" spans="2:8" x14ac:dyDescent="0.2">
      <c r="B353" s="23"/>
      <c r="C353" s="23"/>
      <c r="D353" s="23"/>
      <c r="E353" s="23"/>
      <c r="F353" s="23"/>
      <c r="G353" s="23"/>
      <c r="H353" s="23"/>
    </row>
    <row r="354" spans="2:8" x14ac:dyDescent="0.2">
      <c r="B354" s="23"/>
      <c r="C354" s="23"/>
      <c r="D354" s="23"/>
      <c r="E354" s="23"/>
      <c r="F354" s="23"/>
      <c r="G354" s="23"/>
      <c r="H354" s="23"/>
    </row>
    <row r="355" spans="2:8" x14ac:dyDescent="0.2">
      <c r="B355" s="23"/>
      <c r="C355" s="23"/>
      <c r="D355" s="23"/>
      <c r="E355" s="23"/>
      <c r="F355" s="23"/>
      <c r="G355" s="23"/>
      <c r="H355" s="23"/>
    </row>
    <row r="356" spans="2:8" x14ac:dyDescent="0.2">
      <c r="B356" s="23"/>
      <c r="C356" s="23"/>
      <c r="D356" s="23"/>
      <c r="E356" s="23"/>
      <c r="F356" s="23"/>
      <c r="G356" s="23"/>
      <c r="H356" s="23"/>
    </row>
    <row r="357" spans="2:8" x14ac:dyDescent="0.2">
      <c r="B357" s="23"/>
      <c r="C357" s="23"/>
      <c r="D357" s="23"/>
      <c r="E357" s="23"/>
      <c r="F357" s="23"/>
      <c r="G357" s="23"/>
      <c r="H357" s="23"/>
    </row>
    <row r="358" spans="2:8" x14ac:dyDescent="0.2">
      <c r="B358" s="23"/>
      <c r="C358" s="23"/>
      <c r="D358" s="23"/>
      <c r="E358" s="23"/>
      <c r="F358" s="23"/>
      <c r="G358" s="23"/>
      <c r="H358" s="23"/>
    </row>
    <row r="359" spans="2:8" x14ac:dyDescent="0.2">
      <c r="B359" s="23"/>
      <c r="C359" s="23"/>
      <c r="D359" s="23"/>
      <c r="E359" s="23"/>
      <c r="F359" s="23"/>
      <c r="G359" s="23"/>
      <c r="H359" s="23"/>
    </row>
    <row r="360" spans="2:8" x14ac:dyDescent="0.2">
      <c r="B360" s="23"/>
      <c r="C360" s="23"/>
      <c r="D360" s="23"/>
      <c r="E360" s="23"/>
      <c r="F360" s="23"/>
      <c r="G360" s="23"/>
      <c r="H360" s="23"/>
    </row>
    <row r="361" spans="2:8" x14ac:dyDescent="0.2">
      <c r="B361" s="23"/>
      <c r="C361" s="23"/>
      <c r="D361" s="23"/>
      <c r="E361" s="23"/>
      <c r="F361" s="23"/>
      <c r="G361" s="23"/>
      <c r="H361" s="23"/>
    </row>
    <row r="362" spans="2:8" x14ac:dyDescent="0.2">
      <c r="B362" s="23"/>
      <c r="C362" s="23"/>
      <c r="D362" s="23"/>
      <c r="E362" s="23"/>
      <c r="F362" s="23"/>
      <c r="G362" s="23"/>
      <c r="H362" s="23"/>
    </row>
    <row r="363" spans="2:8" x14ac:dyDescent="0.2">
      <c r="B363" s="23"/>
      <c r="C363" s="23"/>
      <c r="D363" s="23"/>
      <c r="E363" s="23"/>
      <c r="F363" s="23"/>
      <c r="G363" s="23"/>
      <c r="H363" s="23"/>
    </row>
    <row r="364" spans="2:8" x14ac:dyDescent="0.2">
      <c r="B364" s="23"/>
      <c r="C364" s="23"/>
      <c r="D364" s="23"/>
      <c r="E364" s="23"/>
      <c r="F364" s="23"/>
      <c r="G364" s="23"/>
      <c r="H364" s="23"/>
    </row>
    <row r="365" spans="2:8" x14ac:dyDescent="0.2">
      <c r="B365" s="23"/>
      <c r="C365" s="23"/>
      <c r="D365" s="23"/>
      <c r="E365" s="23"/>
      <c r="F365" s="23"/>
      <c r="G365" s="23"/>
      <c r="H365" s="23"/>
    </row>
    <row r="366" spans="2:8" x14ac:dyDescent="0.2">
      <c r="B366" s="23"/>
      <c r="C366" s="23"/>
      <c r="D366" s="23"/>
      <c r="E366" s="23"/>
      <c r="F366" s="23"/>
      <c r="G366" s="23"/>
      <c r="H366" s="23"/>
    </row>
    <row r="367" spans="2:8" x14ac:dyDescent="0.2">
      <c r="B367" s="23"/>
      <c r="C367" s="23"/>
      <c r="D367" s="23"/>
      <c r="E367" s="23"/>
      <c r="F367" s="23"/>
      <c r="G367" s="23"/>
      <c r="H367" s="23"/>
    </row>
    <row r="368" spans="2:8" x14ac:dyDescent="0.2">
      <c r="B368" s="23"/>
      <c r="C368" s="23"/>
      <c r="D368" s="23"/>
      <c r="E368" s="23"/>
      <c r="F368" s="23"/>
      <c r="G368" s="23"/>
      <c r="H368" s="23"/>
    </row>
    <row r="369" spans="2:8" x14ac:dyDescent="0.2">
      <c r="B369" s="23"/>
      <c r="C369" s="23"/>
      <c r="D369" s="23"/>
      <c r="E369" s="23"/>
      <c r="F369" s="23"/>
      <c r="G369" s="23"/>
      <c r="H369" s="23"/>
    </row>
    <row r="370" spans="2:8" x14ac:dyDescent="0.2">
      <c r="B370" s="23"/>
      <c r="C370" s="23"/>
      <c r="D370" s="23"/>
      <c r="E370" s="23"/>
      <c r="F370" s="23"/>
      <c r="G370" s="23"/>
      <c r="H370" s="23"/>
    </row>
    <row r="371" spans="2:8" x14ac:dyDescent="0.2">
      <c r="B371" s="23"/>
      <c r="C371" s="23"/>
      <c r="D371" s="23"/>
      <c r="E371" s="23"/>
      <c r="F371" s="23"/>
      <c r="G371" s="23"/>
      <c r="H371" s="23"/>
    </row>
    <row r="372" spans="2:8" x14ac:dyDescent="0.2">
      <c r="B372" s="23"/>
      <c r="C372" s="23"/>
      <c r="D372" s="23"/>
      <c r="E372" s="23"/>
      <c r="F372" s="23"/>
      <c r="G372" s="23"/>
      <c r="H372" s="23"/>
    </row>
    <row r="373" spans="2:8" x14ac:dyDescent="0.2">
      <c r="B373" s="23"/>
      <c r="C373" s="23"/>
      <c r="D373" s="23"/>
      <c r="E373" s="23"/>
      <c r="F373" s="23"/>
      <c r="G373" s="23"/>
      <c r="H373" s="23"/>
    </row>
    <row r="374" spans="2:8" x14ac:dyDescent="0.2">
      <c r="B374" s="23"/>
      <c r="C374" s="23"/>
      <c r="D374" s="23"/>
      <c r="E374" s="23"/>
      <c r="F374" s="23"/>
      <c r="G374" s="23"/>
      <c r="H374" s="23"/>
    </row>
    <row r="375" spans="2:8" x14ac:dyDescent="0.2">
      <c r="B375" s="23"/>
      <c r="C375" s="23"/>
      <c r="D375" s="23"/>
      <c r="E375" s="23"/>
      <c r="F375" s="23"/>
      <c r="G375" s="23"/>
      <c r="H375" s="23"/>
    </row>
    <row r="376" spans="2:8" x14ac:dyDescent="0.2">
      <c r="B376" s="23"/>
      <c r="C376" s="23"/>
      <c r="D376" s="23"/>
      <c r="E376" s="23"/>
      <c r="F376" s="23"/>
      <c r="G376" s="23"/>
      <c r="H376" s="23"/>
    </row>
    <row r="377" spans="2:8" x14ac:dyDescent="0.2">
      <c r="B377" s="23"/>
      <c r="C377" s="23"/>
      <c r="D377" s="23"/>
      <c r="E377" s="23"/>
      <c r="F377" s="23"/>
      <c r="G377" s="23"/>
      <c r="H377" s="23"/>
    </row>
    <row r="378" spans="2:8" x14ac:dyDescent="0.2">
      <c r="B378" s="23"/>
      <c r="C378" s="23"/>
      <c r="D378" s="23"/>
      <c r="E378" s="23"/>
      <c r="F378" s="23"/>
      <c r="G378" s="23"/>
      <c r="H378" s="23"/>
    </row>
    <row r="379" spans="2:8" x14ac:dyDescent="0.2">
      <c r="B379" s="23"/>
      <c r="C379" s="23"/>
      <c r="D379" s="23"/>
      <c r="E379" s="23"/>
      <c r="F379" s="23"/>
      <c r="G379" s="23"/>
      <c r="H379" s="23"/>
    </row>
    <row r="380" spans="2:8" x14ac:dyDescent="0.2">
      <c r="B380" s="23"/>
      <c r="C380" s="23"/>
      <c r="D380" s="23"/>
      <c r="E380" s="23"/>
      <c r="F380" s="23"/>
      <c r="G380" s="23"/>
      <c r="H380" s="23"/>
    </row>
    <row r="381" spans="2:8" x14ac:dyDescent="0.2">
      <c r="B381" s="23"/>
      <c r="C381" s="23"/>
      <c r="D381" s="23"/>
      <c r="E381" s="23"/>
      <c r="F381" s="23"/>
      <c r="G381" s="23"/>
      <c r="H381" s="23"/>
    </row>
    <row r="382" spans="2:8" x14ac:dyDescent="0.2">
      <c r="B382" s="23"/>
      <c r="C382" s="23"/>
      <c r="D382" s="23"/>
      <c r="E382" s="23"/>
      <c r="F382" s="23"/>
      <c r="G382" s="23"/>
      <c r="H382" s="23"/>
    </row>
    <row r="383" spans="2:8" x14ac:dyDescent="0.2">
      <c r="B383" s="23"/>
      <c r="C383" s="23"/>
      <c r="D383" s="23"/>
      <c r="E383" s="23"/>
      <c r="F383" s="23"/>
      <c r="G383" s="23"/>
      <c r="H383" s="23"/>
    </row>
    <row r="384" spans="2:8" x14ac:dyDescent="0.2">
      <c r="B384" s="23"/>
      <c r="C384" s="23"/>
      <c r="D384" s="23"/>
      <c r="E384" s="23"/>
      <c r="F384" s="23"/>
      <c r="G384" s="23"/>
      <c r="H384" s="23"/>
    </row>
    <row r="385" spans="2:8" x14ac:dyDescent="0.2">
      <c r="B385" s="23"/>
      <c r="C385" s="23"/>
      <c r="D385" s="23"/>
      <c r="E385" s="23"/>
      <c r="F385" s="23"/>
      <c r="G385" s="23"/>
      <c r="H385" s="23"/>
    </row>
    <row r="386" spans="2:8" x14ac:dyDescent="0.2">
      <c r="B386" s="23"/>
      <c r="C386" s="23"/>
      <c r="D386" s="23"/>
      <c r="E386" s="23"/>
      <c r="F386" s="23"/>
      <c r="G386" s="23"/>
      <c r="H386" s="23"/>
    </row>
    <row r="387" spans="2:8" x14ac:dyDescent="0.2">
      <c r="B387" s="23"/>
      <c r="C387" s="23"/>
      <c r="D387" s="23"/>
      <c r="E387" s="23"/>
      <c r="F387" s="23"/>
      <c r="G387" s="23"/>
      <c r="H387" s="23"/>
    </row>
    <row r="388" spans="2:8" x14ac:dyDescent="0.2">
      <c r="B388" s="23"/>
      <c r="C388" s="23"/>
      <c r="D388" s="23"/>
      <c r="E388" s="23"/>
      <c r="F388" s="23"/>
      <c r="G388" s="23"/>
      <c r="H388" s="23"/>
    </row>
    <row r="389" spans="2:8" x14ac:dyDescent="0.2">
      <c r="B389" s="23"/>
      <c r="C389" s="23"/>
      <c r="D389" s="23"/>
      <c r="E389" s="23"/>
      <c r="F389" s="23"/>
      <c r="G389" s="23"/>
      <c r="H389" s="23"/>
    </row>
    <row r="390" spans="2:8" x14ac:dyDescent="0.2">
      <c r="B390" s="23"/>
      <c r="C390" s="23"/>
      <c r="D390" s="23"/>
      <c r="E390" s="23"/>
      <c r="F390" s="23"/>
      <c r="G390" s="23"/>
      <c r="H390" s="23"/>
    </row>
    <row r="391" spans="2:8" x14ac:dyDescent="0.2">
      <c r="B391" s="23"/>
      <c r="C391" s="23"/>
      <c r="D391" s="23"/>
      <c r="E391" s="23"/>
      <c r="F391" s="23"/>
      <c r="G391" s="23"/>
      <c r="H391" s="23"/>
    </row>
    <row r="392" spans="2:8" x14ac:dyDescent="0.2">
      <c r="B392" s="23"/>
      <c r="C392" s="23"/>
      <c r="D392" s="23"/>
      <c r="E392" s="23"/>
      <c r="F392" s="23"/>
      <c r="G392" s="23"/>
      <c r="H392" s="23"/>
    </row>
    <row r="393" spans="2:8" x14ac:dyDescent="0.2">
      <c r="B393" s="23"/>
      <c r="C393" s="23"/>
      <c r="D393" s="23"/>
      <c r="E393" s="23"/>
      <c r="F393" s="23"/>
      <c r="G393" s="23"/>
      <c r="H393" s="23"/>
    </row>
    <row r="394" spans="2:8" x14ac:dyDescent="0.2">
      <c r="B394" s="23"/>
      <c r="C394" s="23"/>
      <c r="D394" s="23"/>
      <c r="E394" s="23"/>
      <c r="F394" s="23"/>
      <c r="G394" s="23"/>
      <c r="H394" s="23"/>
    </row>
    <row r="395" spans="2:8" x14ac:dyDescent="0.2">
      <c r="B395" s="23"/>
      <c r="C395" s="23"/>
      <c r="D395" s="23"/>
      <c r="E395" s="23"/>
      <c r="F395" s="23"/>
      <c r="G395" s="23"/>
      <c r="H395" s="23"/>
    </row>
    <row r="396" spans="2:8" x14ac:dyDescent="0.2">
      <c r="B396" s="23"/>
      <c r="C396" s="23"/>
      <c r="D396" s="23"/>
      <c r="E396" s="23"/>
      <c r="F396" s="23"/>
      <c r="G396" s="23"/>
      <c r="H396" s="23"/>
    </row>
    <row r="397" spans="2:8" x14ac:dyDescent="0.2">
      <c r="B397" s="23"/>
      <c r="C397" s="23"/>
      <c r="D397" s="23"/>
      <c r="E397" s="23"/>
      <c r="F397" s="23"/>
      <c r="G397" s="23"/>
      <c r="H397" s="23"/>
    </row>
    <row r="398" spans="2:8" x14ac:dyDescent="0.2">
      <c r="B398" s="23"/>
      <c r="C398" s="23"/>
      <c r="D398" s="23"/>
      <c r="E398" s="23"/>
      <c r="F398" s="23"/>
      <c r="G398" s="23"/>
      <c r="H398" s="23"/>
    </row>
    <row r="399" spans="2:8" x14ac:dyDescent="0.2">
      <c r="B399" s="23"/>
      <c r="C399" s="23"/>
      <c r="D399" s="23"/>
      <c r="E399" s="23"/>
      <c r="F399" s="23"/>
      <c r="G399" s="23"/>
      <c r="H399" s="23"/>
    </row>
    <row r="400" spans="2:8" x14ac:dyDescent="0.2">
      <c r="B400" s="23"/>
      <c r="C400" s="23"/>
      <c r="D400" s="23"/>
      <c r="E400" s="23"/>
      <c r="F400" s="23"/>
      <c r="G400" s="23"/>
      <c r="H400" s="23"/>
    </row>
    <row r="401" spans="2:8" x14ac:dyDescent="0.2">
      <c r="B401" s="23"/>
      <c r="C401" s="23"/>
      <c r="D401" s="23"/>
      <c r="E401" s="23"/>
      <c r="F401" s="23"/>
      <c r="G401" s="23"/>
      <c r="H401" s="23"/>
    </row>
    <row r="402" spans="2:8" x14ac:dyDescent="0.2">
      <c r="B402" s="23"/>
      <c r="C402" s="23"/>
      <c r="D402" s="23"/>
      <c r="E402" s="23"/>
      <c r="F402" s="23"/>
      <c r="G402" s="23"/>
      <c r="H402" s="23"/>
    </row>
    <row r="403" spans="2:8" x14ac:dyDescent="0.2">
      <c r="B403" s="23"/>
      <c r="C403" s="23"/>
      <c r="D403" s="23"/>
      <c r="E403" s="23"/>
      <c r="F403" s="23"/>
      <c r="G403" s="23"/>
      <c r="H403" s="23"/>
    </row>
    <row r="404" spans="2:8" x14ac:dyDescent="0.2">
      <c r="B404" s="23"/>
      <c r="C404" s="23"/>
      <c r="D404" s="23"/>
      <c r="E404" s="23"/>
      <c r="F404" s="23"/>
      <c r="G404" s="23"/>
      <c r="H404" s="23"/>
    </row>
    <row r="405" spans="2:8" x14ac:dyDescent="0.2">
      <c r="B405" s="23"/>
      <c r="C405" s="23"/>
      <c r="D405" s="23"/>
      <c r="E405" s="23"/>
      <c r="F405" s="23"/>
      <c r="G405" s="23"/>
      <c r="H405" s="23"/>
    </row>
    <row r="406" spans="2:8" x14ac:dyDescent="0.2">
      <c r="B406" s="23"/>
      <c r="C406" s="23"/>
      <c r="D406" s="23"/>
      <c r="E406" s="23"/>
      <c r="F406" s="23"/>
      <c r="G406" s="23"/>
      <c r="H406" s="23"/>
    </row>
    <row r="407" spans="2:8" x14ac:dyDescent="0.2">
      <c r="B407" s="23"/>
      <c r="C407" s="23"/>
      <c r="D407" s="23"/>
      <c r="E407" s="23"/>
      <c r="F407" s="23"/>
      <c r="G407" s="23"/>
      <c r="H407" s="23"/>
    </row>
    <row r="408" spans="2:8" x14ac:dyDescent="0.2">
      <c r="B408" s="23"/>
      <c r="C408" s="23"/>
      <c r="D408" s="23"/>
      <c r="E408" s="23"/>
      <c r="F408" s="23"/>
      <c r="G408" s="23"/>
      <c r="H408" s="23"/>
    </row>
    <row r="409" spans="2:8" x14ac:dyDescent="0.2">
      <c r="B409" s="23"/>
      <c r="C409" s="23"/>
      <c r="D409" s="23"/>
      <c r="E409" s="23"/>
      <c r="F409" s="23"/>
      <c r="G409" s="23"/>
      <c r="H409" s="23"/>
    </row>
    <row r="410" spans="2:8" x14ac:dyDescent="0.2">
      <c r="B410" s="23"/>
      <c r="C410" s="23"/>
      <c r="D410" s="23"/>
      <c r="E410" s="23"/>
      <c r="F410" s="23"/>
      <c r="G410" s="23"/>
      <c r="H410" s="23"/>
    </row>
    <row r="411" spans="2:8" x14ac:dyDescent="0.2">
      <c r="B411" s="23"/>
      <c r="C411" s="23"/>
      <c r="D411" s="23"/>
      <c r="E411" s="23"/>
      <c r="F411" s="23"/>
      <c r="G411" s="23"/>
      <c r="H411" s="23"/>
    </row>
    <row r="412" spans="2:8" x14ac:dyDescent="0.2">
      <c r="B412" s="23"/>
      <c r="C412" s="23"/>
      <c r="D412" s="23"/>
      <c r="E412" s="23"/>
      <c r="F412" s="23"/>
      <c r="G412" s="23"/>
      <c r="H412" s="23"/>
    </row>
    <row r="413" spans="2:8" x14ac:dyDescent="0.2">
      <c r="B413" s="23"/>
      <c r="C413" s="23"/>
      <c r="D413" s="23"/>
      <c r="E413" s="23"/>
      <c r="F413" s="23"/>
      <c r="G413" s="23"/>
      <c r="H413" s="23"/>
    </row>
    <row r="414" spans="2:8" x14ac:dyDescent="0.2">
      <c r="B414" s="23"/>
      <c r="C414" s="23"/>
      <c r="D414" s="23"/>
      <c r="E414" s="23"/>
      <c r="F414" s="23"/>
      <c r="G414" s="23"/>
      <c r="H414" s="23"/>
    </row>
    <row r="415" spans="2:8" x14ac:dyDescent="0.2">
      <c r="B415" s="23"/>
      <c r="C415" s="23"/>
      <c r="D415" s="23"/>
      <c r="E415" s="23"/>
      <c r="F415" s="23"/>
      <c r="G415" s="23"/>
      <c r="H415" s="23"/>
    </row>
    <row r="416" spans="2:8" x14ac:dyDescent="0.2">
      <c r="B416" s="23"/>
      <c r="C416" s="23"/>
      <c r="D416" s="23"/>
      <c r="E416" s="23"/>
      <c r="F416" s="23"/>
      <c r="G416" s="23"/>
      <c r="H416" s="23"/>
    </row>
    <row r="417" spans="2:8" x14ac:dyDescent="0.2">
      <c r="B417" s="23"/>
      <c r="C417" s="23"/>
      <c r="D417" s="23"/>
      <c r="E417" s="23"/>
      <c r="F417" s="23"/>
      <c r="G417" s="23"/>
      <c r="H417" s="23"/>
    </row>
    <row r="418" spans="2:8" x14ac:dyDescent="0.2">
      <c r="B418" s="23"/>
      <c r="C418" s="23"/>
      <c r="D418" s="23"/>
      <c r="E418" s="23"/>
      <c r="F418" s="23"/>
      <c r="G418" s="23"/>
      <c r="H418" s="23"/>
    </row>
    <row r="419" spans="2:8" x14ac:dyDescent="0.2">
      <c r="B419" s="23"/>
      <c r="C419" s="23"/>
      <c r="D419" s="23"/>
      <c r="E419" s="23"/>
      <c r="F419" s="23"/>
      <c r="G419" s="23"/>
      <c r="H419" s="23"/>
    </row>
    <row r="420" spans="2:8" x14ac:dyDescent="0.2">
      <c r="B420" s="23"/>
      <c r="C420" s="23"/>
      <c r="D420" s="23"/>
      <c r="E420" s="23"/>
      <c r="F420" s="23"/>
      <c r="G420" s="23"/>
      <c r="H420" s="23"/>
    </row>
    <row r="421" spans="2:8" x14ac:dyDescent="0.2">
      <c r="B421" s="23"/>
      <c r="C421" s="23"/>
      <c r="D421" s="23"/>
      <c r="E421" s="23"/>
      <c r="F421" s="23"/>
      <c r="G421" s="23"/>
      <c r="H421" s="23"/>
    </row>
    <row r="422" spans="2:8" x14ac:dyDescent="0.2">
      <c r="B422" s="23"/>
      <c r="C422" s="23"/>
      <c r="D422" s="23"/>
      <c r="E422" s="23"/>
      <c r="F422" s="23"/>
      <c r="G422" s="23"/>
      <c r="H422" s="23"/>
    </row>
    <row r="423" spans="2:8" x14ac:dyDescent="0.2">
      <c r="B423" s="23"/>
      <c r="C423" s="23"/>
      <c r="D423" s="23"/>
      <c r="E423" s="23"/>
      <c r="F423" s="23"/>
      <c r="G423" s="23"/>
      <c r="H423" s="23"/>
    </row>
    <row r="424" spans="2:8" x14ac:dyDescent="0.2">
      <c r="B424" s="23"/>
      <c r="C424" s="23"/>
      <c r="D424" s="23"/>
      <c r="E424" s="23"/>
      <c r="F424" s="23"/>
      <c r="G424" s="23"/>
      <c r="H424" s="23"/>
    </row>
    <row r="425" spans="2:8" x14ac:dyDescent="0.2">
      <c r="B425" s="23"/>
      <c r="C425" s="23"/>
      <c r="D425" s="23"/>
      <c r="E425" s="23"/>
      <c r="F425" s="23"/>
      <c r="G425" s="23"/>
      <c r="H425" s="23"/>
    </row>
    <row r="426" spans="2:8" x14ac:dyDescent="0.2">
      <c r="B426" s="23"/>
      <c r="C426" s="23"/>
      <c r="D426" s="23"/>
      <c r="E426" s="23"/>
      <c r="F426" s="23"/>
      <c r="G426" s="23"/>
      <c r="H426" s="23"/>
    </row>
    <row r="427" spans="2:8" x14ac:dyDescent="0.2">
      <c r="B427" s="23"/>
      <c r="C427" s="23"/>
      <c r="D427" s="23"/>
      <c r="E427" s="23"/>
      <c r="F427" s="23"/>
      <c r="G427" s="23"/>
      <c r="H427" s="23"/>
    </row>
    <row r="428" spans="2:8" x14ac:dyDescent="0.2">
      <c r="B428" s="23"/>
      <c r="C428" s="23"/>
      <c r="D428" s="23"/>
      <c r="E428" s="23"/>
      <c r="F428" s="23"/>
      <c r="G428" s="23"/>
      <c r="H428" s="23"/>
    </row>
    <row r="429" spans="2:8" x14ac:dyDescent="0.2">
      <c r="B429" s="23"/>
      <c r="C429" s="23"/>
      <c r="D429" s="23"/>
      <c r="E429" s="23"/>
      <c r="F429" s="23"/>
      <c r="G429" s="23"/>
      <c r="H429" s="23"/>
    </row>
    <row r="430" spans="2:8" x14ac:dyDescent="0.2">
      <c r="B430" s="23"/>
      <c r="C430" s="23"/>
      <c r="D430" s="23"/>
      <c r="E430" s="23"/>
      <c r="F430" s="23"/>
      <c r="G430" s="23"/>
      <c r="H430" s="23"/>
    </row>
    <row r="431" spans="2:8" x14ac:dyDescent="0.2">
      <c r="B431" s="23"/>
      <c r="C431" s="23"/>
      <c r="D431" s="23"/>
      <c r="E431" s="23"/>
      <c r="F431" s="23"/>
      <c r="G431" s="23"/>
      <c r="H431" s="23"/>
    </row>
    <row r="432" spans="2:8" x14ac:dyDescent="0.2">
      <c r="B432" s="23"/>
      <c r="C432" s="23"/>
      <c r="D432" s="23"/>
      <c r="E432" s="23"/>
      <c r="F432" s="23"/>
      <c r="G432" s="23"/>
      <c r="H432" s="23"/>
    </row>
    <row r="433" spans="2:8" x14ac:dyDescent="0.2">
      <c r="B433" s="23"/>
      <c r="C433" s="23"/>
      <c r="D433" s="23"/>
      <c r="E433" s="23"/>
      <c r="F433" s="23"/>
      <c r="G433" s="23"/>
      <c r="H433" s="23"/>
    </row>
    <row r="434" spans="2:8" x14ac:dyDescent="0.2">
      <c r="B434" s="23"/>
      <c r="C434" s="23"/>
      <c r="D434" s="23"/>
      <c r="E434" s="23"/>
      <c r="F434" s="23"/>
      <c r="G434" s="23"/>
      <c r="H434" s="23"/>
    </row>
    <row r="435" spans="2:8" x14ac:dyDescent="0.2">
      <c r="B435" s="23"/>
      <c r="C435" s="23"/>
      <c r="D435" s="23"/>
      <c r="E435" s="23"/>
      <c r="F435" s="23"/>
      <c r="G435" s="23"/>
      <c r="H435" s="23"/>
    </row>
    <row r="436" spans="2:8" x14ac:dyDescent="0.2">
      <c r="B436" s="23"/>
      <c r="C436" s="23"/>
      <c r="D436" s="23"/>
      <c r="E436" s="23"/>
      <c r="F436" s="23"/>
      <c r="G436" s="23"/>
      <c r="H436" s="23"/>
    </row>
    <row r="437" spans="2:8" x14ac:dyDescent="0.2">
      <c r="B437" s="23"/>
      <c r="C437" s="23"/>
      <c r="D437" s="23"/>
      <c r="E437" s="23"/>
      <c r="F437" s="23"/>
      <c r="G437" s="23"/>
      <c r="H437" s="23"/>
    </row>
    <row r="438" spans="2:8" x14ac:dyDescent="0.2">
      <c r="B438" s="23"/>
      <c r="C438" s="23"/>
      <c r="D438" s="23"/>
      <c r="E438" s="23"/>
      <c r="F438" s="23"/>
      <c r="G438" s="23"/>
      <c r="H438" s="23"/>
    </row>
    <row r="439" spans="2:8" x14ac:dyDescent="0.2">
      <c r="B439" s="23"/>
      <c r="C439" s="23"/>
      <c r="D439" s="23"/>
      <c r="E439" s="23"/>
      <c r="F439" s="23"/>
      <c r="G439" s="23"/>
      <c r="H439" s="23"/>
    </row>
    <row r="440" spans="2:8" x14ac:dyDescent="0.2">
      <c r="B440" s="23"/>
      <c r="C440" s="23"/>
      <c r="D440" s="23"/>
      <c r="E440" s="23"/>
      <c r="F440" s="23"/>
      <c r="G440" s="23"/>
      <c r="H440" s="23"/>
    </row>
    <row r="441" spans="2:8" x14ac:dyDescent="0.2">
      <c r="B441" s="23"/>
      <c r="C441" s="23"/>
      <c r="D441" s="23"/>
      <c r="E441" s="23"/>
      <c r="F441" s="23"/>
      <c r="G441" s="23"/>
      <c r="H441" s="23"/>
    </row>
    <row r="442" spans="2:8" x14ac:dyDescent="0.2">
      <c r="B442" s="23"/>
      <c r="C442" s="23"/>
      <c r="D442" s="23"/>
      <c r="E442" s="23"/>
      <c r="F442" s="23"/>
      <c r="G442" s="23"/>
      <c r="H442" s="23"/>
    </row>
    <row r="443" spans="2:8" x14ac:dyDescent="0.2">
      <c r="B443" s="23"/>
      <c r="C443" s="23"/>
      <c r="D443" s="23"/>
      <c r="E443" s="23"/>
      <c r="F443" s="23"/>
      <c r="G443" s="23"/>
      <c r="H443" s="23"/>
    </row>
    <row r="444" spans="2:8" x14ac:dyDescent="0.2">
      <c r="B444" s="23"/>
      <c r="C444" s="23"/>
      <c r="D444" s="23"/>
      <c r="E444" s="23"/>
      <c r="F444" s="23"/>
      <c r="G444" s="23"/>
      <c r="H444" s="23"/>
    </row>
    <row r="445" spans="2:8" x14ac:dyDescent="0.2">
      <c r="B445" s="23"/>
      <c r="C445" s="23"/>
      <c r="D445" s="23"/>
      <c r="E445" s="23"/>
      <c r="F445" s="23"/>
      <c r="G445" s="23"/>
      <c r="H445" s="23"/>
    </row>
    <row r="446" spans="2:8" x14ac:dyDescent="0.2">
      <c r="B446" s="23"/>
      <c r="C446" s="23"/>
      <c r="D446" s="23"/>
      <c r="E446" s="23"/>
      <c r="F446" s="23"/>
      <c r="G446" s="23"/>
      <c r="H446" s="23"/>
    </row>
    <row r="447" spans="2:8" x14ac:dyDescent="0.2">
      <c r="B447" s="23"/>
      <c r="C447" s="23"/>
      <c r="D447" s="23"/>
      <c r="E447" s="23"/>
      <c r="F447" s="23"/>
      <c r="G447" s="23"/>
      <c r="H447" s="23"/>
    </row>
    <row r="448" spans="2:8" x14ac:dyDescent="0.2">
      <c r="B448" s="23"/>
      <c r="C448" s="23"/>
      <c r="D448" s="23"/>
      <c r="E448" s="23"/>
      <c r="F448" s="23"/>
      <c r="G448" s="23"/>
      <c r="H448" s="23"/>
    </row>
    <row r="449" spans="2:8" x14ac:dyDescent="0.2">
      <c r="B449" s="23"/>
      <c r="C449" s="23"/>
      <c r="D449" s="23"/>
      <c r="E449" s="23"/>
      <c r="F449" s="23"/>
      <c r="G449" s="23"/>
      <c r="H449" s="23"/>
    </row>
    <row r="450" spans="2:8" x14ac:dyDescent="0.2">
      <c r="B450" s="23"/>
      <c r="C450" s="23"/>
      <c r="D450" s="23"/>
      <c r="E450" s="23"/>
      <c r="F450" s="23"/>
      <c r="G450" s="23"/>
      <c r="H450" s="23"/>
    </row>
    <row r="451" spans="2:8" x14ac:dyDescent="0.2">
      <c r="B451" s="23"/>
      <c r="C451" s="23"/>
      <c r="D451" s="23"/>
      <c r="E451" s="23"/>
      <c r="F451" s="23"/>
      <c r="G451" s="23"/>
      <c r="H451" s="23"/>
    </row>
    <row r="452" spans="2:8" x14ac:dyDescent="0.2">
      <c r="B452" s="23"/>
      <c r="C452" s="23"/>
      <c r="D452" s="23"/>
      <c r="E452" s="23"/>
      <c r="F452" s="23"/>
      <c r="G452" s="23"/>
      <c r="H452" s="23"/>
    </row>
    <row r="453" spans="2:8" x14ac:dyDescent="0.2">
      <c r="B453" s="23"/>
      <c r="C453" s="23"/>
      <c r="D453" s="23"/>
      <c r="E453" s="23"/>
      <c r="F453" s="23"/>
      <c r="G453" s="23"/>
      <c r="H453" s="23"/>
    </row>
    <row r="454" spans="2:8" x14ac:dyDescent="0.2">
      <c r="B454" s="23"/>
      <c r="C454" s="23"/>
      <c r="D454" s="23"/>
      <c r="E454" s="23"/>
      <c r="F454" s="23"/>
      <c r="G454" s="23"/>
      <c r="H454" s="23"/>
    </row>
    <row r="455" spans="2:8" x14ac:dyDescent="0.2">
      <c r="B455" s="23"/>
      <c r="C455" s="23"/>
      <c r="D455" s="23"/>
      <c r="E455" s="23"/>
      <c r="F455" s="23"/>
      <c r="G455" s="23"/>
      <c r="H455" s="23"/>
    </row>
    <row r="456" spans="2:8" x14ac:dyDescent="0.2">
      <c r="B456" s="23"/>
      <c r="C456" s="23"/>
      <c r="D456" s="23"/>
      <c r="E456" s="23"/>
      <c r="F456" s="23"/>
      <c r="G456" s="23"/>
      <c r="H456" s="23"/>
    </row>
    <row r="457" spans="2:8" x14ac:dyDescent="0.2">
      <c r="B457" s="23"/>
      <c r="C457" s="23"/>
      <c r="D457" s="23"/>
      <c r="E457" s="23"/>
      <c r="F457" s="23"/>
      <c r="G457" s="23"/>
      <c r="H457" s="23"/>
    </row>
    <row r="458" spans="2:8" x14ac:dyDescent="0.2">
      <c r="B458" s="23"/>
      <c r="C458" s="23"/>
      <c r="D458" s="23"/>
      <c r="E458" s="23"/>
      <c r="F458" s="23"/>
      <c r="G458" s="23"/>
      <c r="H458" s="23"/>
    </row>
    <row r="459" spans="2:8" x14ac:dyDescent="0.2">
      <c r="B459" s="23"/>
      <c r="C459" s="23"/>
      <c r="D459" s="23"/>
      <c r="E459" s="23"/>
      <c r="F459" s="23"/>
      <c r="G459" s="23"/>
      <c r="H459" s="23"/>
    </row>
    <row r="460" spans="2:8" x14ac:dyDescent="0.2">
      <c r="B460" s="23"/>
      <c r="C460" s="23"/>
      <c r="D460" s="23"/>
      <c r="E460" s="23"/>
      <c r="F460" s="23"/>
      <c r="G460" s="23"/>
      <c r="H460" s="23"/>
    </row>
    <row r="461" spans="2:8" x14ac:dyDescent="0.2">
      <c r="B461" s="23"/>
      <c r="C461" s="23"/>
      <c r="D461" s="23"/>
      <c r="E461" s="23"/>
      <c r="F461" s="23"/>
      <c r="G461" s="23"/>
      <c r="H461" s="23"/>
    </row>
    <row r="462" spans="2:8" x14ac:dyDescent="0.2">
      <c r="B462" s="23"/>
      <c r="C462" s="23"/>
      <c r="D462" s="23"/>
      <c r="E462" s="23"/>
      <c r="F462" s="23"/>
      <c r="G462" s="23"/>
      <c r="H462" s="23"/>
    </row>
    <row r="463" spans="2:8" x14ac:dyDescent="0.2">
      <c r="B463" s="23"/>
      <c r="C463" s="23"/>
      <c r="D463" s="23"/>
      <c r="E463" s="23"/>
      <c r="F463" s="23"/>
      <c r="G463" s="23"/>
      <c r="H463" s="23"/>
    </row>
    <row r="464" spans="2:8" x14ac:dyDescent="0.2">
      <c r="B464" s="23"/>
      <c r="C464" s="23"/>
      <c r="D464" s="23"/>
      <c r="E464" s="23"/>
      <c r="F464" s="23"/>
      <c r="G464" s="23"/>
      <c r="H464" s="23"/>
    </row>
    <row r="465" spans="2:8" x14ac:dyDescent="0.2">
      <c r="B465" s="23"/>
      <c r="C465" s="23"/>
      <c r="D465" s="23"/>
      <c r="E465" s="23"/>
      <c r="F465" s="23"/>
      <c r="G465" s="23"/>
      <c r="H465" s="23"/>
    </row>
    <row r="466" spans="2:8" x14ac:dyDescent="0.2">
      <c r="B466" s="23"/>
      <c r="C466" s="23"/>
      <c r="D466" s="23"/>
      <c r="E466" s="23"/>
      <c r="F466" s="23"/>
      <c r="G466" s="23"/>
      <c r="H466" s="23"/>
    </row>
    <row r="467" spans="2:8" x14ac:dyDescent="0.2">
      <c r="B467" s="23"/>
      <c r="C467" s="23"/>
      <c r="D467" s="23"/>
      <c r="E467" s="23"/>
      <c r="F467" s="23"/>
      <c r="G467" s="23"/>
      <c r="H467" s="23"/>
    </row>
    <row r="468" spans="2:8" x14ac:dyDescent="0.2">
      <c r="B468" s="23"/>
      <c r="C468" s="23"/>
      <c r="D468" s="23"/>
      <c r="E468" s="23"/>
      <c r="F468" s="23"/>
      <c r="G468" s="23"/>
      <c r="H468" s="23"/>
    </row>
    <row r="469" spans="2:8" x14ac:dyDescent="0.2">
      <c r="B469" s="23"/>
      <c r="C469" s="23"/>
      <c r="D469" s="23"/>
      <c r="E469" s="23"/>
      <c r="F469" s="23"/>
      <c r="G469" s="23"/>
      <c r="H469" s="23"/>
    </row>
    <row r="470" spans="2:8" x14ac:dyDescent="0.2">
      <c r="B470" s="23"/>
      <c r="C470" s="23"/>
      <c r="D470" s="23"/>
      <c r="E470" s="23"/>
      <c r="F470" s="23"/>
      <c r="G470" s="23"/>
      <c r="H470" s="23"/>
    </row>
    <row r="471" spans="2:8" x14ac:dyDescent="0.2">
      <c r="B471" s="23"/>
      <c r="C471" s="23"/>
      <c r="D471" s="23"/>
      <c r="E471" s="23"/>
      <c r="F471" s="23"/>
      <c r="G471" s="23"/>
      <c r="H471" s="23"/>
    </row>
    <row r="472" spans="2:8" x14ac:dyDescent="0.2">
      <c r="B472" s="23"/>
      <c r="C472" s="23"/>
      <c r="D472" s="23"/>
      <c r="E472" s="23"/>
      <c r="F472" s="23"/>
      <c r="G472" s="23"/>
      <c r="H472" s="23"/>
    </row>
    <row r="473" spans="2:8" x14ac:dyDescent="0.2">
      <c r="B473" s="23"/>
      <c r="C473" s="23"/>
      <c r="D473" s="23"/>
      <c r="E473" s="23"/>
      <c r="F473" s="23"/>
      <c r="G473" s="23"/>
      <c r="H473" s="23"/>
    </row>
    <row r="474" spans="2:8" x14ac:dyDescent="0.2">
      <c r="B474" s="23"/>
      <c r="C474" s="23"/>
      <c r="D474" s="23"/>
      <c r="E474" s="23"/>
      <c r="F474" s="23"/>
      <c r="G474" s="23"/>
      <c r="H474" s="23"/>
    </row>
    <row r="475" spans="2:8" x14ac:dyDescent="0.2">
      <c r="B475" s="23"/>
      <c r="C475" s="23"/>
      <c r="D475" s="23"/>
      <c r="E475" s="23"/>
      <c r="F475" s="23"/>
      <c r="G475" s="23"/>
      <c r="H475" s="23"/>
    </row>
    <row r="476" spans="2:8" x14ac:dyDescent="0.2">
      <c r="B476" s="23"/>
      <c r="C476" s="23"/>
      <c r="D476" s="23"/>
      <c r="E476" s="23"/>
      <c r="F476" s="23"/>
      <c r="G476" s="23"/>
      <c r="H476" s="23"/>
    </row>
    <row r="477" spans="2:8" x14ac:dyDescent="0.2">
      <c r="B477" s="23"/>
      <c r="C477" s="23"/>
      <c r="D477" s="23"/>
      <c r="E477" s="23"/>
      <c r="F477" s="23"/>
      <c r="G477" s="23"/>
      <c r="H477" s="23"/>
    </row>
    <row r="478" spans="2:8" x14ac:dyDescent="0.2">
      <c r="B478" s="23"/>
      <c r="C478" s="23"/>
      <c r="D478" s="23"/>
      <c r="E478" s="23"/>
      <c r="F478" s="23"/>
      <c r="G478" s="23"/>
      <c r="H478" s="23"/>
    </row>
    <row r="479" spans="2:8" x14ac:dyDescent="0.2">
      <c r="B479" s="23"/>
      <c r="C479" s="23"/>
      <c r="D479" s="23"/>
      <c r="E479" s="23"/>
      <c r="F479" s="23"/>
      <c r="G479" s="23"/>
      <c r="H479" s="23"/>
    </row>
    <row r="480" spans="2:8" x14ac:dyDescent="0.2">
      <c r="B480" s="23"/>
      <c r="C480" s="23"/>
      <c r="D480" s="23"/>
      <c r="E480" s="23"/>
      <c r="F480" s="23"/>
      <c r="G480" s="23"/>
      <c r="H480" s="23"/>
    </row>
    <row r="481" spans="2:8" x14ac:dyDescent="0.2">
      <c r="B481" s="23"/>
      <c r="C481" s="23"/>
      <c r="D481" s="23"/>
      <c r="E481" s="23"/>
      <c r="F481" s="23"/>
      <c r="G481" s="23"/>
      <c r="H481" s="23"/>
    </row>
    <row r="482" spans="2:8" x14ac:dyDescent="0.2">
      <c r="B482" s="23"/>
      <c r="C482" s="23"/>
      <c r="D482" s="23"/>
      <c r="E482" s="23"/>
      <c r="F482" s="23"/>
      <c r="G482" s="23"/>
      <c r="H482" s="23"/>
    </row>
    <row r="483" spans="2:8" x14ac:dyDescent="0.2">
      <c r="B483" s="23"/>
      <c r="C483" s="23"/>
      <c r="D483" s="23"/>
      <c r="E483" s="23"/>
      <c r="F483" s="23"/>
      <c r="G483" s="23"/>
      <c r="H483" s="23"/>
    </row>
    <row r="484" spans="2:8" x14ac:dyDescent="0.2">
      <c r="B484" s="23"/>
      <c r="C484" s="23"/>
      <c r="D484" s="23"/>
      <c r="E484" s="23"/>
      <c r="F484" s="23"/>
      <c r="G484" s="23"/>
      <c r="H484" s="23"/>
    </row>
    <row r="485" spans="2:8" x14ac:dyDescent="0.2">
      <c r="B485" s="23"/>
      <c r="C485" s="23"/>
      <c r="D485" s="23"/>
      <c r="E485" s="23"/>
      <c r="F485" s="23"/>
      <c r="G485" s="23"/>
      <c r="H485" s="23"/>
    </row>
    <row r="486" spans="2:8" x14ac:dyDescent="0.2">
      <c r="B486" s="23"/>
      <c r="C486" s="23"/>
      <c r="D486" s="23"/>
      <c r="E486" s="23"/>
      <c r="F486" s="23"/>
      <c r="G486" s="23"/>
      <c r="H486" s="23"/>
    </row>
    <row r="487" spans="2:8" x14ac:dyDescent="0.2">
      <c r="B487" s="23"/>
      <c r="C487" s="23"/>
      <c r="D487" s="23"/>
      <c r="E487" s="23"/>
      <c r="F487" s="23"/>
      <c r="G487" s="23"/>
      <c r="H487" s="23"/>
    </row>
    <row r="488" spans="2:8" x14ac:dyDescent="0.2">
      <c r="B488" s="23"/>
      <c r="C488" s="23"/>
      <c r="D488" s="23"/>
      <c r="E488" s="23"/>
      <c r="F488" s="23"/>
      <c r="G488" s="23"/>
      <c r="H488" s="23"/>
    </row>
    <row r="489" spans="2:8" x14ac:dyDescent="0.2">
      <c r="B489" s="23"/>
      <c r="C489" s="23"/>
      <c r="D489" s="23"/>
      <c r="E489" s="23"/>
      <c r="F489" s="23"/>
      <c r="G489" s="23"/>
      <c r="H489" s="23"/>
    </row>
    <row r="490" spans="2:8" x14ac:dyDescent="0.2">
      <c r="B490" s="23"/>
      <c r="C490" s="23"/>
      <c r="D490" s="23"/>
      <c r="E490" s="23"/>
      <c r="F490" s="23"/>
      <c r="G490" s="23"/>
      <c r="H490" s="23"/>
    </row>
    <row r="491" spans="2:8" x14ac:dyDescent="0.2">
      <c r="B491" s="23"/>
      <c r="C491" s="23"/>
      <c r="D491" s="23"/>
      <c r="E491" s="23"/>
      <c r="F491" s="23"/>
      <c r="G491" s="23"/>
      <c r="H491" s="23"/>
    </row>
    <row r="492" spans="2:8" x14ac:dyDescent="0.2">
      <c r="B492" s="23"/>
      <c r="C492" s="23"/>
      <c r="D492" s="23"/>
      <c r="E492" s="23"/>
      <c r="F492" s="23"/>
      <c r="G492" s="23"/>
      <c r="H492" s="23"/>
    </row>
    <row r="493" spans="2:8" x14ac:dyDescent="0.2">
      <c r="B493" s="23"/>
      <c r="C493" s="23"/>
      <c r="D493" s="23"/>
      <c r="E493" s="23"/>
      <c r="F493" s="23"/>
      <c r="G493" s="23"/>
      <c r="H493" s="23"/>
    </row>
    <row r="494" spans="2:8" x14ac:dyDescent="0.2">
      <c r="B494" s="23"/>
      <c r="C494" s="23"/>
      <c r="D494" s="23"/>
      <c r="E494" s="23"/>
      <c r="F494" s="23"/>
      <c r="G494" s="23"/>
      <c r="H494" s="23"/>
    </row>
    <row r="495" spans="2:8" x14ac:dyDescent="0.2">
      <c r="B495" s="23"/>
      <c r="C495" s="23"/>
      <c r="D495" s="23"/>
      <c r="E495" s="23"/>
      <c r="F495" s="23"/>
      <c r="G495" s="23"/>
      <c r="H495" s="23"/>
    </row>
    <row r="496" spans="2:8" x14ac:dyDescent="0.2">
      <c r="B496" s="23"/>
      <c r="C496" s="23"/>
      <c r="D496" s="23"/>
      <c r="E496" s="23"/>
      <c r="F496" s="23"/>
      <c r="G496" s="23"/>
      <c r="H496" s="23"/>
    </row>
    <row r="497" spans="2:8" x14ac:dyDescent="0.2">
      <c r="B497" s="23"/>
      <c r="C497" s="23"/>
      <c r="D497" s="23"/>
      <c r="E497" s="23"/>
      <c r="F497" s="23"/>
      <c r="G497" s="23"/>
      <c r="H497" s="23"/>
    </row>
    <row r="498" spans="2:8" x14ac:dyDescent="0.2">
      <c r="B498" s="23"/>
      <c r="C498" s="23"/>
      <c r="D498" s="23"/>
      <c r="E498" s="23"/>
      <c r="F498" s="23"/>
      <c r="G498" s="23"/>
      <c r="H498" s="23"/>
    </row>
    <row r="499" spans="2:8" x14ac:dyDescent="0.2">
      <c r="B499" s="23"/>
      <c r="C499" s="23"/>
      <c r="D499" s="23"/>
      <c r="E499" s="23"/>
      <c r="F499" s="23"/>
      <c r="G499" s="23"/>
      <c r="H499" s="23"/>
    </row>
    <row r="500" spans="2:8" x14ac:dyDescent="0.2">
      <c r="B500" s="23"/>
      <c r="C500" s="23"/>
      <c r="D500" s="23"/>
      <c r="E500" s="23"/>
      <c r="F500" s="23"/>
      <c r="G500" s="23"/>
      <c r="H500" s="23"/>
    </row>
    <row r="501" spans="2:8" x14ac:dyDescent="0.2">
      <c r="B501" s="23"/>
      <c r="C501" s="23"/>
      <c r="D501" s="23"/>
      <c r="E501" s="23"/>
      <c r="F501" s="23"/>
      <c r="G501" s="23"/>
      <c r="H501" s="23"/>
    </row>
    <row r="502" spans="2:8" x14ac:dyDescent="0.2">
      <c r="B502" s="23"/>
      <c r="C502" s="23"/>
      <c r="D502" s="23"/>
      <c r="E502" s="23"/>
      <c r="F502" s="23"/>
      <c r="G502" s="23"/>
      <c r="H502" s="23"/>
    </row>
    <row r="503" spans="2:8" x14ac:dyDescent="0.2">
      <c r="B503" s="23"/>
      <c r="C503" s="23"/>
      <c r="D503" s="23"/>
      <c r="E503" s="23"/>
      <c r="F503" s="23"/>
      <c r="G503" s="23"/>
      <c r="H503" s="23"/>
    </row>
    <row r="504" spans="2:8" x14ac:dyDescent="0.2">
      <c r="B504" s="23"/>
      <c r="C504" s="23"/>
      <c r="D504" s="23"/>
      <c r="E504" s="23"/>
      <c r="F504" s="23"/>
      <c r="G504" s="23"/>
      <c r="H504" s="23"/>
    </row>
    <row r="505" spans="2:8" x14ac:dyDescent="0.2">
      <c r="B505" s="23"/>
      <c r="C505" s="23"/>
      <c r="D505" s="23"/>
      <c r="E505" s="23"/>
      <c r="F505" s="23"/>
      <c r="G505" s="23"/>
      <c r="H505" s="23"/>
    </row>
    <row r="506" spans="2:8" x14ac:dyDescent="0.2">
      <c r="B506" s="23"/>
      <c r="C506" s="23"/>
      <c r="D506" s="23"/>
      <c r="E506" s="23"/>
      <c r="F506" s="23"/>
      <c r="G506" s="23"/>
      <c r="H506" s="23"/>
    </row>
    <row r="507" spans="2:8" x14ac:dyDescent="0.2">
      <c r="B507" s="23"/>
      <c r="C507" s="23"/>
      <c r="D507" s="23"/>
      <c r="E507" s="23"/>
      <c r="F507" s="23"/>
      <c r="G507" s="23"/>
      <c r="H507" s="23"/>
    </row>
    <row r="508" spans="2:8" x14ac:dyDescent="0.2">
      <c r="B508" s="23"/>
      <c r="C508" s="23"/>
      <c r="D508" s="23"/>
      <c r="E508" s="23"/>
      <c r="F508" s="23"/>
      <c r="G508" s="23"/>
      <c r="H508" s="23"/>
    </row>
    <row r="509" spans="2:8" x14ac:dyDescent="0.2">
      <c r="B509" s="23"/>
      <c r="C509" s="23"/>
      <c r="D509" s="23"/>
      <c r="E509" s="23"/>
      <c r="F509" s="23"/>
      <c r="G509" s="23"/>
      <c r="H509" s="23"/>
    </row>
    <row r="510" spans="2:8" x14ac:dyDescent="0.2">
      <c r="B510" s="23"/>
      <c r="C510" s="23"/>
      <c r="D510" s="23"/>
      <c r="E510" s="23"/>
      <c r="F510" s="23"/>
      <c r="G510" s="23"/>
      <c r="H510" s="23"/>
    </row>
    <row r="511" spans="2:8" x14ac:dyDescent="0.2">
      <c r="B511" s="23"/>
      <c r="C511" s="23"/>
      <c r="D511" s="23"/>
      <c r="E511" s="23"/>
      <c r="F511" s="23"/>
      <c r="G511" s="23"/>
      <c r="H511" s="23"/>
    </row>
  </sheetData>
  <printOptions headings="1" gridLines="1"/>
  <pageMargins left="0.75" right="0.75" top="1" bottom="1" header="0.5" footer="0.5"/>
  <pageSetup paperSize="0" orientation="portrait" horizontalDpi="4294967292" verticalDpi="4294967292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FF994-0738-8C41-AFA0-7DBC20596D1D}">
  <sheetPr codeName="Sheet3"/>
  <dimension ref="A1:H511"/>
  <sheetViews>
    <sheetView zoomScale="150" zoomScaleNormal="150" workbookViewId="0">
      <selection activeCell="F4" sqref="F4"/>
    </sheetView>
  </sheetViews>
  <sheetFormatPr baseColWidth="10" defaultColWidth="10.83203125" defaultRowHeight="14" x14ac:dyDescent="0.2"/>
  <cols>
    <col min="1" max="1" width="13" style="1" customWidth="1"/>
    <col min="2" max="2" width="17.83203125" style="1" customWidth="1"/>
    <col min="3" max="4" width="12.1640625" style="1" bestFit="1" customWidth="1"/>
    <col min="5" max="5" width="14.83203125" style="1" customWidth="1"/>
    <col min="6" max="6" width="12.1640625" style="1" bestFit="1" customWidth="1"/>
    <col min="7" max="8" width="10.83203125" style="1" customWidth="1"/>
    <col min="9" max="16384" width="10.83203125" style="5"/>
  </cols>
  <sheetData>
    <row r="1" spans="1:8" x14ac:dyDescent="0.2">
      <c r="A1" s="1" t="s">
        <v>119</v>
      </c>
    </row>
    <row r="2" spans="1:8" x14ac:dyDescent="0.2">
      <c r="B2" s="11" t="s">
        <v>29</v>
      </c>
      <c r="C2" s="24">
        <v>5</v>
      </c>
      <c r="D2" s="14" t="s">
        <v>116</v>
      </c>
      <c r="G2" s="69"/>
    </row>
    <row r="3" spans="1:8" x14ac:dyDescent="0.2">
      <c r="B3" s="11" t="s">
        <v>31</v>
      </c>
      <c r="C3" s="36">
        <v>4</v>
      </c>
      <c r="D3" s="14"/>
    </row>
    <row r="4" spans="1:8" x14ac:dyDescent="0.2">
      <c r="B4" s="11" t="s">
        <v>32</v>
      </c>
      <c r="C4" s="36">
        <v>2</v>
      </c>
      <c r="D4" s="14" t="s">
        <v>117</v>
      </c>
    </row>
    <row r="5" spans="1:8" ht="15" thickBot="1" x14ac:dyDescent="0.25"/>
    <row r="6" spans="1:8" x14ac:dyDescent="0.2">
      <c r="C6" s="11" t="s">
        <v>33</v>
      </c>
      <c r="D6" s="25">
        <f ca="1">AVERAGE(G12:G111)</f>
        <v>0.60305466207068814</v>
      </c>
      <c r="E6" s="14" t="s">
        <v>30</v>
      </c>
      <c r="G6" s="69"/>
    </row>
    <row r="7" spans="1:8" ht="15" thickBot="1" x14ac:dyDescent="0.25">
      <c r="C7" s="11" t="s">
        <v>34</v>
      </c>
      <c r="D7" s="26">
        <f ca="1">AVERAGE(H12:H111)</f>
        <v>2.8004372303579408</v>
      </c>
      <c r="E7" s="14" t="s">
        <v>30</v>
      </c>
    </row>
    <row r="9" spans="1:8" x14ac:dyDescent="0.2">
      <c r="B9" s="2" t="s">
        <v>36</v>
      </c>
      <c r="C9" s="1" t="s">
        <v>28</v>
      </c>
      <c r="D9" s="1" t="s">
        <v>28</v>
      </c>
      <c r="E9" s="1" t="s">
        <v>27</v>
      </c>
      <c r="F9" s="6" t="s">
        <v>28</v>
      </c>
      <c r="G9" s="1" t="s">
        <v>28</v>
      </c>
      <c r="H9" s="1" t="s">
        <v>28</v>
      </c>
    </row>
    <row r="10" spans="1:8" x14ac:dyDescent="0.2">
      <c r="A10" s="1" t="s">
        <v>35</v>
      </c>
      <c r="B10" s="2" t="s">
        <v>28</v>
      </c>
      <c r="C10" s="1" t="s">
        <v>37</v>
      </c>
      <c r="D10" s="1" t="s">
        <v>27</v>
      </c>
      <c r="E10" s="1" t="s">
        <v>28</v>
      </c>
      <c r="F10" s="6" t="s">
        <v>27</v>
      </c>
      <c r="G10" s="1" t="s">
        <v>38</v>
      </c>
      <c r="H10" s="1" t="s">
        <v>38</v>
      </c>
    </row>
    <row r="11" spans="1:8" ht="15" thickBot="1" x14ac:dyDescent="0.25">
      <c r="A11" s="3" t="s">
        <v>39</v>
      </c>
      <c r="B11" s="92" t="s">
        <v>97</v>
      </c>
      <c r="C11" s="3" t="s">
        <v>39</v>
      </c>
      <c r="D11" s="3" t="s">
        <v>40</v>
      </c>
      <c r="E11" s="93" t="s">
        <v>98</v>
      </c>
      <c r="F11" s="7" t="s">
        <v>41</v>
      </c>
      <c r="G11" s="3" t="s">
        <v>42</v>
      </c>
      <c r="H11" s="3" t="s">
        <v>43</v>
      </c>
    </row>
    <row r="12" spans="1:8" x14ac:dyDescent="0.2">
      <c r="A12" s="1">
        <v>1</v>
      </c>
      <c r="B12" s="27">
        <f t="shared" ref="B12:B43" ca="1" si="0">-$C$2*LN(RAND())</f>
        <v>3.7738765263114908</v>
      </c>
      <c r="C12" s="23">
        <f ca="1">B12</f>
        <v>3.7738765263114908</v>
      </c>
      <c r="D12" s="23">
        <f ca="1">C12</f>
        <v>3.7738765263114908</v>
      </c>
      <c r="E12" s="23">
        <f t="shared" ref="E12:E43" ca="1" si="1">$C$4*2*RAND()</f>
        <v>3.5645813359647431</v>
      </c>
      <c r="F12" s="28">
        <f t="shared" ref="F12:F75" ca="1" si="2">D12+E12</f>
        <v>7.3384578622762344</v>
      </c>
      <c r="G12" s="23">
        <f t="shared" ref="G12:G75" ca="1" si="3">D12-C12</f>
        <v>0</v>
      </c>
      <c r="H12" s="23">
        <f t="shared" ref="H12:H75" ca="1" si="4">F12-C12</f>
        <v>3.5645813359647436</v>
      </c>
    </row>
    <row r="13" spans="1:8" x14ac:dyDescent="0.2">
      <c r="A13" s="1">
        <v>2</v>
      </c>
      <c r="B13" s="27">
        <f t="shared" ca="1" si="0"/>
        <v>8.4199594629284669E-2</v>
      </c>
      <c r="C13" s="23">
        <f t="shared" ref="C13:C76" ca="1" si="5">C12+B13</f>
        <v>3.8580761209407757</v>
      </c>
      <c r="D13" s="23">
        <f t="shared" ref="D13:D76" ca="1" si="6">MAX(F12,C13)</f>
        <v>7.3384578622762344</v>
      </c>
      <c r="E13" s="23">
        <f t="shared" ca="1" si="1"/>
        <v>1.6684390916508067</v>
      </c>
      <c r="F13" s="28">
        <f t="shared" ca="1" si="2"/>
        <v>9.0068969539270416</v>
      </c>
      <c r="G13" s="23">
        <f t="shared" ca="1" si="3"/>
        <v>3.4803817413354587</v>
      </c>
      <c r="H13" s="23">
        <f t="shared" ca="1" si="4"/>
        <v>5.1488208329862655</v>
      </c>
    </row>
    <row r="14" spans="1:8" x14ac:dyDescent="0.2">
      <c r="A14" s="1">
        <v>3</v>
      </c>
      <c r="B14" s="27">
        <f t="shared" ca="1" si="0"/>
        <v>2.3727415519402091</v>
      </c>
      <c r="C14" s="23">
        <f t="shared" ca="1" si="5"/>
        <v>6.2308176728809848</v>
      </c>
      <c r="D14" s="23">
        <f t="shared" ca="1" si="6"/>
        <v>9.0068969539270416</v>
      </c>
      <c r="E14" s="23">
        <f t="shared" ca="1" si="1"/>
        <v>0.32154473270180262</v>
      </c>
      <c r="F14" s="28">
        <f t="shared" ca="1" si="2"/>
        <v>9.3284416866288442</v>
      </c>
      <c r="G14" s="23">
        <f t="shared" ca="1" si="3"/>
        <v>2.7760792810460568</v>
      </c>
      <c r="H14" s="23">
        <f t="shared" ca="1" si="4"/>
        <v>3.0976240137478595</v>
      </c>
    </row>
    <row r="15" spans="1:8" x14ac:dyDescent="0.2">
      <c r="A15" s="1">
        <v>4</v>
      </c>
      <c r="B15" s="27">
        <f t="shared" ca="1" si="0"/>
        <v>3.3219106974107628</v>
      </c>
      <c r="C15" s="23">
        <f t="shared" ca="1" si="5"/>
        <v>9.5527283702917476</v>
      </c>
      <c r="D15" s="23">
        <f t="shared" ca="1" si="6"/>
        <v>9.5527283702917476</v>
      </c>
      <c r="E15" s="23">
        <f t="shared" ca="1" si="1"/>
        <v>1.7607481891001604</v>
      </c>
      <c r="F15" s="28">
        <f t="shared" ca="1" si="2"/>
        <v>11.313476559391908</v>
      </c>
      <c r="G15" s="23">
        <f t="shared" ca="1" si="3"/>
        <v>0</v>
      </c>
      <c r="H15" s="23">
        <f t="shared" ca="1" si="4"/>
        <v>1.7607481891001608</v>
      </c>
    </row>
    <row r="16" spans="1:8" x14ac:dyDescent="0.2">
      <c r="A16" s="1">
        <v>5</v>
      </c>
      <c r="B16" s="27">
        <f t="shared" ca="1" si="0"/>
        <v>4.8292373938061353</v>
      </c>
      <c r="C16" s="23">
        <f t="shared" ca="1" si="5"/>
        <v>14.381965764097883</v>
      </c>
      <c r="D16" s="23">
        <f t="shared" ca="1" si="6"/>
        <v>14.381965764097883</v>
      </c>
      <c r="E16" s="23">
        <f t="shared" ca="1" si="1"/>
        <v>1.7572637809640108</v>
      </c>
      <c r="F16" s="28">
        <f t="shared" ca="1" si="2"/>
        <v>16.139229545061895</v>
      </c>
      <c r="G16" s="23">
        <f t="shared" ca="1" si="3"/>
        <v>0</v>
      </c>
      <c r="H16" s="23">
        <f t="shared" ca="1" si="4"/>
        <v>1.7572637809640117</v>
      </c>
    </row>
    <row r="17" spans="1:8" x14ac:dyDescent="0.2">
      <c r="A17" s="1">
        <v>6</v>
      </c>
      <c r="B17" s="27">
        <f t="shared" ca="1" si="0"/>
        <v>2.9899886530359203</v>
      </c>
      <c r="C17" s="23">
        <f t="shared" ca="1" si="5"/>
        <v>17.371954417133804</v>
      </c>
      <c r="D17" s="23">
        <f t="shared" ca="1" si="6"/>
        <v>17.371954417133804</v>
      </c>
      <c r="E17" s="23">
        <f t="shared" ca="1" si="1"/>
        <v>2.8518145312973187</v>
      </c>
      <c r="F17" s="28">
        <f t="shared" ca="1" si="2"/>
        <v>20.223768948431122</v>
      </c>
      <c r="G17" s="23">
        <f t="shared" ca="1" si="3"/>
        <v>0</v>
      </c>
      <c r="H17" s="23">
        <f t="shared" ca="1" si="4"/>
        <v>2.8518145312973182</v>
      </c>
    </row>
    <row r="18" spans="1:8" x14ac:dyDescent="0.2">
      <c r="A18" s="1">
        <v>7</v>
      </c>
      <c r="B18" s="27">
        <f t="shared" ca="1" si="0"/>
        <v>2.121084249369928</v>
      </c>
      <c r="C18" s="23">
        <f t="shared" ca="1" si="5"/>
        <v>19.493038666503733</v>
      </c>
      <c r="D18" s="23">
        <f t="shared" ca="1" si="6"/>
        <v>20.223768948431122</v>
      </c>
      <c r="E18" s="23">
        <f t="shared" ca="1" si="1"/>
        <v>0.96454014678800259</v>
      </c>
      <c r="F18" s="28">
        <f t="shared" ca="1" si="2"/>
        <v>21.188309095219125</v>
      </c>
      <c r="G18" s="23">
        <f t="shared" ca="1" si="3"/>
        <v>0.73073028192738931</v>
      </c>
      <c r="H18" s="23">
        <f t="shared" ca="1" si="4"/>
        <v>1.6952704287153928</v>
      </c>
    </row>
    <row r="19" spans="1:8" x14ac:dyDescent="0.2">
      <c r="A19" s="1">
        <v>8</v>
      </c>
      <c r="B19" s="27">
        <f t="shared" ca="1" si="0"/>
        <v>1.3622321290307706</v>
      </c>
      <c r="C19" s="23">
        <f t="shared" ca="1" si="5"/>
        <v>20.855270795534501</v>
      </c>
      <c r="D19" s="23">
        <f t="shared" ca="1" si="6"/>
        <v>21.188309095219125</v>
      </c>
      <c r="E19" s="23">
        <f t="shared" ca="1" si="1"/>
        <v>2.7486625387175025</v>
      </c>
      <c r="F19" s="28">
        <f t="shared" ca="1" si="2"/>
        <v>23.936971633936629</v>
      </c>
      <c r="G19" s="23">
        <f t="shared" ca="1" si="3"/>
        <v>0.33303829968462395</v>
      </c>
      <c r="H19" s="23">
        <f t="shared" ca="1" si="4"/>
        <v>3.0817008384021278</v>
      </c>
    </row>
    <row r="20" spans="1:8" x14ac:dyDescent="0.2">
      <c r="A20" s="1">
        <v>9</v>
      </c>
      <c r="B20" s="27">
        <f t="shared" ca="1" si="0"/>
        <v>1.4263019918740443</v>
      </c>
      <c r="C20" s="23">
        <f t="shared" ca="1" si="5"/>
        <v>22.281572787408546</v>
      </c>
      <c r="D20" s="23">
        <f t="shared" ca="1" si="6"/>
        <v>23.936971633936629</v>
      </c>
      <c r="E20" s="23">
        <f t="shared" ca="1" si="1"/>
        <v>1.2460111764052129</v>
      </c>
      <c r="F20" s="28">
        <f t="shared" ca="1" si="2"/>
        <v>25.182982810341841</v>
      </c>
      <c r="G20" s="23">
        <f t="shared" ca="1" si="3"/>
        <v>1.6553988465280831</v>
      </c>
      <c r="H20" s="23">
        <f t="shared" ca="1" si="4"/>
        <v>2.9014100229332946</v>
      </c>
    </row>
    <row r="21" spans="1:8" x14ac:dyDescent="0.2">
      <c r="A21" s="1">
        <v>10</v>
      </c>
      <c r="B21" s="27">
        <f t="shared" ca="1" si="0"/>
        <v>6.7499909955230928</v>
      </c>
      <c r="C21" s="23">
        <f t="shared" ca="1" si="5"/>
        <v>29.031563782931638</v>
      </c>
      <c r="D21" s="23">
        <f t="shared" ca="1" si="6"/>
        <v>29.031563782931638</v>
      </c>
      <c r="E21" s="23">
        <f t="shared" ca="1" si="1"/>
        <v>1.7572536453437935</v>
      </c>
      <c r="F21" s="28">
        <f t="shared" ca="1" si="2"/>
        <v>30.788817428275433</v>
      </c>
      <c r="G21" s="23">
        <f t="shared" ca="1" si="3"/>
        <v>0</v>
      </c>
      <c r="H21" s="23">
        <f t="shared" ca="1" si="4"/>
        <v>1.7572536453437948</v>
      </c>
    </row>
    <row r="22" spans="1:8" x14ac:dyDescent="0.2">
      <c r="A22" s="1">
        <v>11</v>
      </c>
      <c r="B22" s="27">
        <f t="shared" ca="1" si="0"/>
        <v>5.3649874963581219</v>
      </c>
      <c r="C22" s="23">
        <f t="shared" ca="1" si="5"/>
        <v>34.39655127928976</v>
      </c>
      <c r="D22" s="23">
        <f t="shared" ca="1" si="6"/>
        <v>34.39655127928976</v>
      </c>
      <c r="E22" s="23">
        <f t="shared" ca="1" si="1"/>
        <v>3.1591456492638792</v>
      </c>
      <c r="F22" s="28">
        <f t="shared" ca="1" si="2"/>
        <v>37.555696928553637</v>
      </c>
      <c r="G22" s="23">
        <f t="shared" ca="1" si="3"/>
        <v>0</v>
      </c>
      <c r="H22" s="23">
        <f t="shared" ca="1" si="4"/>
        <v>3.159145649263877</v>
      </c>
    </row>
    <row r="23" spans="1:8" x14ac:dyDescent="0.2">
      <c r="A23" s="1">
        <v>12</v>
      </c>
      <c r="B23" s="27">
        <f t="shared" ca="1" si="0"/>
        <v>0.84442522707436563</v>
      </c>
      <c r="C23" s="23">
        <f t="shared" ca="1" si="5"/>
        <v>35.240976506364127</v>
      </c>
      <c r="D23" s="23">
        <f t="shared" ca="1" si="6"/>
        <v>37.555696928553637</v>
      </c>
      <c r="E23" s="23">
        <f t="shared" ca="1" si="1"/>
        <v>1.4894321806153035</v>
      </c>
      <c r="F23" s="28">
        <f t="shared" ca="1" si="2"/>
        <v>39.04512910916894</v>
      </c>
      <c r="G23" s="23">
        <f t="shared" ca="1" si="3"/>
        <v>2.3147204221895095</v>
      </c>
      <c r="H23" s="23">
        <f t="shared" ca="1" si="4"/>
        <v>3.8041526028048125</v>
      </c>
    </row>
    <row r="24" spans="1:8" x14ac:dyDescent="0.2">
      <c r="A24" s="1">
        <v>13</v>
      </c>
      <c r="B24" s="27">
        <f t="shared" ca="1" si="0"/>
        <v>7.3880831580073911</v>
      </c>
      <c r="C24" s="23">
        <f t="shared" ca="1" si="5"/>
        <v>42.629059664371518</v>
      </c>
      <c r="D24" s="23">
        <f t="shared" ca="1" si="6"/>
        <v>42.629059664371518</v>
      </c>
      <c r="E24" s="23">
        <f t="shared" ca="1" si="1"/>
        <v>2.981657166179192</v>
      </c>
      <c r="F24" s="28">
        <f t="shared" ca="1" si="2"/>
        <v>45.610716830550707</v>
      </c>
      <c r="G24" s="23">
        <f t="shared" ca="1" si="3"/>
        <v>0</v>
      </c>
      <c r="H24" s="23">
        <f t="shared" ca="1" si="4"/>
        <v>2.9816571661791897</v>
      </c>
    </row>
    <row r="25" spans="1:8" x14ac:dyDescent="0.2">
      <c r="A25" s="1">
        <v>14</v>
      </c>
      <c r="B25" s="27">
        <f t="shared" ca="1" si="0"/>
        <v>8.8340133098080429</v>
      </c>
      <c r="C25" s="23">
        <f t="shared" ca="1" si="5"/>
        <v>51.463072974179561</v>
      </c>
      <c r="D25" s="23">
        <f t="shared" ca="1" si="6"/>
        <v>51.463072974179561</v>
      </c>
      <c r="E25" s="23">
        <f t="shared" ca="1" si="1"/>
        <v>2.571955515303963</v>
      </c>
      <c r="F25" s="28">
        <f t="shared" ca="1" si="2"/>
        <v>54.035028489483523</v>
      </c>
      <c r="G25" s="23">
        <f t="shared" ca="1" si="3"/>
        <v>0</v>
      </c>
      <c r="H25" s="23">
        <f t="shared" ca="1" si="4"/>
        <v>2.5719555153039622</v>
      </c>
    </row>
    <row r="26" spans="1:8" x14ac:dyDescent="0.2">
      <c r="A26" s="1">
        <v>15</v>
      </c>
      <c r="B26" s="27">
        <f t="shared" ca="1" si="0"/>
        <v>8.7394426898966451</v>
      </c>
      <c r="C26" s="23">
        <f t="shared" ca="1" si="5"/>
        <v>60.202515664076202</v>
      </c>
      <c r="D26" s="23">
        <f t="shared" ca="1" si="6"/>
        <v>60.202515664076202</v>
      </c>
      <c r="E26" s="23">
        <f t="shared" ca="1" si="1"/>
        <v>2.6689398258290691</v>
      </c>
      <c r="F26" s="28">
        <f t="shared" ca="1" si="2"/>
        <v>62.871455489905273</v>
      </c>
      <c r="G26" s="23">
        <f t="shared" ca="1" si="3"/>
        <v>0</v>
      </c>
      <c r="H26" s="23">
        <f t="shared" ca="1" si="4"/>
        <v>2.6689398258290709</v>
      </c>
    </row>
    <row r="27" spans="1:8" x14ac:dyDescent="0.2">
      <c r="A27" s="1">
        <v>16</v>
      </c>
      <c r="B27" s="27">
        <f t="shared" ca="1" si="0"/>
        <v>2.1296570968085615</v>
      </c>
      <c r="C27" s="23">
        <f t="shared" ca="1" si="5"/>
        <v>62.332172760884767</v>
      </c>
      <c r="D27" s="23">
        <f t="shared" ca="1" si="6"/>
        <v>62.871455489905273</v>
      </c>
      <c r="E27" s="23">
        <f t="shared" ca="1" si="1"/>
        <v>1.2329009376971261</v>
      </c>
      <c r="F27" s="28">
        <f t="shared" ca="1" si="2"/>
        <v>64.104356427602397</v>
      </c>
      <c r="G27" s="23">
        <f t="shared" ca="1" si="3"/>
        <v>0.53928272902050622</v>
      </c>
      <c r="H27" s="23">
        <f t="shared" ca="1" si="4"/>
        <v>1.7721836667176305</v>
      </c>
    </row>
    <row r="28" spans="1:8" x14ac:dyDescent="0.2">
      <c r="A28" s="1">
        <v>17</v>
      </c>
      <c r="B28" s="27">
        <f t="shared" ca="1" si="0"/>
        <v>0.1188164526487591</v>
      </c>
      <c r="C28" s="23">
        <f t="shared" ca="1" si="5"/>
        <v>62.450989213533525</v>
      </c>
      <c r="D28" s="23">
        <f t="shared" ca="1" si="6"/>
        <v>64.104356427602397</v>
      </c>
      <c r="E28" s="23">
        <f t="shared" ca="1" si="1"/>
        <v>2.3292449051738444</v>
      </c>
      <c r="F28" s="28">
        <f t="shared" ca="1" si="2"/>
        <v>66.433601332776249</v>
      </c>
      <c r="G28" s="23">
        <f t="shared" ca="1" si="3"/>
        <v>1.6533672140688722</v>
      </c>
      <c r="H28" s="23">
        <f t="shared" ca="1" si="4"/>
        <v>3.9826121192427237</v>
      </c>
    </row>
    <row r="29" spans="1:8" x14ac:dyDescent="0.2">
      <c r="A29" s="1">
        <v>18</v>
      </c>
      <c r="B29" s="27">
        <f t="shared" ca="1" si="0"/>
        <v>0.23910364377628374</v>
      </c>
      <c r="C29" s="23">
        <f t="shared" ca="1" si="5"/>
        <v>62.690092857309807</v>
      </c>
      <c r="D29" s="23">
        <f t="shared" ca="1" si="6"/>
        <v>66.433601332776249</v>
      </c>
      <c r="E29" s="23">
        <f t="shared" ca="1" si="1"/>
        <v>3.4272787768415713</v>
      </c>
      <c r="F29" s="28">
        <f t="shared" ca="1" si="2"/>
        <v>69.860880109617824</v>
      </c>
      <c r="G29" s="23">
        <f t="shared" ca="1" si="3"/>
        <v>3.7435084754664416</v>
      </c>
      <c r="H29" s="23">
        <f t="shared" ca="1" si="4"/>
        <v>7.1707872523080169</v>
      </c>
    </row>
    <row r="30" spans="1:8" x14ac:dyDescent="0.2">
      <c r="A30" s="1">
        <v>19</v>
      </c>
      <c r="B30" s="27">
        <f t="shared" ca="1" si="0"/>
        <v>6.5628613346181481</v>
      </c>
      <c r="C30" s="23">
        <f t="shared" ca="1" si="5"/>
        <v>69.252954191927955</v>
      </c>
      <c r="D30" s="23">
        <f t="shared" ca="1" si="6"/>
        <v>69.860880109617824</v>
      </c>
      <c r="E30" s="23">
        <f t="shared" ca="1" si="1"/>
        <v>1.3077413071707018</v>
      </c>
      <c r="F30" s="28">
        <f t="shared" ca="1" si="2"/>
        <v>71.168621416788525</v>
      </c>
      <c r="G30" s="23">
        <f t="shared" ca="1" si="3"/>
        <v>0.60792591768986881</v>
      </c>
      <c r="H30" s="23">
        <f t="shared" ca="1" si="4"/>
        <v>1.9156672248605702</v>
      </c>
    </row>
    <row r="31" spans="1:8" x14ac:dyDescent="0.2">
      <c r="A31" s="1">
        <v>20</v>
      </c>
      <c r="B31" s="27">
        <f t="shared" ca="1" si="0"/>
        <v>6.6729523737929313</v>
      </c>
      <c r="C31" s="23">
        <f t="shared" ca="1" si="5"/>
        <v>75.925906565720879</v>
      </c>
      <c r="D31" s="23">
        <f t="shared" ca="1" si="6"/>
        <v>75.925906565720879</v>
      </c>
      <c r="E31" s="23">
        <f t="shared" ca="1" si="1"/>
        <v>3.2806523245376948</v>
      </c>
      <c r="F31" s="28">
        <f t="shared" ca="1" si="2"/>
        <v>79.206558890258577</v>
      </c>
      <c r="G31" s="23">
        <f t="shared" ca="1" si="3"/>
        <v>0</v>
      </c>
      <c r="H31" s="23">
        <f t="shared" ca="1" si="4"/>
        <v>3.280652324537698</v>
      </c>
    </row>
    <row r="32" spans="1:8" x14ac:dyDescent="0.2">
      <c r="A32" s="1">
        <v>21</v>
      </c>
      <c r="B32" s="27">
        <f t="shared" ca="1" si="0"/>
        <v>5.6726383219032321</v>
      </c>
      <c r="C32" s="23">
        <f t="shared" ca="1" si="5"/>
        <v>81.598544887624115</v>
      </c>
      <c r="D32" s="23">
        <f t="shared" ca="1" si="6"/>
        <v>81.598544887624115</v>
      </c>
      <c r="E32" s="23">
        <f t="shared" ca="1" si="1"/>
        <v>2.8435913221194444</v>
      </c>
      <c r="F32" s="28">
        <f t="shared" ca="1" si="2"/>
        <v>84.442136209743566</v>
      </c>
      <c r="G32" s="23">
        <f t="shared" ca="1" si="3"/>
        <v>0</v>
      </c>
      <c r="H32" s="23">
        <f t="shared" ca="1" si="4"/>
        <v>2.8435913221194511</v>
      </c>
    </row>
    <row r="33" spans="1:8" x14ac:dyDescent="0.2">
      <c r="A33" s="1">
        <v>22</v>
      </c>
      <c r="B33" s="27">
        <f t="shared" ca="1" si="0"/>
        <v>7.9757988773300115</v>
      </c>
      <c r="C33" s="23">
        <f t="shared" ca="1" si="5"/>
        <v>89.574343764954122</v>
      </c>
      <c r="D33" s="23">
        <f t="shared" ca="1" si="6"/>
        <v>89.574343764954122</v>
      </c>
      <c r="E33" s="23">
        <f t="shared" ca="1" si="1"/>
        <v>3.266263608870251</v>
      </c>
      <c r="F33" s="28">
        <f t="shared" ca="1" si="2"/>
        <v>92.840607373824369</v>
      </c>
      <c r="G33" s="23">
        <f t="shared" ca="1" si="3"/>
        <v>0</v>
      </c>
      <c r="H33" s="23">
        <f t="shared" ca="1" si="4"/>
        <v>3.266263608870247</v>
      </c>
    </row>
    <row r="34" spans="1:8" x14ac:dyDescent="0.2">
      <c r="A34" s="1">
        <v>23</v>
      </c>
      <c r="B34" s="27">
        <f t="shared" ca="1" si="0"/>
        <v>6.1824865719614124</v>
      </c>
      <c r="C34" s="23">
        <f t="shared" ca="1" si="5"/>
        <v>95.756830336915527</v>
      </c>
      <c r="D34" s="23">
        <f t="shared" ca="1" si="6"/>
        <v>95.756830336915527</v>
      </c>
      <c r="E34" s="23">
        <f t="shared" ca="1" si="1"/>
        <v>3.9894310537373912</v>
      </c>
      <c r="F34" s="28">
        <f t="shared" ca="1" si="2"/>
        <v>99.746261390652919</v>
      </c>
      <c r="G34" s="23">
        <f t="shared" ca="1" si="3"/>
        <v>0</v>
      </c>
      <c r="H34" s="23">
        <f t="shared" ca="1" si="4"/>
        <v>3.9894310537373912</v>
      </c>
    </row>
    <row r="35" spans="1:8" x14ac:dyDescent="0.2">
      <c r="A35" s="1">
        <v>24</v>
      </c>
      <c r="B35" s="27">
        <f t="shared" ca="1" si="0"/>
        <v>2.9207234839262348</v>
      </c>
      <c r="C35" s="23">
        <f t="shared" ca="1" si="5"/>
        <v>98.677553820841766</v>
      </c>
      <c r="D35" s="23">
        <f t="shared" ca="1" si="6"/>
        <v>99.746261390652919</v>
      </c>
      <c r="E35" s="23">
        <f t="shared" ca="1" si="1"/>
        <v>1.6935866525759495</v>
      </c>
      <c r="F35" s="28">
        <f t="shared" ca="1" si="2"/>
        <v>101.43984804322886</v>
      </c>
      <c r="G35" s="23">
        <f t="shared" ca="1" si="3"/>
        <v>1.0687075698111528</v>
      </c>
      <c r="H35" s="23">
        <f t="shared" ca="1" si="4"/>
        <v>2.7622942223870979</v>
      </c>
    </row>
    <row r="36" spans="1:8" x14ac:dyDescent="0.2">
      <c r="A36" s="1">
        <v>25</v>
      </c>
      <c r="B36" s="27">
        <f t="shared" ca="1" si="0"/>
        <v>2.7990328876343753</v>
      </c>
      <c r="C36" s="23">
        <f t="shared" ca="1" si="5"/>
        <v>101.47658670847613</v>
      </c>
      <c r="D36" s="23">
        <f t="shared" ca="1" si="6"/>
        <v>101.47658670847613</v>
      </c>
      <c r="E36" s="23">
        <f t="shared" ca="1" si="1"/>
        <v>3.7311623698449812</v>
      </c>
      <c r="F36" s="28">
        <f t="shared" ca="1" si="2"/>
        <v>105.20774907832111</v>
      </c>
      <c r="G36" s="23">
        <f t="shared" ca="1" si="3"/>
        <v>0</v>
      </c>
      <c r="H36" s="23">
        <f t="shared" ca="1" si="4"/>
        <v>3.7311623698449807</v>
      </c>
    </row>
    <row r="37" spans="1:8" x14ac:dyDescent="0.2">
      <c r="A37" s="1">
        <v>26</v>
      </c>
      <c r="B37" s="27">
        <f t="shared" ca="1" si="0"/>
        <v>1.3570574265320916</v>
      </c>
      <c r="C37" s="23">
        <f t="shared" ca="1" si="5"/>
        <v>102.83364413500823</v>
      </c>
      <c r="D37" s="23">
        <f t="shared" ca="1" si="6"/>
        <v>105.20774907832111</v>
      </c>
      <c r="E37" s="23">
        <f t="shared" ca="1" si="1"/>
        <v>3.8450238121792366</v>
      </c>
      <c r="F37" s="28">
        <f t="shared" ca="1" si="2"/>
        <v>109.05277289050035</v>
      </c>
      <c r="G37" s="23">
        <f t="shared" ca="1" si="3"/>
        <v>2.3741049433128865</v>
      </c>
      <c r="H37" s="23">
        <f t="shared" ca="1" si="4"/>
        <v>6.2191287554921217</v>
      </c>
    </row>
    <row r="38" spans="1:8" x14ac:dyDescent="0.2">
      <c r="A38" s="1">
        <v>27</v>
      </c>
      <c r="B38" s="27">
        <f t="shared" ca="1" si="0"/>
        <v>13.581193470255812</v>
      </c>
      <c r="C38" s="23">
        <f t="shared" ca="1" si="5"/>
        <v>116.41483760526404</v>
      </c>
      <c r="D38" s="23">
        <f t="shared" ca="1" si="6"/>
        <v>116.41483760526404</v>
      </c>
      <c r="E38" s="23">
        <f t="shared" ca="1" si="1"/>
        <v>3.6755150156256478</v>
      </c>
      <c r="F38" s="28">
        <f t="shared" ca="1" si="2"/>
        <v>120.09035262088969</v>
      </c>
      <c r="G38" s="23">
        <f t="shared" ca="1" si="3"/>
        <v>0</v>
      </c>
      <c r="H38" s="23">
        <f t="shared" ca="1" si="4"/>
        <v>3.6755150156256491</v>
      </c>
    </row>
    <row r="39" spans="1:8" x14ac:dyDescent="0.2">
      <c r="A39" s="1">
        <v>28</v>
      </c>
      <c r="B39" s="27">
        <f t="shared" ca="1" si="0"/>
        <v>2.4893680172671671</v>
      </c>
      <c r="C39" s="23">
        <f t="shared" ca="1" si="5"/>
        <v>118.90420562253121</v>
      </c>
      <c r="D39" s="23">
        <f t="shared" ca="1" si="6"/>
        <v>120.09035262088969</v>
      </c>
      <c r="E39" s="23">
        <f t="shared" ca="1" si="1"/>
        <v>0.76444713118157503</v>
      </c>
      <c r="F39" s="28">
        <f t="shared" ca="1" si="2"/>
        <v>120.85479975207126</v>
      </c>
      <c r="G39" s="23">
        <f t="shared" ca="1" si="3"/>
        <v>1.1861469983584811</v>
      </c>
      <c r="H39" s="23">
        <f t="shared" ca="1" si="4"/>
        <v>1.9505941295400504</v>
      </c>
    </row>
    <row r="40" spans="1:8" x14ac:dyDescent="0.2">
      <c r="A40" s="1">
        <v>29</v>
      </c>
      <c r="B40" s="27">
        <f t="shared" ca="1" si="0"/>
        <v>2.0082934340465144</v>
      </c>
      <c r="C40" s="23">
        <f t="shared" ca="1" si="5"/>
        <v>120.91249905657773</v>
      </c>
      <c r="D40" s="23">
        <f t="shared" ca="1" si="6"/>
        <v>120.91249905657773</v>
      </c>
      <c r="E40" s="23">
        <f t="shared" ca="1" si="1"/>
        <v>1.5059532890967402</v>
      </c>
      <c r="F40" s="28">
        <f t="shared" ca="1" si="2"/>
        <v>122.41845234567447</v>
      </c>
      <c r="G40" s="23">
        <f t="shared" ca="1" si="3"/>
        <v>0</v>
      </c>
      <c r="H40" s="23">
        <f t="shared" ca="1" si="4"/>
        <v>1.5059532890967375</v>
      </c>
    </row>
    <row r="41" spans="1:8" x14ac:dyDescent="0.2">
      <c r="A41" s="1">
        <v>30</v>
      </c>
      <c r="B41" s="27">
        <f t="shared" ca="1" si="0"/>
        <v>3.3418047076955504</v>
      </c>
      <c r="C41" s="23">
        <f t="shared" ca="1" si="5"/>
        <v>124.25430376427327</v>
      </c>
      <c r="D41" s="23">
        <f t="shared" ca="1" si="6"/>
        <v>124.25430376427327</v>
      </c>
      <c r="E41" s="23">
        <f t="shared" ca="1" si="1"/>
        <v>2.1332970441026453</v>
      </c>
      <c r="F41" s="28">
        <f t="shared" ca="1" si="2"/>
        <v>126.38760080837592</v>
      </c>
      <c r="G41" s="23">
        <f t="shared" ca="1" si="3"/>
        <v>0</v>
      </c>
      <c r="H41" s="23">
        <f t="shared" ca="1" si="4"/>
        <v>2.1332970441026475</v>
      </c>
    </row>
    <row r="42" spans="1:8" x14ac:dyDescent="0.2">
      <c r="A42" s="1">
        <v>31</v>
      </c>
      <c r="B42" s="27">
        <f t="shared" ca="1" si="0"/>
        <v>3.2239116843421138</v>
      </c>
      <c r="C42" s="23">
        <f t="shared" ca="1" si="5"/>
        <v>127.47821544861539</v>
      </c>
      <c r="D42" s="23">
        <f t="shared" ca="1" si="6"/>
        <v>127.47821544861539</v>
      </c>
      <c r="E42" s="23">
        <f t="shared" ca="1" si="1"/>
        <v>2.6963598808678966</v>
      </c>
      <c r="F42" s="28">
        <f t="shared" ca="1" si="2"/>
        <v>130.17457532948328</v>
      </c>
      <c r="G42" s="23">
        <f t="shared" ca="1" si="3"/>
        <v>0</v>
      </c>
      <c r="H42" s="23">
        <f t="shared" ca="1" si="4"/>
        <v>2.6963598808678881</v>
      </c>
    </row>
    <row r="43" spans="1:8" x14ac:dyDescent="0.2">
      <c r="A43" s="1">
        <v>32</v>
      </c>
      <c r="B43" s="27">
        <f t="shared" ca="1" si="0"/>
        <v>8.6749330049094908</v>
      </c>
      <c r="C43" s="23">
        <f t="shared" ca="1" si="5"/>
        <v>136.15314845352486</v>
      </c>
      <c r="D43" s="23">
        <f t="shared" ca="1" si="6"/>
        <v>136.15314845352486</v>
      </c>
      <c r="E43" s="23">
        <f t="shared" ca="1" si="1"/>
        <v>1.517871927477517</v>
      </c>
      <c r="F43" s="28">
        <f t="shared" ca="1" si="2"/>
        <v>137.67102038100239</v>
      </c>
      <c r="G43" s="23">
        <f t="shared" ca="1" si="3"/>
        <v>0</v>
      </c>
      <c r="H43" s="23">
        <f t="shared" ca="1" si="4"/>
        <v>1.517871927477529</v>
      </c>
    </row>
    <row r="44" spans="1:8" x14ac:dyDescent="0.2">
      <c r="A44" s="1">
        <v>33</v>
      </c>
      <c r="B44" s="27">
        <f t="shared" ref="B44:B75" ca="1" si="7">-$C$2*LN(RAND())</f>
        <v>0.44777771695811652</v>
      </c>
      <c r="C44" s="23">
        <f t="shared" ca="1" si="5"/>
        <v>136.60092617048298</v>
      </c>
      <c r="D44" s="23">
        <f t="shared" ca="1" si="6"/>
        <v>137.67102038100239</v>
      </c>
      <c r="E44" s="23">
        <f t="shared" ref="E44:E75" ca="1" si="8">$C$4*2*RAND()</f>
        <v>1.0290846165021357</v>
      </c>
      <c r="F44" s="28">
        <f t="shared" ca="1" si="2"/>
        <v>138.70010499750452</v>
      </c>
      <c r="G44" s="23">
        <f t="shared" ca="1" si="3"/>
        <v>1.0700942105194144</v>
      </c>
      <c r="H44" s="23">
        <f t="shared" ca="1" si="4"/>
        <v>2.0991788270215466</v>
      </c>
    </row>
    <row r="45" spans="1:8" x14ac:dyDescent="0.2">
      <c r="A45" s="1">
        <v>34</v>
      </c>
      <c r="B45" s="27">
        <f t="shared" ca="1" si="7"/>
        <v>8.3518565292161746</v>
      </c>
      <c r="C45" s="23">
        <f t="shared" ca="1" si="5"/>
        <v>144.95278269969916</v>
      </c>
      <c r="D45" s="23">
        <f t="shared" ca="1" si="6"/>
        <v>144.95278269969916</v>
      </c>
      <c r="E45" s="23">
        <f t="shared" ca="1" si="8"/>
        <v>3.6559334398746426</v>
      </c>
      <c r="F45" s="28">
        <f t="shared" ca="1" si="2"/>
        <v>148.6087161395738</v>
      </c>
      <c r="G45" s="23">
        <f t="shared" ca="1" si="3"/>
        <v>0</v>
      </c>
      <c r="H45" s="23">
        <f t="shared" ca="1" si="4"/>
        <v>3.6559334398746444</v>
      </c>
    </row>
    <row r="46" spans="1:8" x14ac:dyDescent="0.2">
      <c r="A46" s="1">
        <v>35</v>
      </c>
      <c r="B46" s="27">
        <f t="shared" ca="1" si="7"/>
        <v>7.1338747219309715</v>
      </c>
      <c r="C46" s="23">
        <f t="shared" ca="1" si="5"/>
        <v>152.08665742163012</v>
      </c>
      <c r="D46" s="23">
        <f t="shared" ca="1" si="6"/>
        <v>152.08665742163012</v>
      </c>
      <c r="E46" s="23">
        <f t="shared" ca="1" si="8"/>
        <v>2.422719354901266</v>
      </c>
      <c r="F46" s="28">
        <f t="shared" ca="1" si="2"/>
        <v>154.50937677653138</v>
      </c>
      <c r="G46" s="23">
        <f t="shared" ca="1" si="3"/>
        <v>0</v>
      </c>
      <c r="H46" s="23">
        <f t="shared" ca="1" si="4"/>
        <v>2.4227193549012611</v>
      </c>
    </row>
    <row r="47" spans="1:8" x14ac:dyDescent="0.2">
      <c r="A47" s="1">
        <v>36</v>
      </c>
      <c r="B47" s="27">
        <f t="shared" ca="1" si="7"/>
        <v>8.8011323120961684</v>
      </c>
      <c r="C47" s="23">
        <f t="shared" ca="1" si="5"/>
        <v>160.88778973372629</v>
      </c>
      <c r="D47" s="23">
        <f t="shared" ca="1" si="6"/>
        <v>160.88778973372629</v>
      </c>
      <c r="E47" s="23">
        <f t="shared" ca="1" si="8"/>
        <v>3.5206053450256269</v>
      </c>
      <c r="F47" s="28">
        <f t="shared" ca="1" si="2"/>
        <v>164.40839507875191</v>
      </c>
      <c r="G47" s="23">
        <f t="shared" ca="1" si="3"/>
        <v>0</v>
      </c>
      <c r="H47" s="23">
        <f t="shared" ca="1" si="4"/>
        <v>3.520605345025615</v>
      </c>
    </row>
    <row r="48" spans="1:8" x14ac:dyDescent="0.2">
      <c r="A48" s="1">
        <v>37</v>
      </c>
      <c r="B48" s="27">
        <f t="shared" ca="1" si="7"/>
        <v>4.6364154775182573</v>
      </c>
      <c r="C48" s="23">
        <f t="shared" ca="1" si="5"/>
        <v>165.52420521124455</v>
      </c>
      <c r="D48" s="23">
        <f t="shared" ca="1" si="6"/>
        <v>165.52420521124455</v>
      </c>
      <c r="E48" s="23">
        <f t="shared" ca="1" si="8"/>
        <v>6.0509207276139509E-2</v>
      </c>
      <c r="F48" s="28">
        <f t="shared" ca="1" si="2"/>
        <v>165.58471441852069</v>
      </c>
      <c r="G48" s="23">
        <f t="shared" ca="1" si="3"/>
        <v>0</v>
      </c>
      <c r="H48" s="23">
        <f t="shared" ca="1" si="4"/>
        <v>6.0509207276140842E-2</v>
      </c>
    </row>
    <row r="49" spans="1:8" x14ac:dyDescent="0.2">
      <c r="A49" s="1">
        <v>38</v>
      </c>
      <c r="B49" s="27">
        <f t="shared" ca="1" si="7"/>
        <v>0.16461031885192215</v>
      </c>
      <c r="C49" s="23">
        <f t="shared" ca="1" si="5"/>
        <v>165.68881553009646</v>
      </c>
      <c r="D49" s="23">
        <f t="shared" ca="1" si="6"/>
        <v>165.68881553009646</v>
      </c>
      <c r="E49" s="23">
        <f t="shared" ca="1" si="8"/>
        <v>3.6206634459613136</v>
      </c>
      <c r="F49" s="28">
        <f t="shared" ca="1" si="2"/>
        <v>169.30947897605779</v>
      </c>
      <c r="G49" s="23">
        <f t="shared" ca="1" si="3"/>
        <v>0</v>
      </c>
      <c r="H49" s="23">
        <f t="shared" ca="1" si="4"/>
        <v>3.6206634459613269</v>
      </c>
    </row>
    <row r="50" spans="1:8" x14ac:dyDescent="0.2">
      <c r="A50" s="1">
        <v>39</v>
      </c>
      <c r="B50" s="27">
        <f t="shared" ca="1" si="7"/>
        <v>7.2054756567086766</v>
      </c>
      <c r="C50" s="23">
        <f t="shared" ca="1" si="5"/>
        <v>172.89429118680513</v>
      </c>
      <c r="D50" s="23">
        <f t="shared" ca="1" si="6"/>
        <v>172.89429118680513</v>
      </c>
      <c r="E50" s="23">
        <f t="shared" ca="1" si="8"/>
        <v>0.81305174529478297</v>
      </c>
      <c r="F50" s="28">
        <f t="shared" ca="1" si="2"/>
        <v>173.70734293209992</v>
      </c>
      <c r="G50" s="23">
        <f t="shared" ca="1" si="3"/>
        <v>0</v>
      </c>
      <c r="H50" s="23">
        <f t="shared" ca="1" si="4"/>
        <v>0.81305174529478563</v>
      </c>
    </row>
    <row r="51" spans="1:8" x14ac:dyDescent="0.2">
      <c r="A51" s="1">
        <v>40</v>
      </c>
      <c r="B51" s="27">
        <f t="shared" ca="1" si="7"/>
        <v>1.1391363262376017E-2</v>
      </c>
      <c r="C51" s="23">
        <f t="shared" ca="1" si="5"/>
        <v>172.9056825500675</v>
      </c>
      <c r="D51" s="23">
        <f t="shared" ca="1" si="6"/>
        <v>173.70734293209992</v>
      </c>
      <c r="E51" s="23">
        <f t="shared" ca="1" si="8"/>
        <v>1.9092453008353987</v>
      </c>
      <c r="F51" s="28">
        <f t="shared" ca="1" si="2"/>
        <v>175.61658823293533</v>
      </c>
      <c r="G51" s="23">
        <f t="shared" ca="1" si="3"/>
        <v>0.80166038203242351</v>
      </c>
      <c r="H51" s="23">
        <f t="shared" ca="1" si="4"/>
        <v>2.710905682867832</v>
      </c>
    </row>
    <row r="52" spans="1:8" x14ac:dyDescent="0.2">
      <c r="A52" s="1">
        <v>41</v>
      </c>
      <c r="B52" s="27">
        <f t="shared" ca="1" si="7"/>
        <v>7.082434056308351</v>
      </c>
      <c r="C52" s="23">
        <f t="shared" ca="1" si="5"/>
        <v>179.98811660637585</v>
      </c>
      <c r="D52" s="23">
        <f t="shared" ca="1" si="6"/>
        <v>179.98811660637585</v>
      </c>
      <c r="E52" s="23">
        <f t="shared" ca="1" si="8"/>
        <v>2.0123639965396189</v>
      </c>
      <c r="F52" s="28">
        <f t="shared" ca="1" si="2"/>
        <v>182.00048060291547</v>
      </c>
      <c r="G52" s="23">
        <f t="shared" ca="1" si="3"/>
        <v>0</v>
      </c>
      <c r="H52" s="23">
        <f t="shared" ca="1" si="4"/>
        <v>2.0123639965396194</v>
      </c>
    </row>
    <row r="53" spans="1:8" x14ac:dyDescent="0.2">
      <c r="A53" s="1">
        <v>42</v>
      </c>
      <c r="B53" s="27">
        <f t="shared" ca="1" si="7"/>
        <v>3.3156470222254155</v>
      </c>
      <c r="C53" s="23">
        <f t="shared" ca="1" si="5"/>
        <v>183.30376362860127</v>
      </c>
      <c r="D53" s="23">
        <f t="shared" ca="1" si="6"/>
        <v>183.30376362860127</v>
      </c>
      <c r="E53" s="23">
        <f t="shared" ca="1" si="8"/>
        <v>0.24514218182353442</v>
      </c>
      <c r="F53" s="28">
        <f t="shared" ca="1" si="2"/>
        <v>183.5489058104248</v>
      </c>
      <c r="G53" s="23">
        <f t="shared" ca="1" si="3"/>
        <v>0</v>
      </c>
      <c r="H53" s="23">
        <f t="shared" ca="1" si="4"/>
        <v>0.24514218182352465</v>
      </c>
    </row>
    <row r="54" spans="1:8" x14ac:dyDescent="0.2">
      <c r="A54" s="1">
        <v>43</v>
      </c>
      <c r="B54" s="27">
        <f t="shared" ca="1" si="7"/>
        <v>1.9466996228337374</v>
      </c>
      <c r="C54" s="23">
        <f t="shared" ca="1" si="5"/>
        <v>185.25046325143501</v>
      </c>
      <c r="D54" s="23">
        <f t="shared" ca="1" si="6"/>
        <v>185.25046325143501</v>
      </c>
      <c r="E54" s="23">
        <f t="shared" ca="1" si="8"/>
        <v>2.2753233406517959</v>
      </c>
      <c r="F54" s="28">
        <f t="shared" ca="1" si="2"/>
        <v>187.5257865920868</v>
      </c>
      <c r="G54" s="23">
        <f t="shared" ca="1" si="3"/>
        <v>0</v>
      </c>
      <c r="H54" s="23">
        <f t="shared" ca="1" si="4"/>
        <v>2.275323340651795</v>
      </c>
    </row>
    <row r="55" spans="1:8" x14ac:dyDescent="0.2">
      <c r="A55" s="1">
        <v>44</v>
      </c>
      <c r="B55" s="27">
        <f t="shared" ca="1" si="7"/>
        <v>1.1608107047137963</v>
      </c>
      <c r="C55" s="23">
        <f t="shared" ca="1" si="5"/>
        <v>186.41127395614882</v>
      </c>
      <c r="D55" s="23">
        <f t="shared" ca="1" si="6"/>
        <v>187.5257865920868</v>
      </c>
      <c r="E55" s="23">
        <f t="shared" ca="1" si="8"/>
        <v>2.4988075935124408</v>
      </c>
      <c r="F55" s="28">
        <f t="shared" ca="1" si="2"/>
        <v>190.02459418559926</v>
      </c>
      <c r="G55" s="23">
        <f t="shared" ca="1" si="3"/>
        <v>1.1145126359379844</v>
      </c>
      <c r="H55" s="23">
        <f t="shared" ca="1" si="4"/>
        <v>3.6133202294504372</v>
      </c>
    </row>
    <row r="56" spans="1:8" x14ac:dyDescent="0.2">
      <c r="A56" s="1">
        <v>45</v>
      </c>
      <c r="B56" s="27">
        <f t="shared" ca="1" si="7"/>
        <v>4.3026750571957635</v>
      </c>
      <c r="C56" s="23">
        <f t="shared" ca="1" si="5"/>
        <v>190.71394901334457</v>
      </c>
      <c r="D56" s="23">
        <f t="shared" ca="1" si="6"/>
        <v>190.71394901334457</v>
      </c>
      <c r="E56" s="23">
        <f t="shared" ca="1" si="8"/>
        <v>0.2689853012949901</v>
      </c>
      <c r="F56" s="28">
        <f t="shared" ca="1" si="2"/>
        <v>190.98293431463958</v>
      </c>
      <c r="G56" s="23">
        <f t="shared" ca="1" si="3"/>
        <v>0</v>
      </c>
      <c r="H56" s="23">
        <f t="shared" ca="1" si="4"/>
        <v>0.26898530129500386</v>
      </c>
    </row>
    <row r="57" spans="1:8" x14ac:dyDescent="0.2">
      <c r="A57" s="1">
        <v>46</v>
      </c>
      <c r="B57" s="27">
        <f t="shared" ca="1" si="7"/>
        <v>4.6959299556892002</v>
      </c>
      <c r="C57" s="23">
        <f t="shared" ca="1" si="5"/>
        <v>195.40987896903377</v>
      </c>
      <c r="D57" s="23">
        <f t="shared" ca="1" si="6"/>
        <v>195.40987896903377</v>
      </c>
      <c r="E57" s="23">
        <f t="shared" ca="1" si="8"/>
        <v>1.9062759509612612</v>
      </c>
      <c r="F57" s="28">
        <f t="shared" ca="1" si="2"/>
        <v>197.31615491999503</v>
      </c>
      <c r="G57" s="23">
        <f t="shared" ca="1" si="3"/>
        <v>0</v>
      </c>
      <c r="H57" s="23">
        <f t="shared" ca="1" si="4"/>
        <v>1.906275950961259</v>
      </c>
    </row>
    <row r="58" spans="1:8" x14ac:dyDescent="0.2">
      <c r="A58" s="1">
        <v>47</v>
      </c>
      <c r="B58" s="27">
        <f t="shared" ca="1" si="7"/>
        <v>10.264769264455161</v>
      </c>
      <c r="C58" s="23">
        <f t="shared" ca="1" si="5"/>
        <v>205.67464823348894</v>
      </c>
      <c r="D58" s="23">
        <f t="shared" ca="1" si="6"/>
        <v>205.67464823348894</v>
      </c>
      <c r="E58" s="23">
        <f t="shared" ca="1" si="8"/>
        <v>3.9025557546457241</v>
      </c>
      <c r="F58" s="28">
        <f t="shared" ca="1" si="2"/>
        <v>209.57720398813467</v>
      </c>
      <c r="G58" s="23">
        <f t="shared" ca="1" si="3"/>
        <v>0</v>
      </c>
      <c r="H58" s="23">
        <f t="shared" ca="1" si="4"/>
        <v>3.9025557546457321</v>
      </c>
    </row>
    <row r="59" spans="1:8" x14ac:dyDescent="0.2">
      <c r="A59" s="1">
        <v>48</v>
      </c>
      <c r="B59" s="27">
        <f t="shared" ca="1" si="7"/>
        <v>7.8617350006738551</v>
      </c>
      <c r="C59" s="23">
        <f t="shared" ca="1" si="5"/>
        <v>213.5363832341628</v>
      </c>
      <c r="D59" s="23">
        <f t="shared" ca="1" si="6"/>
        <v>213.5363832341628</v>
      </c>
      <c r="E59" s="23">
        <f t="shared" ca="1" si="8"/>
        <v>0.67826337732209341</v>
      </c>
      <c r="F59" s="28">
        <f t="shared" ca="1" si="2"/>
        <v>214.21464661148488</v>
      </c>
      <c r="G59" s="23">
        <f t="shared" ca="1" si="3"/>
        <v>0</v>
      </c>
      <c r="H59" s="23">
        <f t="shared" ca="1" si="4"/>
        <v>0.67826337732208231</v>
      </c>
    </row>
    <row r="60" spans="1:8" x14ac:dyDescent="0.2">
      <c r="A60" s="1">
        <v>49</v>
      </c>
      <c r="B60" s="27">
        <f t="shared" ca="1" si="7"/>
        <v>1.4333805750909971</v>
      </c>
      <c r="C60" s="23">
        <f t="shared" ca="1" si="5"/>
        <v>214.96976380925381</v>
      </c>
      <c r="D60" s="23">
        <f t="shared" ca="1" si="6"/>
        <v>214.96976380925381</v>
      </c>
      <c r="E60" s="23">
        <f t="shared" ca="1" si="8"/>
        <v>3.4227445396942704</v>
      </c>
      <c r="F60" s="28">
        <f t="shared" ca="1" si="2"/>
        <v>218.39250834894807</v>
      </c>
      <c r="G60" s="23">
        <f t="shared" ca="1" si="3"/>
        <v>0</v>
      </c>
      <c r="H60" s="23">
        <f t="shared" ca="1" si="4"/>
        <v>3.4227445396942642</v>
      </c>
    </row>
    <row r="61" spans="1:8" x14ac:dyDescent="0.2">
      <c r="A61" s="1">
        <v>50</v>
      </c>
      <c r="B61" s="27">
        <f t="shared" ca="1" si="7"/>
        <v>14.055054398798546</v>
      </c>
      <c r="C61" s="23">
        <f t="shared" ca="1" si="5"/>
        <v>229.02481820805235</v>
      </c>
      <c r="D61" s="23">
        <f t="shared" ca="1" si="6"/>
        <v>229.02481820805235</v>
      </c>
      <c r="E61" s="23">
        <f t="shared" ca="1" si="8"/>
        <v>2.9970213312666916</v>
      </c>
      <c r="F61" s="28">
        <f t="shared" ca="1" si="2"/>
        <v>232.02183953931905</v>
      </c>
      <c r="G61" s="23">
        <f t="shared" ca="1" si="3"/>
        <v>0</v>
      </c>
      <c r="H61" s="23">
        <f t="shared" ca="1" si="4"/>
        <v>2.9970213312666942</v>
      </c>
    </row>
    <row r="62" spans="1:8" x14ac:dyDescent="0.2">
      <c r="A62" s="1">
        <v>51</v>
      </c>
      <c r="B62" s="27">
        <f t="shared" ca="1" si="7"/>
        <v>13.462551119441837</v>
      </c>
      <c r="C62" s="23">
        <f t="shared" ca="1" si="5"/>
        <v>242.48736932749418</v>
      </c>
      <c r="D62" s="23">
        <f t="shared" ca="1" si="6"/>
        <v>242.48736932749418</v>
      </c>
      <c r="E62" s="23">
        <f t="shared" ca="1" si="8"/>
        <v>1.972486537904758</v>
      </c>
      <c r="F62" s="28">
        <f t="shared" ca="1" si="2"/>
        <v>244.45985586539894</v>
      </c>
      <c r="G62" s="23">
        <f t="shared" ca="1" si="3"/>
        <v>0</v>
      </c>
      <c r="H62" s="23">
        <f t="shared" ca="1" si="4"/>
        <v>1.9724865379047571</v>
      </c>
    </row>
    <row r="63" spans="1:8" x14ac:dyDescent="0.2">
      <c r="A63" s="1">
        <v>52</v>
      </c>
      <c r="B63" s="27">
        <f t="shared" ca="1" si="7"/>
        <v>4.174732020026112</v>
      </c>
      <c r="C63" s="23">
        <f t="shared" ca="1" si="5"/>
        <v>246.66210134752029</v>
      </c>
      <c r="D63" s="23">
        <f t="shared" ca="1" si="6"/>
        <v>246.66210134752029</v>
      </c>
      <c r="E63" s="23">
        <f t="shared" ca="1" si="8"/>
        <v>0.7867177957858047</v>
      </c>
      <c r="F63" s="28">
        <f t="shared" ca="1" si="2"/>
        <v>247.44881914330608</v>
      </c>
      <c r="G63" s="23">
        <f t="shared" ca="1" si="3"/>
        <v>0</v>
      </c>
      <c r="H63" s="23">
        <f t="shared" ca="1" si="4"/>
        <v>0.78671779578579049</v>
      </c>
    </row>
    <row r="64" spans="1:8" x14ac:dyDescent="0.2">
      <c r="A64" s="1">
        <v>53</v>
      </c>
      <c r="B64" s="27">
        <f t="shared" ca="1" si="7"/>
        <v>0.69691286513710027</v>
      </c>
      <c r="C64" s="23">
        <f t="shared" ca="1" si="5"/>
        <v>247.3590142126574</v>
      </c>
      <c r="D64" s="23">
        <f t="shared" ca="1" si="6"/>
        <v>247.44881914330608</v>
      </c>
      <c r="E64" s="23">
        <f t="shared" ca="1" si="8"/>
        <v>2.5382616103023228</v>
      </c>
      <c r="F64" s="28">
        <f t="shared" ca="1" si="2"/>
        <v>249.98708075360841</v>
      </c>
      <c r="G64" s="23">
        <f t="shared" ca="1" si="3"/>
        <v>8.9804930648682557E-2</v>
      </c>
      <c r="H64" s="23">
        <f t="shared" ca="1" si="4"/>
        <v>2.6280665409510107</v>
      </c>
    </row>
    <row r="65" spans="1:8" x14ac:dyDescent="0.2">
      <c r="A65" s="1">
        <v>54</v>
      </c>
      <c r="B65" s="27">
        <f t="shared" ca="1" si="7"/>
        <v>21.700466019701597</v>
      </c>
      <c r="C65" s="23">
        <f t="shared" ca="1" si="5"/>
        <v>269.05948023235902</v>
      </c>
      <c r="D65" s="23">
        <f t="shared" ca="1" si="6"/>
        <v>269.05948023235902</v>
      </c>
      <c r="E65" s="23">
        <f t="shared" ca="1" si="8"/>
        <v>4.5390341279815338E-2</v>
      </c>
      <c r="F65" s="28">
        <f t="shared" ca="1" si="2"/>
        <v>269.10487057363883</v>
      </c>
      <c r="G65" s="23">
        <f t="shared" ca="1" si="3"/>
        <v>0</v>
      </c>
      <c r="H65" s="23">
        <f t="shared" ca="1" si="4"/>
        <v>4.5390341279812674E-2</v>
      </c>
    </row>
    <row r="66" spans="1:8" x14ac:dyDescent="0.2">
      <c r="A66" s="1">
        <v>55</v>
      </c>
      <c r="B66" s="27">
        <f t="shared" ca="1" si="7"/>
        <v>5.6630779124127928</v>
      </c>
      <c r="C66" s="23">
        <f t="shared" ca="1" si="5"/>
        <v>274.72255814477182</v>
      </c>
      <c r="D66" s="23">
        <f t="shared" ca="1" si="6"/>
        <v>274.72255814477182</v>
      </c>
      <c r="E66" s="23">
        <f t="shared" ca="1" si="8"/>
        <v>3.1752580076624173</v>
      </c>
      <c r="F66" s="28">
        <f t="shared" ca="1" si="2"/>
        <v>277.89781615243425</v>
      </c>
      <c r="G66" s="23">
        <f t="shared" ca="1" si="3"/>
        <v>0</v>
      </c>
      <c r="H66" s="23">
        <f t="shared" ca="1" si="4"/>
        <v>3.1752580076624213</v>
      </c>
    </row>
    <row r="67" spans="1:8" x14ac:dyDescent="0.2">
      <c r="A67" s="1">
        <v>56</v>
      </c>
      <c r="B67" s="27">
        <f t="shared" ca="1" si="7"/>
        <v>3.2193424982309722</v>
      </c>
      <c r="C67" s="23">
        <f t="shared" ca="1" si="5"/>
        <v>277.94190064300278</v>
      </c>
      <c r="D67" s="23">
        <f t="shared" ca="1" si="6"/>
        <v>277.94190064300278</v>
      </c>
      <c r="E67" s="23">
        <f t="shared" ca="1" si="8"/>
        <v>0.22096957964918129</v>
      </c>
      <c r="F67" s="28">
        <f t="shared" ca="1" si="2"/>
        <v>278.16287022265197</v>
      </c>
      <c r="G67" s="23">
        <f t="shared" ca="1" si="3"/>
        <v>0</v>
      </c>
      <c r="H67" s="23">
        <f t="shared" ca="1" si="4"/>
        <v>0.22096957964919284</v>
      </c>
    </row>
    <row r="68" spans="1:8" x14ac:dyDescent="0.2">
      <c r="A68" s="1">
        <v>57</v>
      </c>
      <c r="B68" s="27">
        <f t="shared" ca="1" si="7"/>
        <v>13.090671704463212</v>
      </c>
      <c r="C68" s="23">
        <f t="shared" ca="1" si="5"/>
        <v>291.03257234746599</v>
      </c>
      <c r="D68" s="23">
        <f t="shared" ca="1" si="6"/>
        <v>291.03257234746599</v>
      </c>
      <c r="E68" s="23">
        <f t="shared" ca="1" si="8"/>
        <v>1.1269590761165302</v>
      </c>
      <c r="F68" s="28">
        <f t="shared" ca="1" si="2"/>
        <v>292.15953142358251</v>
      </c>
      <c r="G68" s="23">
        <f t="shared" ca="1" si="3"/>
        <v>0</v>
      </c>
      <c r="H68" s="23">
        <f t="shared" ca="1" si="4"/>
        <v>1.1269590761165205</v>
      </c>
    </row>
    <row r="69" spans="1:8" x14ac:dyDescent="0.2">
      <c r="A69" s="1">
        <v>58</v>
      </c>
      <c r="B69" s="27">
        <f t="shared" ca="1" si="7"/>
        <v>11.608184990012795</v>
      </c>
      <c r="C69" s="23">
        <f t="shared" ca="1" si="5"/>
        <v>302.64075733747876</v>
      </c>
      <c r="D69" s="23">
        <f t="shared" ca="1" si="6"/>
        <v>302.64075733747876</v>
      </c>
      <c r="E69" s="23">
        <f t="shared" ca="1" si="8"/>
        <v>2.1481138510955011</v>
      </c>
      <c r="F69" s="28">
        <f t="shared" ca="1" si="2"/>
        <v>304.78887118857426</v>
      </c>
      <c r="G69" s="23">
        <f t="shared" ca="1" si="3"/>
        <v>0</v>
      </c>
      <c r="H69" s="23">
        <f t="shared" ca="1" si="4"/>
        <v>2.148113851095502</v>
      </c>
    </row>
    <row r="70" spans="1:8" x14ac:dyDescent="0.2">
      <c r="A70" s="1">
        <v>59</v>
      </c>
      <c r="B70" s="27">
        <f t="shared" ca="1" si="7"/>
        <v>3.395164417152754</v>
      </c>
      <c r="C70" s="23">
        <f t="shared" ca="1" si="5"/>
        <v>306.03592175463149</v>
      </c>
      <c r="D70" s="23">
        <f t="shared" ca="1" si="6"/>
        <v>306.03592175463149</v>
      </c>
      <c r="E70" s="23">
        <f t="shared" ca="1" si="8"/>
        <v>2.4070253817877547</v>
      </c>
      <c r="F70" s="28">
        <f t="shared" ca="1" si="2"/>
        <v>308.44294713641926</v>
      </c>
      <c r="G70" s="23">
        <f t="shared" ca="1" si="3"/>
        <v>0</v>
      </c>
      <c r="H70" s="23">
        <f t="shared" ca="1" si="4"/>
        <v>2.4070253817877756</v>
      </c>
    </row>
    <row r="71" spans="1:8" x14ac:dyDescent="0.2">
      <c r="A71" s="1">
        <v>60</v>
      </c>
      <c r="B71" s="27">
        <f t="shared" ca="1" si="7"/>
        <v>5.923300413152111</v>
      </c>
      <c r="C71" s="23">
        <f t="shared" ca="1" si="5"/>
        <v>311.95922216778359</v>
      </c>
      <c r="D71" s="23">
        <f t="shared" ca="1" si="6"/>
        <v>311.95922216778359</v>
      </c>
      <c r="E71" s="23">
        <f t="shared" ca="1" si="8"/>
        <v>1.7751476276618203</v>
      </c>
      <c r="F71" s="28">
        <f t="shared" ca="1" si="2"/>
        <v>313.73436979544539</v>
      </c>
      <c r="G71" s="23">
        <f t="shared" ca="1" si="3"/>
        <v>0</v>
      </c>
      <c r="H71" s="23">
        <f t="shared" ca="1" si="4"/>
        <v>1.775147627661795</v>
      </c>
    </row>
    <row r="72" spans="1:8" x14ac:dyDescent="0.2">
      <c r="A72" s="1">
        <v>61</v>
      </c>
      <c r="B72" s="27">
        <f t="shared" ca="1" si="7"/>
        <v>14.329158023329299</v>
      </c>
      <c r="C72" s="23">
        <f t="shared" ca="1" si="5"/>
        <v>326.28838019111288</v>
      </c>
      <c r="D72" s="23">
        <f t="shared" ca="1" si="6"/>
        <v>326.28838019111288</v>
      </c>
      <c r="E72" s="23">
        <f t="shared" ca="1" si="8"/>
        <v>3.6550947730197576</v>
      </c>
      <c r="F72" s="28">
        <f t="shared" ca="1" si="2"/>
        <v>329.94347496413263</v>
      </c>
      <c r="G72" s="23">
        <f t="shared" ca="1" si="3"/>
        <v>0</v>
      </c>
      <c r="H72" s="23">
        <f t="shared" ca="1" si="4"/>
        <v>3.6550947730197549</v>
      </c>
    </row>
    <row r="73" spans="1:8" x14ac:dyDescent="0.2">
      <c r="A73" s="1">
        <v>62</v>
      </c>
      <c r="B73" s="27">
        <f t="shared" ca="1" si="7"/>
        <v>9.3028569427715286</v>
      </c>
      <c r="C73" s="23">
        <f t="shared" ca="1" si="5"/>
        <v>335.59123713388442</v>
      </c>
      <c r="D73" s="23">
        <f t="shared" ca="1" si="6"/>
        <v>335.59123713388442</v>
      </c>
      <c r="E73" s="23">
        <f t="shared" ca="1" si="8"/>
        <v>2.5230985229632164</v>
      </c>
      <c r="F73" s="28">
        <f t="shared" ca="1" si="2"/>
        <v>338.11433565684763</v>
      </c>
      <c r="G73" s="23">
        <f t="shared" ca="1" si="3"/>
        <v>0</v>
      </c>
      <c r="H73" s="23">
        <f t="shared" ca="1" si="4"/>
        <v>2.5230985229632097</v>
      </c>
    </row>
    <row r="74" spans="1:8" x14ac:dyDescent="0.2">
      <c r="A74" s="1">
        <v>63</v>
      </c>
      <c r="B74" s="27">
        <f t="shared" ca="1" si="7"/>
        <v>1.2848205928197098</v>
      </c>
      <c r="C74" s="23">
        <f t="shared" ca="1" si="5"/>
        <v>336.87605772670412</v>
      </c>
      <c r="D74" s="23">
        <f t="shared" ca="1" si="6"/>
        <v>338.11433565684763</v>
      </c>
      <c r="E74" s="23">
        <f t="shared" ca="1" si="8"/>
        <v>0.47672107929307295</v>
      </c>
      <c r="F74" s="28">
        <f t="shared" ca="1" si="2"/>
        <v>338.59105673614073</v>
      </c>
      <c r="G74" s="23">
        <f t="shared" ca="1" si="3"/>
        <v>1.2382779301435107</v>
      </c>
      <c r="H74" s="23">
        <f t="shared" ca="1" si="4"/>
        <v>1.7149990094366103</v>
      </c>
    </row>
    <row r="75" spans="1:8" x14ac:dyDescent="0.2">
      <c r="A75" s="1">
        <v>64</v>
      </c>
      <c r="B75" s="27">
        <f t="shared" ca="1" si="7"/>
        <v>0.86202846194299643</v>
      </c>
      <c r="C75" s="23">
        <f t="shared" ca="1" si="5"/>
        <v>337.73808618864712</v>
      </c>
      <c r="D75" s="23">
        <f t="shared" ca="1" si="6"/>
        <v>338.59105673614073</v>
      </c>
      <c r="E75" s="23">
        <f t="shared" ca="1" si="8"/>
        <v>2.6367971836149016</v>
      </c>
      <c r="F75" s="28">
        <f t="shared" ca="1" si="2"/>
        <v>341.2278539197556</v>
      </c>
      <c r="G75" s="23">
        <f t="shared" ca="1" si="3"/>
        <v>0.85297054749361223</v>
      </c>
      <c r="H75" s="23">
        <f t="shared" ca="1" si="4"/>
        <v>3.4897677311084863</v>
      </c>
    </row>
    <row r="76" spans="1:8" x14ac:dyDescent="0.2">
      <c r="A76" s="1">
        <v>65</v>
      </c>
      <c r="B76" s="27">
        <f t="shared" ref="B76:B111" ca="1" si="9">-$C$2*LN(RAND())</f>
        <v>1.9513480289351226</v>
      </c>
      <c r="C76" s="23">
        <f t="shared" ca="1" si="5"/>
        <v>339.68943421758223</v>
      </c>
      <c r="D76" s="23">
        <f t="shared" ca="1" si="6"/>
        <v>341.2278539197556</v>
      </c>
      <c r="E76" s="23">
        <f t="shared" ref="E76:E111" ca="1" si="10">$C$4*2*RAND()</f>
        <v>3.8285476816030632</v>
      </c>
      <c r="F76" s="28">
        <f t="shared" ref="F76:F107" ca="1" si="11">D76+E76</f>
        <v>345.05640160135869</v>
      </c>
      <c r="G76" s="23">
        <f t="shared" ref="G76:G111" ca="1" si="12">D76-C76</f>
        <v>1.5384197021733712</v>
      </c>
      <c r="H76" s="23">
        <f t="shared" ref="H76:H111" ca="1" si="13">F76-C76</f>
        <v>5.3669673837764549</v>
      </c>
    </row>
    <row r="77" spans="1:8" x14ac:dyDescent="0.2">
      <c r="A77" s="1">
        <v>66</v>
      </c>
      <c r="B77" s="27">
        <f t="shared" ca="1" si="9"/>
        <v>13.488905090319626</v>
      </c>
      <c r="C77" s="23">
        <f t="shared" ref="C77:C108" ca="1" si="14">C76+B77</f>
        <v>353.17833930790187</v>
      </c>
      <c r="D77" s="23">
        <f t="shared" ref="D77:D108" ca="1" si="15">MAX(F76,C77)</f>
        <v>353.17833930790187</v>
      </c>
      <c r="E77" s="23">
        <f t="shared" ca="1" si="10"/>
        <v>2.2057213682162264</v>
      </c>
      <c r="F77" s="28">
        <f t="shared" ca="1" si="11"/>
        <v>355.38406067611811</v>
      </c>
      <c r="G77" s="23">
        <f t="shared" ca="1" si="12"/>
        <v>0</v>
      </c>
      <c r="H77" s="23">
        <f t="shared" ca="1" si="13"/>
        <v>2.2057213682162455</v>
      </c>
    </row>
    <row r="78" spans="1:8" x14ac:dyDescent="0.2">
      <c r="A78" s="1">
        <v>67</v>
      </c>
      <c r="B78" s="27">
        <f t="shared" ca="1" si="9"/>
        <v>3.1784521696738501</v>
      </c>
      <c r="C78" s="23">
        <f t="shared" ca="1" si="14"/>
        <v>356.35679147757571</v>
      </c>
      <c r="D78" s="23">
        <f t="shared" ca="1" si="15"/>
        <v>356.35679147757571</v>
      </c>
      <c r="E78" s="23">
        <f t="shared" ca="1" si="10"/>
        <v>1.3596204020390665</v>
      </c>
      <c r="F78" s="28">
        <f t="shared" ca="1" si="11"/>
        <v>357.71641187961478</v>
      </c>
      <c r="G78" s="23">
        <f t="shared" ca="1" si="12"/>
        <v>0</v>
      </c>
      <c r="H78" s="23">
        <f t="shared" ca="1" si="13"/>
        <v>1.3596204020390701</v>
      </c>
    </row>
    <row r="79" spans="1:8" x14ac:dyDescent="0.2">
      <c r="A79" s="1">
        <v>68</v>
      </c>
      <c r="B79" s="27">
        <f t="shared" ca="1" si="9"/>
        <v>1.1246035175073108</v>
      </c>
      <c r="C79" s="23">
        <f t="shared" ca="1" si="14"/>
        <v>357.48139499508301</v>
      </c>
      <c r="D79" s="23">
        <f t="shared" ca="1" si="15"/>
        <v>357.71641187961478</v>
      </c>
      <c r="E79" s="23">
        <f t="shared" ca="1" si="10"/>
        <v>2.9044137677007349</v>
      </c>
      <c r="F79" s="28">
        <f t="shared" ca="1" si="11"/>
        <v>360.62082564731554</v>
      </c>
      <c r="G79" s="23">
        <f t="shared" ca="1" si="12"/>
        <v>0.23501688453177394</v>
      </c>
      <c r="H79" s="23">
        <f t="shared" ca="1" si="13"/>
        <v>3.1394306522325337</v>
      </c>
    </row>
    <row r="80" spans="1:8" x14ac:dyDescent="0.2">
      <c r="A80" s="1">
        <v>69</v>
      </c>
      <c r="B80" s="27">
        <f t="shared" ca="1" si="9"/>
        <v>6.6803518637804382</v>
      </c>
      <c r="C80" s="23">
        <f t="shared" ca="1" si="14"/>
        <v>364.16174685886347</v>
      </c>
      <c r="D80" s="23">
        <f t="shared" ca="1" si="15"/>
        <v>364.16174685886347</v>
      </c>
      <c r="E80" s="23">
        <f t="shared" ca="1" si="10"/>
        <v>1.5388643068307486</v>
      </c>
      <c r="F80" s="28">
        <f t="shared" ca="1" si="11"/>
        <v>365.70061116569423</v>
      </c>
      <c r="G80" s="23">
        <f t="shared" ca="1" si="12"/>
        <v>0</v>
      </c>
      <c r="H80" s="23">
        <f t="shared" ca="1" si="13"/>
        <v>1.5388643068307601</v>
      </c>
    </row>
    <row r="81" spans="1:8" x14ac:dyDescent="0.2">
      <c r="A81" s="1">
        <v>70</v>
      </c>
      <c r="B81" s="27">
        <f t="shared" ca="1" si="9"/>
        <v>2.5474106552539277</v>
      </c>
      <c r="C81" s="23">
        <f t="shared" ca="1" si="14"/>
        <v>366.70915751411741</v>
      </c>
      <c r="D81" s="23">
        <f t="shared" ca="1" si="15"/>
        <v>366.70915751411741</v>
      </c>
      <c r="E81" s="23">
        <f t="shared" ca="1" si="10"/>
        <v>0.66331201114196769</v>
      </c>
      <c r="F81" s="28">
        <f t="shared" ca="1" si="11"/>
        <v>367.37246952525936</v>
      </c>
      <c r="G81" s="23">
        <f t="shared" ca="1" si="12"/>
        <v>0</v>
      </c>
      <c r="H81" s="23">
        <f t="shared" ca="1" si="13"/>
        <v>0.66331201114195437</v>
      </c>
    </row>
    <row r="82" spans="1:8" x14ac:dyDescent="0.2">
      <c r="A82" s="1">
        <v>71</v>
      </c>
      <c r="B82" s="27">
        <f t="shared" ca="1" si="9"/>
        <v>4.4010313062569724</v>
      </c>
      <c r="C82" s="23">
        <f t="shared" ca="1" si="14"/>
        <v>371.11018882037439</v>
      </c>
      <c r="D82" s="23">
        <f t="shared" ca="1" si="15"/>
        <v>371.11018882037439</v>
      </c>
      <c r="E82" s="23">
        <f t="shared" ca="1" si="10"/>
        <v>1.873623848857545</v>
      </c>
      <c r="F82" s="28">
        <f t="shared" ca="1" si="11"/>
        <v>372.98381266923195</v>
      </c>
      <c r="G82" s="23">
        <f t="shared" ca="1" si="12"/>
        <v>0</v>
      </c>
      <c r="H82" s="23">
        <f t="shared" ca="1" si="13"/>
        <v>1.8736238488575623</v>
      </c>
    </row>
    <row r="83" spans="1:8" x14ac:dyDescent="0.2">
      <c r="A83" s="1">
        <v>72</v>
      </c>
      <c r="B83" s="27">
        <f t="shared" ca="1" si="9"/>
        <v>1.3366075350632076</v>
      </c>
      <c r="C83" s="23">
        <f t="shared" ca="1" si="14"/>
        <v>372.44679635543758</v>
      </c>
      <c r="D83" s="23">
        <f t="shared" ca="1" si="15"/>
        <v>372.98381266923195</v>
      </c>
      <c r="E83" s="23">
        <f t="shared" ca="1" si="10"/>
        <v>3.401454829186942</v>
      </c>
      <c r="F83" s="28">
        <f t="shared" ca="1" si="11"/>
        <v>376.3852674984189</v>
      </c>
      <c r="G83" s="23">
        <f t="shared" ca="1" si="12"/>
        <v>0.53701631379436776</v>
      </c>
      <c r="H83" s="23">
        <f t="shared" ca="1" si="13"/>
        <v>3.9384711429813137</v>
      </c>
    </row>
    <row r="84" spans="1:8" x14ac:dyDescent="0.2">
      <c r="A84" s="1">
        <v>73</v>
      </c>
      <c r="B84" s="27">
        <f t="shared" ca="1" si="9"/>
        <v>3.4638335746652552E-2</v>
      </c>
      <c r="C84" s="23">
        <f t="shared" ca="1" si="14"/>
        <v>372.48143469118423</v>
      </c>
      <c r="D84" s="23">
        <f t="shared" ca="1" si="15"/>
        <v>376.3852674984189</v>
      </c>
      <c r="E84" s="23">
        <f t="shared" ca="1" si="10"/>
        <v>2.0812336505708555</v>
      </c>
      <c r="F84" s="28">
        <f t="shared" ca="1" si="11"/>
        <v>378.46650114898978</v>
      </c>
      <c r="G84" s="23">
        <f t="shared" ca="1" si="12"/>
        <v>3.9038328072346644</v>
      </c>
      <c r="H84" s="23">
        <f t="shared" ca="1" si="13"/>
        <v>5.9850664578055444</v>
      </c>
    </row>
    <row r="85" spans="1:8" x14ac:dyDescent="0.2">
      <c r="A85" s="1">
        <v>74</v>
      </c>
      <c r="B85" s="27">
        <f t="shared" ca="1" si="9"/>
        <v>4.359404838409036</v>
      </c>
      <c r="C85" s="23">
        <f t="shared" ca="1" si="14"/>
        <v>376.84083952959327</v>
      </c>
      <c r="D85" s="23">
        <f t="shared" ca="1" si="15"/>
        <v>378.46650114898978</v>
      </c>
      <c r="E85" s="23">
        <f t="shared" ca="1" si="10"/>
        <v>2.2589191011680008</v>
      </c>
      <c r="F85" s="28">
        <f t="shared" ca="1" si="11"/>
        <v>380.72542025015775</v>
      </c>
      <c r="G85" s="23">
        <f t="shared" ca="1" si="12"/>
        <v>1.6256616193965101</v>
      </c>
      <c r="H85" s="23">
        <f t="shared" ca="1" si="13"/>
        <v>3.884580720564486</v>
      </c>
    </row>
    <row r="86" spans="1:8" x14ac:dyDescent="0.2">
      <c r="A86" s="1">
        <v>75</v>
      </c>
      <c r="B86" s="27">
        <f t="shared" ca="1" si="9"/>
        <v>0.70624897500045414</v>
      </c>
      <c r="C86" s="23">
        <f t="shared" ca="1" si="14"/>
        <v>377.54708850459372</v>
      </c>
      <c r="D86" s="23">
        <f t="shared" ca="1" si="15"/>
        <v>380.72542025015775</v>
      </c>
      <c r="E86" s="23">
        <f t="shared" ca="1" si="10"/>
        <v>3.3558018517529682</v>
      </c>
      <c r="F86" s="28">
        <f t="shared" ca="1" si="11"/>
        <v>384.08122210191073</v>
      </c>
      <c r="G86" s="23">
        <f t="shared" ca="1" si="12"/>
        <v>3.1783317455640372</v>
      </c>
      <c r="H86" s="23">
        <f t="shared" ca="1" si="13"/>
        <v>6.5341335973170089</v>
      </c>
    </row>
    <row r="87" spans="1:8" x14ac:dyDescent="0.2">
      <c r="A87" s="1">
        <v>76</v>
      </c>
      <c r="B87" s="27">
        <f t="shared" ca="1" si="9"/>
        <v>3.059456350373595</v>
      </c>
      <c r="C87" s="23">
        <f t="shared" ca="1" si="14"/>
        <v>380.6065448549673</v>
      </c>
      <c r="D87" s="23">
        <f t="shared" ca="1" si="15"/>
        <v>384.08122210191073</v>
      </c>
      <c r="E87" s="23">
        <f t="shared" ca="1" si="10"/>
        <v>2.0296678298970341</v>
      </c>
      <c r="F87" s="28">
        <f t="shared" ca="1" si="11"/>
        <v>386.11088993180778</v>
      </c>
      <c r="G87" s="23">
        <f t="shared" ca="1" si="12"/>
        <v>3.4746772469434291</v>
      </c>
      <c r="H87" s="23">
        <f t="shared" ca="1" si="13"/>
        <v>5.5043450768404796</v>
      </c>
    </row>
    <row r="88" spans="1:8" x14ac:dyDescent="0.2">
      <c r="A88" s="1">
        <v>77</v>
      </c>
      <c r="B88" s="27">
        <f t="shared" ca="1" si="9"/>
        <v>5.4291871821839024</v>
      </c>
      <c r="C88" s="23">
        <f t="shared" ca="1" si="14"/>
        <v>386.03573203715121</v>
      </c>
      <c r="D88" s="23">
        <f t="shared" ca="1" si="15"/>
        <v>386.11088993180778</v>
      </c>
      <c r="E88" s="23">
        <f t="shared" ca="1" si="10"/>
        <v>2.8753589875601362</v>
      </c>
      <c r="F88" s="28">
        <f t="shared" ca="1" si="11"/>
        <v>388.98624891936794</v>
      </c>
      <c r="G88" s="23">
        <f t="shared" ca="1" si="12"/>
        <v>7.5157894656570079E-2</v>
      </c>
      <c r="H88" s="23">
        <f t="shared" ca="1" si="13"/>
        <v>2.950516882216732</v>
      </c>
    </row>
    <row r="89" spans="1:8" x14ac:dyDescent="0.2">
      <c r="A89" s="1">
        <v>78</v>
      </c>
      <c r="B89" s="27">
        <f t="shared" ca="1" si="9"/>
        <v>0.97803741379359899</v>
      </c>
      <c r="C89" s="23">
        <f t="shared" ca="1" si="14"/>
        <v>387.01376945094478</v>
      </c>
      <c r="D89" s="23">
        <f t="shared" ca="1" si="15"/>
        <v>388.98624891936794</v>
      </c>
      <c r="E89" s="23">
        <f t="shared" ca="1" si="10"/>
        <v>2.2619965063665695</v>
      </c>
      <c r="F89" s="28">
        <f t="shared" ca="1" si="11"/>
        <v>391.24824542573452</v>
      </c>
      <c r="G89" s="23">
        <f t="shared" ca="1" si="12"/>
        <v>1.9724794684231597</v>
      </c>
      <c r="H89" s="23">
        <f t="shared" ca="1" si="13"/>
        <v>4.2344759747897456</v>
      </c>
    </row>
    <row r="90" spans="1:8" x14ac:dyDescent="0.2">
      <c r="A90" s="1">
        <v>79</v>
      </c>
      <c r="B90" s="27">
        <f t="shared" ca="1" si="9"/>
        <v>3.6626813403557152</v>
      </c>
      <c r="C90" s="23">
        <f t="shared" ca="1" si="14"/>
        <v>390.67645079130051</v>
      </c>
      <c r="D90" s="23">
        <f t="shared" ca="1" si="15"/>
        <v>391.24824542573452</v>
      </c>
      <c r="E90" s="23">
        <f t="shared" ca="1" si="10"/>
        <v>2.0794372831725281</v>
      </c>
      <c r="F90" s="28">
        <f t="shared" ca="1" si="11"/>
        <v>393.32768270890705</v>
      </c>
      <c r="G90" s="23">
        <f t="shared" ca="1" si="12"/>
        <v>0.57179463443401346</v>
      </c>
      <c r="H90" s="23">
        <f t="shared" ca="1" si="13"/>
        <v>2.6512319176065375</v>
      </c>
    </row>
    <row r="91" spans="1:8" x14ac:dyDescent="0.2">
      <c r="A91" s="1">
        <v>80</v>
      </c>
      <c r="B91" s="27">
        <f t="shared" ca="1" si="9"/>
        <v>9.0629287785954595</v>
      </c>
      <c r="C91" s="23">
        <f t="shared" ca="1" si="14"/>
        <v>399.73937956989596</v>
      </c>
      <c r="D91" s="23">
        <f t="shared" ca="1" si="15"/>
        <v>399.73937956989596</v>
      </c>
      <c r="E91" s="23">
        <f t="shared" ca="1" si="10"/>
        <v>2.4031023017644468</v>
      </c>
      <c r="F91" s="28">
        <f t="shared" ca="1" si="11"/>
        <v>402.14248187166038</v>
      </c>
      <c r="G91" s="23">
        <f t="shared" ca="1" si="12"/>
        <v>0</v>
      </c>
      <c r="H91" s="23">
        <f t="shared" ca="1" si="13"/>
        <v>2.4031023017644202</v>
      </c>
    </row>
    <row r="92" spans="1:8" x14ac:dyDescent="0.2">
      <c r="A92" s="1">
        <v>81</v>
      </c>
      <c r="B92" s="27">
        <f t="shared" ca="1" si="9"/>
        <v>8.1390541684142157</v>
      </c>
      <c r="C92" s="23">
        <f t="shared" ca="1" si="14"/>
        <v>407.87843373831015</v>
      </c>
      <c r="D92" s="23">
        <f t="shared" ca="1" si="15"/>
        <v>407.87843373831015</v>
      </c>
      <c r="E92" s="23">
        <f t="shared" ca="1" si="10"/>
        <v>2.363067496498279</v>
      </c>
      <c r="F92" s="28">
        <f t="shared" ca="1" si="11"/>
        <v>410.24150123480842</v>
      </c>
      <c r="G92" s="23">
        <f t="shared" ca="1" si="12"/>
        <v>0</v>
      </c>
      <c r="H92" s="23">
        <f t="shared" ca="1" si="13"/>
        <v>2.3630674964982745</v>
      </c>
    </row>
    <row r="93" spans="1:8" x14ac:dyDescent="0.2">
      <c r="A93" s="1">
        <v>82</v>
      </c>
      <c r="B93" s="27">
        <f t="shared" ca="1" si="9"/>
        <v>5.9823248369729631</v>
      </c>
      <c r="C93" s="23">
        <f t="shared" ca="1" si="14"/>
        <v>413.86075857528311</v>
      </c>
      <c r="D93" s="23">
        <f t="shared" ca="1" si="15"/>
        <v>413.86075857528311</v>
      </c>
      <c r="E93" s="23">
        <f t="shared" ca="1" si="10"/>
        <v>3.9548798774969116</v>
      </c>
      <c r="F93" s="28">
        <f t="shared" ca="1" si="11"/>
        <v>417.81563845278004</v>
      </c>
      <c r="G93" s="23">
        <f t="shared" ca="1" si="12"/>
        <v>0</v>
      </c>
      <c r="H93" s="23">
        <f t="shared" ca="1" si="13"/>
        <v>3.9548798774969214</v>
      </c>
    </row>
    <row r="94" spans="1:8" x14ac:dyDescent="0.2">
      <c r="A94" s="1">
        <v>83</v>
      </c>
      <c r="B94" s="27">
        <f t="shared" ca="1" si="9"/>
        <v>1.0170301539731224</v>
      </c>
      <c r="C94" s="23">
        <f t="shared" ca="1" si="14"/>
        <v>414.87778872925622</v>
      </c>
      <c r="D94" s="23">
        <f t="shared" ca="1" si="15"/>
        <v>417.81563845278004</v>
      </c>
      <c r="E94" s="23">
        <f t="shared" ca="1" si="10"/>
        <v>0.84728645184178575</v>
      </c>
      <c r="F94" s="28">
        <f t="shared" ca="1" si="11"/>
        <v>418.66292490462183</v>
      </c>
      <c r="G94" s="23">
        <f t="shared" ca="1" si="12"/>
        <v>2.9378497235238115</v>
      </c>
      <c r="H94" s="23">
        <f t="shared" ca="1" si="13"/>
        <v>3.7851361753656079</v>
      </c>
    </row>
    <row r="95" spans="1:8" x14ac:dyDescent="0.2">
      <c r="A95" s="1">
        <v>84</v>
      </c>
      <c r="B95" s="27">
        <f t="shared" ca="1" si="9"/>
        <v>12.692671639585329</v>
      </c>
      <c r="C95" s="23">
        <f t="shared" ca="1" si="14"/>
        <v>427.57046036884157</v>
      </c>
      <c r="D95" s="23">
        <f t="shared" ca="1" si="15"/>
        <v>427.57046036884157</v>
      </c>
      <c r="E95" s="23">
        <f t="shared" ca="1" si="10"/>
        <v>0.93040539008540701</v>
      </c>
      <c r="F95" s="28">
        <f t="shared" ca="1" si="11"/>
        <v>428.50086575892698</v>
      </c>
      <c r="G95" s="23">
        <f t="shared" ca="1" si="12"/>
        <v>0</v>
      </c>
      <c r="H95" s="23">
        <f t="shared" ca="1" si="13"/>
        <v>0.93040539008541145</v>
      </c>
    </row>
    <row r="96" spans="1:8" x14ac:dyDescent="0.2">
      <c r="A96" s="1">
        <v>85</v>
      </c>
      <c r="B96" s="27">
        <f t="shared" ca="1" si="9"/>
        <v>5.0848213946593095</v>
      </c>
      <c r="C96" s="23">
        <f t="shared" ca="1" si="14"/>
        <v>432.65528176350085</v>
      </c>
      <c r="D96" s="23">
        <f t="shared" ca="1" si="15"/>
        <v>432.65528176350085</v>
      </c>
      <c r="E96" s="23">
        <f t="shared" ca="1" si="10"/>
        <v>1.9882019116408727</v>
      </c>
      <c r="F96" s="28">
        <f t="shared" ca="1" si="11"/>
        <v>434.64348367514174</v>
      </c>
      <c r="G96" s="23">
        <f t="shared" ca="1" si="12"/>
        <v>0</v>
      </c>
      <c r="H96" s="23">
        <f t="shared" ca="1" si="13"/>
        <v>1.9882019116408856</v>
      </c>
    </row>
    <row r="97" spans="1:8" x14ac:dyDescent="0.2">
      <c r="A97" s="1">
        <v>86</v>
      </c>
      <c r="B97" s="27">
        <f t="shared" ca="1" si="9"/>
        <v>14.17194496215701</v>
      </c>
      <c r="C97" s="23">
        <f t="shared" ca="1" si="14"/>
        <v>446.82722672565785</v>
      </c>
      <c r="D97" s="23">
        <f t="shared" ca="1" si="15"/>
        <v>446.82722672565785</v>
      </c>
      <c r="E97" s="23">
        <f t="shared" ca="1" si="10"/>
        <v>2.9126015711020932</v>
      </c>
      <c r="F97" s="28">
        <f t="shared" ca="1" si="11"/>
        <v>449.73982829675992</v>
      </c>
      <c r="G97" s="23">
        <f t="shared" ca="1" si="12"/>
        <v>0</v>
      </c>
      <c r="H97" s="23">
        <f t="shared" ca="1" si="13"/>
        <v>2.9126015711020727</v>
      </c>
    </row>
    <row r="98" spans="1:8" x14ac:dyDescent="0.2">
      <c r="A98" s="1">
        <v>87</v>
      </c>
      <c r="B98" s="27">
        <f t="shared" ca="1" si="9"/>
        <v>5.3248915352543964</v>
      </c>
      <c r="C98" s="23">
        <f t="shared" ca="1" si="14"/>
        <v>452.15211826091223</v>
      </c>
      <c r="D98" s="23">
        <f t="shared" ca="1" si="15"/>
        <v>452.15211826091223</v>
      </c>
      <c r="E98" s="23">
        <f t="shared" ca="1" si="10"/>
        <v>3.3089770079411029</v>
      </c>
      <c r="F98" s="28">
        <f t="shared" ca="1" si="11"/>
        <v>455.46109526885334</v>
      </c>
      <c r="G98" s="23">
        <f t="shared" ca="1" si="12"/>
        <v>0</v>
      </c>
      <c r="H98" s="23">
        <f t="shared" ca="1" si="13"/>
        <v>3.3089770079411096</v>
      </c>
    </row>
    <row r="99" spans="1:8" x14ac:dyDescent="0.2">
      <c r="A99" s="1">
        <v>88</v>
      </c>
      <c r="B99" s="27">
        <f t="shared" ca="1" si="9"/>
        <v>3.073744444193605</v>
      </c>
      <c r="C99" s="23">
        <f t="shared" ca="1" si="14"/>
        <v>455.22586270510584</v>
      </c>
      <c r="D99" s="23">
        <f t="shared" ca="1" si="15"/>
        <v>455.46109526885334</v>
      </c>
      <c r="E99" s="23">
        <f t="shared" ca="1" si="10"/>
        <v>0.78604941903592396</v>
      </c>
      <c r="F99" s="28">
        <f t="shared" ca="1" si="11"/>
        <v>456.24714468788926</v>
      </c>
      <c r="G99" s="23">
        <f t="shared" ca="1" si="12"/>
        <v>0.2352325637475019</v>
      </c>
      <c r="H99" s="23">
        <f t="shared" ca="1" si="13"/>
        <v>1.021281982783421</v>
      </c>
    </row>
    <row r="100" spans="1:8" x14ac:dyDescent="0.2">
      <c r="A100" s="1">
        <v>89</v>
      </c>
      <c r="B100" s="27">
        <f t="shared" ca="1" si="9"/>
        <v>14.811298476481857</v>
      </c>
      <c r="C100" s="23">
        <f t="shared" ca="1" si="14"/>
        <v>470.03716118158769</v>
      </c>
      <c r="D100" s="23">
        <f t="shared" ca="1" si="15"/>
        <v>470.03716118158769</v>
      </c>
      <c r="E100" s="23">
        <f t="shared" ca="1" si="10"/>
        <v>2.9558122760680763</v>
      </c>
      <c r="F100" s="28">
        <f t="shared" ca="1" si="11"/>
        <v>472.99297345765575</v>
      </c>
      <c r="G100" s="23">
        <f t="shared" ca="1" si="12"/>
        <v>0</v>
      </c>
      <c r="H100" s="23">
        <f t="shared" ca="1" si="13"/>
        <v>2.955812276068059</v>
      </c>
    </row>
    <row r="101" spans="1:8" x14ac:dyDescent="0.2">
      <c r="A101" s="1">
        <v>90</v>
      </c>
      <c r="B101" s="27">
        <f t="shared" ca="1" si="9"/>
        <v>0.99485576729071945</v>
      </c>
      <c r="C101" s="23">
        <f t="shared" ca="1" si="14"/>
        <v>471.03201694887844</v>
      </c>
      <c r="D101" s="23">
        <f t="shared" ca="1" si="15"/>
        <v>472.99297345765575</v>
      </c>
      <c r="E101" s="23">
        <f t="shared" ca="1" si="10"/>
        <v>3.7255530469158118</v>
      </c>
      <c r="F101" s="28">
        <f t="shared" ca="1" si="11"/>
        <v>476.71852650457157</v>
      </c>
      <c r="G101" s="23">
        <f t="shared" ca="1" si="12"/>
        <v>1.9609565087773149</v>
      </c>
      <c r="H101" s="23">
        <f t="shared" ca="1" si="13"/>
        <v>5.6865095556931351</v>
      </c>
    </row>
    <row r="102" spans="1:8" x14ac:dyDescent="0.2">
      <c r="A102" s="1">
        <v>91</v>
      </c>
      <c r="B102" s="27">
        <f t="shared" ca="1" si="9"/>
        <v>1.7211992928000424</v>
      </c>
      <c r="C102" s="23">
        <f t="shared" ca="1" si="14"/>
        <v>472.7532162416785</v>
      </c>
      <c r="D102" s="23">
        <f t="shared" ca="1" si="15"/>
        <v>476.71852650457157</v>
      </c>
      <c r="E102" s="23">
        <f t="shared" ca="1" si="10"/>
        <v>0.29634926414188145</v>
      </c>
      <c r="F102" s="28">
        <f t="shared" ca="1" si="11"/>
        <v>477.01487576871347</v>
      </c>
      <c r="G102" s="23">
        <f t="shared" ca="1" si="12"/>
        <v>3.9653102628930696</v>
      </c>
      <c r="H102" s="23">
        <f t="shared" ca="1" si="13"/>
        <v>4.2616595270349649</v>
      </c>
    </row>
    <row r="103" spans="1:8" x14ac:dyDescent="0.2">
      <c r="A103" s="1">
        <v>92</v>
      </c>
      <c r="B103" s="27">
        <f t="shared" ca="1" si="9"/>
        <v>6.8384039407640795</v>
      </c>
      <c r="C103" s="23">
        <f t="shared" ca="1" si="14"/>
        <v>479.59162018244257</v>
      </c>
      <c r="D103" s="23">
        <f t="shared" ca="1" si="15"/>
        <v>479.59162018244257</v>
      </c>
      <c r="E103" s="23">
        <f t="shared" ca="1" si="10"/>
        <v>3.4260237604932051</v>
      </c>
      <c r="F103" s="28">
        <f t="shared" ca="1" si="11"/>
        <v>483.01764394293576</v>
      </c>
      <c r="G103" s="23">
        <f t="shared" ca="1" si="12"/>
        <v>0</v>
      </c>
      <c r="H103" s="23">
        <f t="shared" ca="1" si="13"/>
        <v>3.4260237604931945</v>
      </c>
    </row>
    <row r="104" spans="1:8" x14ac:dyDescent="0.2">
      <c r="A104" s="1">
        <v>93</v>
      </c>
      <c r="B104" s="27">
        <f t="shared" ca="1" si="9"/>
        <v>4.6269722978068142</v>
      </c>
      <c r="C104" s="23">
        <f t="shared" ca="1" si="14"/>
        <v>484.21859248024936</v>
      </c>
      <c r="D104" s="23">
        <f t="shared" ca="1" si="15"/>
        <v>484.21859248024936</v>
      </c>
      <c r="E104" s="23">
        <f t="shared" ca="1" si="10"/>
        <v>0.15814790850911287</v>
      </c>
      <c r="F104" s="28">
        <f t="shared" ca="1" si="11"/>
        <v>484.37674038875849</v>
      </c>
      <c r="G104" s="23">
        <f t="shared" ca="1" si="12"/>
        <v>0</v>
      </c>
      <c r="H104" s="23">
        <f t="shared" ca="1" si="13"/>
        <v>0.15814790850913596</v>
      </c>
    </row>
    <row r="105" spans="1:8" x14ac:dyDescent="0.2">
      <c r="A105" s="1">
        <v>94</v>
      </c>
      <c r="B105" s="27">
        <f t="shared" ca="1" si="9"/>
        <v>10.298298489065122</v>
      </c>
      <c r="C105" s="23">
        <f t="shared" ca="1" si="14"/>
        <v>494.51689096931449</v>
      </c>
      <c r="D105" s="23">
        <f t="shared" ca="1" si="15"/>
        <v>494.51689096931449</v>
      </c>
      <c r="E105" s="23">
        <f t="shared" ca="1" si="10"/>
        <v>3.8585050676450763</v>
      </c>
      <c r="F105" s="28">
        <f t="shared" ca="1" si="11"/>
        <v>498.37539603695956</v>
      </c>
      <c r="G105" s="23">
        <f t="shared" ca="1" si="12"/>
        <v>0</v>
      </c>
      <c r="H105" s="23">
        <f t="shared" ca="1" si="13"/>
        <v>3.8585050676450692</v>
      </c>
    </row>
    <row r="106" spans="1:8" x14ac:dyDescent="0.2">
      <c r="A106" s="1">
        <v>95</v>
      </c>
      <c r="B106" s="27">
        <f t="shared" ca="1" si="9"/>
        <v>4.2190504506629711</v>
      </c>
      <c r="C106" s="23">
        <f t="shared" ca="1" si="14"/>
        <v>498.73594141997745</v>
      </c>
      <c r="D106" s="23">
        <f t="shared" ca="1" si="15"/>
        <v>498.73594141997745</v>
      </c>
      <c r="E106" s="23">
        <f t="shared" ca="1" si="10"/>
        <v>1.4509799536734662</v>
      </c>
      <c r="F106" s="28">
        <f t="shared" ca="1" si="11"/>
        <v>500.18692137365093</v>
      </c>
      <c r="G106" s="23">
        <f t="shared" ca="1" si="12"/>
        <v>0</v>
      </c>
      <c r="H106" s="23">
        <f t="shared" ca="1" si="13"/>
        <v>1.4509799536734818</v>
      </c>
    </row>
    <row r="107" spans="1:8" x14ac:dyDescent="0.2">
      <c r="A107" s="1">
        <v>96</v>
      </c>
      <c r="B107" s="27">
        <f t="shared" ca="1" si="9"/>
        <v>3.8660391092415174</v>
      </c>
      <c r="C107" s="23">
        <f t="shared" ca="1" si="14"/>
        <v>502.60198052921896</v>
      </c>
      <c r="D107" s="23">
        <f t="shared" ca="1" si="15"/>
        <v>502.60198052921896</v>
      </c>
      <c r="E107" s="23">
        <f t="shared" ca="1" si="10"/>
        <v>3.3121741950345638</v>
      </c>
      <c r="F107" s="28">
        <f t="shared" ca="1" si="11"/>
        <v>505.91415472425354</v>
      </c>
      <c r="G107" s="23">
        <f t="shared" ca="1" si="12"/>
        <v>0</v>
      </c>
      <c r="H107" s="23">
        <f t="shared" ca="1" si="13"/>
        <v>3.3121741950345722</v>
      </c>
    </row>
    <row r="108" spans="1:8" x14ac:dyDescent="0.2">
      <c r="A108" s="1">
        <v>97</v>
      </c>
      <c r="B108" s="27">
        <f t="shared" ca="1" si="9"/>
        <v>0.36528356569644282</v>
      </c>
      <c r="C108" s="23">
        <f t="shared" ca="1" si="14"/>
        <v>502.96726409491538</v>
      </c>
      <c r="D108" s="23">
        <f t="shared" ca="1" si="15"/>
        <v>505.91415472425354</v>
      </c>
      <c r="E108" s="23">
        <f t="shared" ca="1" si="10"/>
        <v>2.0124207907396396</v>
      </c>
      <c r="F108" s="28">
        <f ca="1">D108+E108</f>
        <v>507.92657551499315</v>
      </c>
      <c r="G108" s="23">
        <f t="shared" ca="1" si="12"/>
        <v>2.9468906293381565</v>
      </c>
      <c r="H108" s="23">
        <f t="shared" ca="1" si="13"/>
        <v>4.9593114200777677</v>
      </c>
    </row>
    <row r="109" spans="1:8" x14ac:dyDescent="0.2">
      <c r="A109" s="1">
        <v>98</v>
      </c>
      <c r="B109" s="27">
        <f t="shared" ca="1" si="9"/>
        <v>3.7846234008277402</v>
      </c>
      <c r="C109" s="23">
        <f ca="1">C108+B109</f>
        <v>506.75188749574312</v>
      </c>
      <c r="D109" s="23">
        <f ca="1">MAX(F108,C109)</f>
        <v>507.92657551499315</v>
      </c>
      <c r="E109" s="23">
        <f t="shared" ca="1" si="10"/>
        <v>1.4353259963575002</v>
      </c>
      <c r="F109" s="28">
        <f ca="1">D109+E109</f>
        <v>509.36190151135065</v>
      </c>
      <c r="G109" s="23">
        <f t="shared" ca="1" si="12"/>
        <v>1.1746880192500271</v>
      </c>
      <c r="H109" s="23">
        <f t="shared" ca="1" si="13"/>
        <v>2.6100140156075327</v>
      </c>
    </row>
    <row r="110" spans="1:8" x14ac:dyDescent="0.2">
      <c r="A110" s="1">
        <v>99</v>
      </c>
      <c r="B110" s="27">
        <f t="shared" ca="1" si="9"/>
        <v>8.4834232990405916</v>
      </c>
      <c r="C110" s="23">
        <f ca="1">C109+B110</f>
        <v>515.23531079478369</v>
      </c>
      <c r="D110" s="23">
        <f ca="1">MAX(F109,C110)</f>
        <v>515.23531079478369</v>
      </c>
      <c r="E110" s="23">
        <f t="shared" ca="1" si="10"/>
        <v>3.0963962154764877</v>
      </c>
      <c r="F110" s="28">
        <f ca="1">D110+E110</f>
        <v>518.33170701026017</v>
      </c>
      <c r="G110" s="23">
        <f t="shared" ca="1" si="12"/>
        <v>0</v>
      </c>
      <c r="H110" s="23">
        <f t="shared" ca="1" si="13"/>
        <v>3.0963962154764886</v>
      </c>
    </row>
    <row r="111" spans="1:8" x14ac:dyDescent="0.2">
      <c r="A111" s="1">
        <v>100</v>
      </c>
      <c r="B111" s="27">
        <f t="shared" ca="1" si="9"/>
        <v>0.75495939030443382</v>
      </c>
      <c r="C111" s="23">
        <f ca="1">C110+B111</f>
        <v>515.99027018508809</v>
      </c>
      <c r="D111" s="23">
        <f ca="1">MAX(F110,C111)</f>
        <v>518.33170701026017</v>
      </c>
      <c r="E111" s="23">
        <f t="shared" ca="1" si="10"/>
        <v>2.3183754434535464</v>
      </c>
      <c r="F111" s="28">
        <f ca="1">D111+E111</f>
        <v>520.65008245371371</v>
      </c>
      <c r="G111" s="23">
        <f t="shared" ca="1" si="12"/>
        <v>2.3414368251720816</v>
      </c>
      <c r="H111" s="23">
        <f t="shared" ca="1" si="13"/>
        <v>4.6598122686256147</v>
      </c>
    </row>
    <row r="112" spans="1:8" x14ac:dyDescent="0.2">
      <c r="B112" s="23"/>
      <c r="C112" s="23"/>
      <c r="D112" s="23"/>
      <c r="E112" s="23"/>
      <c r="F112" s="23"/>
      <c r="G112" s="23"/>
      <c r="H112" s="23"/>
    </row>
    <row r="113" spans="2:8" x14ac:dyDescent="0.2">
      <c r="B113" s="23"/>
      <c r="C113" s="23"/>
      <c r="D113" s="23"/>
      <c r="E113" s="23"/>
      <c r="F113" s="23"/>
      <c r="G113" s="23"/>
      <c r="H113" s="23"/>
    </row>
    <row r="114" spans="2:8" x14ac:dyDescent="0.2">
      <c r="B114" s="23"/>
      <c r="C114" s="23"/>
      <c r="D114" s="23"/>
      <c r="E114" s="23"/>
      <c r="F114" s="23"/>
      <c r="G114" s="23"/>
      <c r="H114" s="23"/>
    </row>
    <row r="115" spans="2:8" x14ac:dyDescent="0.2">
      <c r="B115" s="23"/>
      <c r="C115" s="23"/>
      <c r="D115" s="23"/>
      <c r="E115" s="23"/>
      <c r="F115" s="23"/>
      <c r="G115" s="23"/>
      <c r="H115" s="23"/>
    </row>
    <row r="116" spans="2:8" x14ac:dyDescent="0.2">
      <c r="B116" s="23"/>
      <c r="C116" s="23"/>
      <c r="D116" s="23"/>
      <c r="E116" s="23"/>
      <c r="F116" s="23"/>
      <c r="G116" s="23"/>
      <c r="H116" s="23"/>
    </row>
    <row r="117" spans="2:8" x14ac:dyDescent="0.2">
      <c r="B117" s="23"/>
      <c r="C117" s="23"/>
      <c r="D117" s="23"/>
      <c r="E117" s="23"/>
      <c r="F117" s="23"/>
      <c r="G117" s="23"/>
      <c r="H117" s="23"/>
    </row>
    <row r="118" spans="2:8" x14ac:dyDescent="0.2">
      <c r="B118" s="23"/>
      <c r="C118" s="23"/>
      <c r="D118" s="23"/>
      <c r="E118" s="23"/>
      <c r="F118" s="23"/>
      <c r="G118" s="23"/>
      <c r="H118" s="23"/>
    </row>
    <row r="119" spans="2:8" x14ac:dyDescent="0.2">
      <c r="B119" s="23"/>
      <c r="C119" s="23"/>
      <c r="D119" s="23"/>
      <c r="E119" s="23"/>
      <c r="F119" s="23"/>
      <c r="G119" s="23"/>
      <c r="H119" s="23"/>
    </row>
    <row r="120" spans="2:8" x14ac:dyDescent="0.2">
      <c r="B120" s="23"/>
      <c r="C120" s="23"/>
      <c r="D120" s="23"/>
      <c r="E120" s="23"/>
      <c r="F120" s="23"/>
      <c r="G120" s="23"/>
      <c r="H120" s="23"/>
    </row>
    <row r="121" spans="2:8" x14ac:dyDescent="0.2">
      <c r="B121" s="23"/>
      <c r="C121" s="23"/>
      <c r="D121" s="23"/>
      <c r="E121" s="23"/>
      <c r="F121" s="23"/>
      <c r="G121" s="23"/>
      <c r="H121" s="23"/>
    </row>
    <row r="122" spans="2:8" x14ac:dyDescent="0.2">
      <c r="B122" s="23"/>
      <c r="C122" s="23"/>
      <c r="D122" s="23"/>
      <c r="E122" s="23"/>
      <c r="F122" s="23"/>
      <c r="G122" s="23"/>
      <c r="H122" s="23"/>
    </row>
    <row r="123" spans="2:8" x14ac:dyDescent="0.2">
      <c r="B123" s="23"/>
      <c r="C123" s="23"/>
      <c r="D123" s="23"/>
      <c r="E123" s="23"/>
      <c r="F123" s="23"/>
      <c r="G123" s="23"/>
      <c r="H123" s="23"/>
    </row>
    <row r="124" spans="2:8" x14ac:dyDescent="0.2">
      <c r="B124" s="23"/>
      <c r="C124" s="23"/>
      <c r="D124" s="23"/>
      <c r="E124" s="23"/>
      <c r="F124" s="23"/>
      <c r="G124" s="23"/>
      <c r="H124" s="23"/>
    </row>
    <row r="125" spans="2:8" x14ac:dyDescent="0.2">
      <c r="B125" s="23"/>
      <c r="C125" s="23"/>
      <c r="D125" s="23"/>
      <c r="E125" s="23"/>
      <c r="F125" s="23"/>
      <c r="G125" s="23"/>
      <c r="H125" s="23"/>
    </row>
    <row r="126" spans="2:8" x14ac:dyDescent="0.2">
      <c r="B126" s="23"/>
      <c r="C126" s="23"/>
      <c r="D126" s="23"/>
      <c r="E126" s="23"/>
      <c r="F126" s="23"/>
      <c r="G126" s="23"/>
      <c r="H126" s="23"/>
    </row>
    <row r="127" spans="2:8" x14ac:dyDescent="0.2">
      <c r="B127" s="23"/>
      <c r="C127" s="23"/>
      <c r="D127" s="23"/>
      <c r="E127" s="23"/>
      <c r="F127" s="23"/>
      <c r="G127" s="23"/>
      <c r="H127" s="23"/>
    </row>
    <row r="128" spans="2:8" x14ac:dyDescent="0.2">
      <c r="B128" s="23"/>
      <c r="C128" s="23"/>
      <c r="D128" s="23"/>
      <c r="E128" s="23"/>
      <c r="F128" s="23"/>
      <c r="G128" s="23"/>
      <c r="H128" s="23"/>
    </row>
    <row r="129" spans="2:8" x14ac:dyDescent="0.2">
      <c r="B129" s="23"/>
      <c r="C129" s="23"/>
      <c r="D129" s="23"/>
      <c r="E129" s="23"/>
      <c r="F129" s="23"/>
      <c r="G129" s="23"/>
      <c r="H129" s="23"/>
    </row>
    <row r="130" spans="2:8" x14ac:dyDescent="0.2">
      <c r="B130" s="23"/>
      <c r="C130" s="23"/>
      <c r="D130" s="23"/>
      <c r="E130" s="23"/>
      <c r="F130" s="23"/>
      <c r="G130" s="23"/>
      <c r="H130" s="23"/>
    </row>
    <row r="131" spans="2:8" x14ac:dyDescent="0.2">
      <c r="B131" s="23"/>
      <c r="C131" s="23"/>
      <c r="D131" s="23"/>
      <c r="E131" s="23"/>
      <c r="F131" s="23"/>
      <c r="G131" s="23"/>
      <c r="H131" s="23"/>
    </row>
    <row r="132" spans="2:8" x14ac:dyDescent="0.2">
      <c r="B132" s="23"/>
      <c r="C132" s="23"/>
      <c r="D132" s="23"/>
      <c r="E132" s="23"/>
      <c r="F132" s="23"/>
      <c r="G132" s="23"/>
      <c r="H132" s="23"/>
    </row>
    <row r="133" spans="2:8" x14ac:dyDescent="0.2">
      <c r="B133" s="23"/>
      <c r="C133" s="23"/>
      <c r="D133" s="23"/>
      <c r="E133" s="23"/>
      <c r="F133" s="23"/>
      <c r="G133" s="23"/>
      <c r="H133" s="23"/>
    </row>
    <row r="134" spans="2:8" x14ac:dyDescent="0.2">
      <c r="B134" s="23"/>
      <c r="C134" s="23"/>
      <c r="D134" s="23"/>
      <c r="E134" s="23"/>
      <c r="F134" s="23"/>
      <c r="G134" s="23"/>
      <c r="H134" s="23"/>
    </row>
    <row r="135" spans="2:8" x14ac:dyDescent="0.2">
      <c r="B135" s="23"/>
      <c r="C135" s="23"/>
      <c r="D135" s="23"/>
      <c r="E135" s="23"/>
      <c r="F135" s="23"/>
      <c r="G135" s="23"/>
      <c r="H135" s="23"/>
    </row>
    <row r="136" spans="2:8" x14ac:dyDescent="0.2">
      <c r="B136" s="23"/>
      <c r="C136" s="23"/>
      <c r="D136" s="23"/>
      <c r="E136" s="23"/>
      <c r="F136" s="23"/>
      <c r="G136" s="23"/>
      <c r="H136" s="23"/>
    </row>
    <row r="137" spans="2:8" x14ac:dyDescent="0.2">
      <c r="B137" s="23"/>
      <c r="C137" s="23"/>
      <c r="D137" s="23"/>
      <c r="E137" s="23"/>
      <c r="F137" s="23"/>
      <c r="G137" s="23"/>
      <c r="H137" s="23"/>
    </row>
    <row r="138" spans="2:8" x14ac:dyDescent="0.2">
      <c r="B138" s="23"/>
      <c r="C138" s="23"/>
      <c r="D138" s="23"/>
      <c r="E138" s="23"/>
      <c r="F138" s="23"/>
      <c r="G138" s="23"/>
      <c r="H138" s="23"/>
    </row>
    <row r="139" spans="2:8" x14ac:dyDescent="0.2">
      <c r="B139" s="23"/>
      <c r="C139" s="23"/>
      <c r="D139" s="23"/>
      <c r="E139" s="23"/>
      <c r="F139" s="23"/>
      <c r="G139" s="23"/>
      <c r="H139" s="23"/>
    </row>
    <row r="140" spans="2:8" x14ac:dyDescent="0.2">
      <c r="B140" s="23"/>
      <c r="C140" s="23"/>
      <c r="D140" s="23"/>
      <c r="E140" s="23"/>
      <c r="F140" s="23"/>
      <c r="G140" s="23"/>
      <c r="H140" s="23"/>
    </row>
    <row r="141" spans="2:8" x14ac:dyDescent="0.2">
      <c r="B141" s="23"/>
      <c r="C141" s="23"/>
      <c r="D141" s="23"/>
      <c r="E141" s="23"/>
      <c r="F141" s="23"/>
      <c r="G141" s="23"/>
      <c r="H141" s="23"/>
    </row>
    <row r="142" spans="2:8" x14ac:dyDescent="0.2">
      <c r="B142" s="23"/>
      <c r="C142" s="23"/>
      <c r="D142" s="23"/>
      <c r="E142" s="23"/>
      <c r="F142" s="23"/>
      <c r="G142" s="23"/>
      <c r="H142" s="23"/>
    </row>
    <row r="143" spans="2:8" x14ac:dyDescent="0.2">
      <c r="B143" s="23"/>
      <c r="C143" s="23"/>
      <c r="D143" s="23"/>
      <c r="E143" s="23"/>
      <c r="F143" s="23"/>
      <c r="G143" s="23"/>
      <c r="H143" s="23"/>
    </row>
    <row r="144" spans="2:8" x14ac:dyDescent="0.2">
      <c r="B144" s="23"/>
      <c r="C144" s="23"/>
      <c r="D144" s="23"/>
      <c r="E144" s="23"/>
      <c r="F144" s="23"/>
      <c r="G144" s="23"/>
      <c r="H144" s="23"/>
    </row>
    <row r="145" spans="2:8" x14ac:dyDescent="0.2">
      <c r="B145" s="23"/>
      <c r="C145" s="23"/>
      <c r="D145" s="23"/>
      <c r="E145" s="23"/>
      <c r="F145" s="23"/>
      <c r="G145" s="23"/>
      <c r="H145" s="23"/>
    </row>
    <row r="146" spans="2:8" x14ac:dyDescent="0.2">
      <c r="B146" s="23"/>
      <c r="C146" s="23"/>
      <c r="D146" s="23"/>
      <c r="E146" s="23"/>
      <c r="F146" s="23"/>
      <c r="G146" s="23"/>
      <c r="H146" s="23"/>
    </row>
    <row r="147" spans="2:8" x14ac:dyDescent="0.2">
      <c r="B147" s="23"/>
      <c r="C147" s="23"/>
      <c r="D147" s="23"/>
      <c r="E147" s="23"/>
      <c r="F147" s="23"/>
      <c r="G147" s="23"/>
      <c r="H147" s="23"/>
    </row>
    <row r="148" spans="2:8" x14ac:dyDescent="0.2">
      <c r="B148" s="23"/>
      <c r="C148" s="23"/>
      <c r="D148" s="23"/>
      <c r="E148" s="23"/>
      <c r="F148" s="23"/>
      <c r="G148" s="23"/>
      <c r="H148" s="23"/>
    </row>
    <row r="149" spans="2:8" x14ac:dyDescent="0.2">
      <c r="B149" s="23"/>
      <c r="C149" s="23"/>
      <c r="D149" s="23"/>
      <c r="E149" s="23"/>
      <c r="F149" s="23"/>
      <c r="G149" s="23"/>
      <c r="H149" s="23"/>
    </row>
    <row r="150" spans="2:8" x14ac:dyDescent="0.2">
      <c r="B150" s="23"/>
      <c r="C150" s="23"/>
      <c r="D150" s="23"/>
      <c r="E150" s="23"/>
      <c r="F150" s="23"/>
      <c r="G150" s="23"/>
      <c r="H150" s="23"/>
    </row>
    <row r="151" spans="2:8" x14ac:dyDescent="0.2">
      <c r="B151" s="23"/>
      <c r="C151" s="23"/>
      <c r="D151" s="23"/>
      <c r="E151" s="23"/>
      <c r="F151" s="23"/>
      <c r="G151" s="23"/>
      <c r="H151" s="23"/>
    </row>
    <row r="152" spans="2:8" x14ac:dyDescent="0.2">
      <c r="B152" s="23"/>
      <c r="C152" s="23"/>
      <c r="D152" s="23"/>
      <c r="E152" s="23"/>
      <c r="F152" s="23"/>
      <c r="G152" s="23"/>
      <c r="H152" s="23"/>
    </row>
    <row r="153" spans="2:8" x14ac:dyDescent="0.2">
      <c r="B153" s="23"/>
      <c r="C153" s="23"/>
      <c r="D153" s="23"/>
      <c r="E153" s="23"/>
      <c r="F153" s="23"/>
      <c r="G153" s="23"/>
      <c r="H153" s="23"/>
    </row>
    <row r="154" spans="2:8" x14ac:dyDescent="0.2">
      <c r="B154" s="23"/>
      <c r="C154" s="23"/>
      <c r="D154" s="23"/>
      <c r="E154" s="23"/>
      <c r="F154" s="23"/>
      <c r="G154" s="23"/>
      <c r="H154" s="23"/>
    </row>
    <row r="155" spans="2:8" x14ac:dyDescent="0.2">
      <c r="B155" s="23"/>
      <c r="C155" s="23"/>
      <c r="D155" s="23"/>
      <c r="E155" s="23"/>
      <c r="F155" s="23"/>
      <c r="G155" s="23"/>
      <c r="H155" s="23"/>
    </row>
    <row r="156" spans="2:8" x14ac:dyDescent="0.2">
      <c r="B156" s="23"/>
      <c r="C156" s="23"/>
      <c r="D156" s="23"/>
      <c r="E156" s="23"/>
      <c r="F156" s="23"/>
      <c r="G156" s="23"/>
      <c r="H156" s="23"/>
    </row>
    <row r="157" spans="2:8" x14ac:dyDescent="0.2">
      <c r="B157" s="23"/>
      <c r="C157" s="23"/>
      <c r="D157" s="23"/>
      <c r="E157" s="23"/>
      <c r="F157" s="23"/>
      <c r="G157" s="23"/>
      <c r="H157" s="23"/>
    </row>
    <row r="158" spans="2:8" x14ac:dyDescent="0.2">
      <c r="B158" s="23"/>
      <c r="C158" s="23"/>
      <c r="D158" s="23"/>
      <c r="E158" s="23"/>
      <c r="F158" s="23"/>
      <c r="G158" s="23"/>
      <c r="H158" s="23"/>
    </row>
    <row r="159" spans="2:8" x14ac:dyDescent="0.2">
      <c r="B159" s="23"/>
      <c r="C159" s="23"/>
      <c r="D159" s="23"/>
      <c r="E159" s="23"/>
      <c r="F159" s="23"/>
      <c r="G159" s="23"/>
      <c r="H159" s="23"/>
    </row>
    <row r="160" spans="2:8" x14ac:dyDescent="0.2">
      <c r="B160" s="23"/>
      <c r="C160" s="23"/>
      <c r="D160" s="23"/>
      <c r="E160" s="23"/>
      <c r="F160" s="23"/>
      <c r="G160" s="23"/>
      <c r="H160" s="23"/>
    </row>
    <row r="161" spans="2:8" x14ac:dyDescent="0.2">
      <c r="B161" s="23"/>
      <c r="C161" s="23"/>
      <c r="D161" s="23"/>
      <c r="E161" s="23"/>
      <c r="F161" s="23"/>
      <c r="G161" s="23"/>
      <c r="H161" s="23"/>
    </row>
    <row r="162" spans="2:8" x14ac:dyDescent="0.2">
      <c r="B162" s="23"/>
      <c r="C162" s="23"/>
      <c r="D162" s="23"/>
      <c r="E162" s="23"/>
      <c r="F162" s="23"/>
      <c r="G162" s="23"/>
      <c r="H162" s="23"/>
    </row>
    <row r="163" spans="2:8" x14ac:dyDescent="0.2">
      <c r="B163" s="23"/>
      <c r="C163" s="23"/>
      <c r="D163" s="23"/>
      <c r="E163" s="23"/>
      <c r="F163" s="23"/>
      <c r="G163" s="23"/>
      <c r="H163" s="23"/>
    </row>
    <row r="164" spans="2:8" x14ac:dyDescent="0.2">
      <c r="B164" s="23"/>
      <c r="C164" s="23"/>
      <c r="D164" s="23"/>
      <c r="E164" s="23"/>
      <c r="F164" s="23"/>
      <c r="G164" s="23"/>
      <c r="H164" s="23"/>
    </row>
    <row r="165" spans="2:8" x14ac:dyDescent="0.2">
      <c r="B165" s="23"/>
      <c r="C165" s="23"/>
      <c r="D165" s="23"/>
      <c r="E165" s="23"/>
      <c r="F165" s="23"/>
      <c r="G165" s="23"/>
      <c r="H165" s="23"/>
    </row>
    <row r="166" spans="2:8" x14ac:dyDescent="0.2">
      <c r="B166" s="23"/>
      <c r="C166" s="23"/>
      <c r="D166" s="23"/>
      <c r="E166" s="23"/>
      <c r="F166" s="23"/>
      <c r="G166" s="23"/>
      <c r="H166" s="23"/>
    </row>
    <row r="167" spans="2:8" x14ac:dyDescent="0.2">
      <c r="B167" s="23"/>
      <c r="C167" s="23"/>
      <c r="D167" s="23"/>
      <c r="E167" s="23"/>
      <c r="F167" s="23"/>
      <c r="G167" s="23"/>
      <c r="H167" s="23"/>
    </row>
    <row r="168" spans="2:8" x14ac:dyDescent="0.2">
      <c r="B168" s="23"/>
      <c r="C168" s="23"/>
      <c r="D168" s="23"/>
      <c r="E168" s="23"/>
      <c r="F168" s="23"/>
      <c r="G168" s="23"/>
      <c r="H168" s="23"/>
    </row>
    <row r="169" spans="2:8" x14ac:dyDescent="0.2">
      <c r="B169" s="23"/>
      <c r="C169" s="23"/>
      <c r="D169" s="23"/>
      <c r="E169" s="23"/>
      <c r="F169" s="23"/>
      <c r="G169" s="23"/>
      <c r="H169" s="23"/>
    </row>
    <row r="170" spans="2:8" x14ac:dyDescent="0.2">
      <c r="B170" s="23"/>
      <c r="C170" s="23"/>
      <c r="D170" s="23"/>
      <c r="E170" s="23"/>
      <c r="F170" s="23"/>
      <c r="G170" s="23"/>
      <c r="H170" s="23"/>
    </row>
    <row r="171" spans="2:8" x14ac:dyDescent="0.2">
      <c r="B171" s="23"/>
      <c r="C171" s="23"/>
      <c r="D171" s="23"/>
      <c r="E171" s="23"/>
      <c r="F171" s="23"/>
      <c r="G171" s="23"/>
      <c r="H171" s="23"/>
    </row>
    <row r="172" spans="2:8" x14ac:dyDescent="0.2">
      <c r="B172" s="23"/>
      <c r="C172" s="23"/>
      <c r="D172" s="23"/>
      <c r="E172" s="23"/>
      <c r="F172" s="23"/>
      <c r="G172" s="23"/>
      <c r="H172" s="23"/>
    </row>
    <row r="173" spans="2:8" x14ac:dyDescent="0.2">
      <c r="B173" s="23"/>
      <c r="C173" s="23"/>
      <c r="D173" s="23"/>
      <c r="E173" s="23"/>
      <c r="F173" s="23"/>
      <c r="G173" s="23"/>
      <c r="H173" s="23"/>
    </row>
    <row r="174" spans="2:8" x14ac:dyDescent="0.2">
      <c r="B174" s="23"/>
      <c r="C174" s="23"/>
      <c r="D174" s="23"/>
      <c r="E174" s="23"/>
      <c r="F174" s="23"/>
      <c r="G174" s="23"/>
      <c r="H174" s="23"/>
    </row>
    <row r="175" spans="2:8" x14ac:dyDescent="0.2">
      <c r="B175" s="23"/>
      <c r="C175" s="23"/>
      <c r="D175" s="23"/>
      <c r="E175" s="23"/>
      <c r="F175" s="23"/>
      <c r="G175" s="23"/>
      <c r="H175" s="23"/>
    </row>
    <row r="176" spans="2:8" x14ac:dyDescent="0.2">
      <c r="B176" s="23"/>
      <c r="C176" s="23"/>
      <c r="D176" s="23"/>
      <c r="E176" s="23"/>
      <c r="F176" s="23"/>
      <c r="G176" s="23"/>
      <c r="H176" s="23"/>
    </row>
    <row r="177" spans="2:8" x14ac:dyDescent="0.2">
      <c r="B177" s="23"/>
      <c r="C177" s="23"/>
      <c r="D177" s="23"/>
      <c r="E177" s="23"/>
      <c r="F177" s="23"/>
      <c r="G177" s="23"/>
      <c r="H177" s="23"/>
    </row>
    <row r="178" spans="2:8" x14ac:dyDescent="0.2">
      <c r="B178" s="23"/>
      <c r="C178" s="23"/>
      <c r="D178" s="23"/>
      <c r="E178" s="23"/>
      <c r="F178" s="23"/>
      <c r="G178" s="23"/>
      <c r="H178" s="23"/>
    </row>
    <row r="179" spans="2:8" x14ac:dyDescent="0.2">
      <c r="B179" s="23"/>
      <c r="C179" s="23"/>
      <c r="D179" s="23"/>
      <c r="E179" s="23"/>
      <c r="F179" s="23"/>
      <c r="G179" s="23"/>
      <c r="H179" s="23"/>
    </row>
    <row r="180" spans="2:8" x14ac:dyDescent="0.2">
      <c r="B180" s="23"/>
      <c r="C180" s="23"/>
      <c r="D180" s="23"/>
      <c r="E180" s="23"/>
      <c r="F180" s="23"/>
      <c r="G180" s="23"/>
      <c r="H180" s="23"/>
    </row>
    <row r="181" spans="2:8" x14ac:dyDescent="0.2">
      <c r="B181" s="23"/>
      <c r="C181" s="23"/>
      <c r="D181" s="23"/>
      <c r="E181" s="23"/>
      <c r="F181" s="23"/>
      <c r="G181" s="23"/>
      <c r="H181" s="23"/>
    </row>
    <row r="182" spans="2:8" x14ac:dyDescent="0.2">
      <c r="B182" s="23"/>
      <c r="C182" s="23"/>
      <c r="D182" s="23"/>
      <c r="E182" s="23"/>
      <c r="F182" s="23"/>
      <c r="G182" s="23"/>
      <c r="H182" s="23"/>
    </row>
    <row r="183" spans="2:8" x14ac:dyDescent="0.2">
      <c r="B183" s="23"/>
      <c r="C183" s="23"/>
      <c r="D183" s="23"/>
      <c r="E183" s="23"/>
      <c r="F183" s="23"/>
      <c r="G183" s="23"/>
      <c r="H183" s="23"/>
    </row>
    <row r="184" spans="2:8" x14ac:dyDescent="0.2">
      <c r="B184" s="23"/>
      <c r="C184" s="23"/>
      <c r="D184" s="23"/>
      <c r="E184" s="23"/>
      <c r="F184" s="23"/>
      <c r="G184" s="23"/>
      <c r="H184" s="23"/>
    </row>
    <row r="185" spans="2:8" x14ac:dyDescent="0.2">
      <c r="B185" s="23"/>
      <c r="C185" s="23"/>
      <c r="D185" s="23"/>
      <c r="E185" s="23"/>
      <c r="F185" s="23"/>
      <c r="G185" s="23"/>
      <c r="H185" s="23"/>
    </row>
    <row r="186" spans="2:8" x14ac:dyDescent="0.2">
      <c r="B186" s="23"/>
      <c r="C186" s="23"/>
      <c r="D186" s="23"/>
      <c r="E186" s="23"/>
      <c r="F186" s="23"/>
      <c r="G186" s="23"/>
      <c r="H186" s="23"/>
    </row>
    <row r="187" spans="2:8" x14ac:dyDescent="0.2">
      <c r="B187" s="23"/>
      <c r="C187" s="23"/>
      <c r="D187" s="23"/>
      <c r="E187" s="23"/>
      <c r="F187" s="23"/>
      <c r="G187" s="23"/>
      <c r="H187" s="23"/>
    </row>
    <row r="188" spans="2:8" x14ac:dyDescent="0.2">
      <c r="B188" s="23"/>
      <c r="C188" s="23"/>
      <c r="D188" s="23"/>
      <c r="E188" s="23"/>
      <c r="F188" s="23"/>
      <c r="G188" s="23"/>
      <c r="H188" s="23"/>
    </row>
    <row r="189" spans="2:8" x14ac:dyDescent="0.2">
      <c r="B189" s="23"/>
      <c r="C189" s="23"/>
      <c r="D189" s="23"/>
      <c r="E189" s="23"/>
      <c r="F189" s="23"/>
      <c r="G189" s="23"/>
      <c r="H189" s="23"/>
    </row>
    <row r="190" spans="2:8" x14ac:dyDescent="0.2">
      <c r="B190" s="23"/>
      <c r="C190" s="23"/>
      <c r="D190" s="23"/>
      <c r="E190" s="23"/>
      <c r="F190" s="23"/>
      <c r="G190" s="23"/>
      <c r="H190" s="23"/>
    </row>
    <row r="191" spans="2:8" x14ac:dyDescent="0.2">
      <c r="B191" s="23"/>
      <c r="C191" s="23"/>
      <c r="D191" s="23"/>
      <c r="E191" s="23"/>
      <c r="F191" s="23"/>
      <c r="G191" s="23"/>
      <c r="H191" s="23"/>
    </row>
    <row r="192" spans="2:8" x14ac:dyDescent="0.2">
      <c r="B192" s="23"/>
      <c r="C192" s="23"/>
      <c r="D192" s="23"/>
      <c r="E192" s="23"/>
      <c r="F192" s="23"/>
      <c r="G192" s="23"/>
      <c r="H192" s="23"/>
    </row>
    <row r="193" spans="2:8" x14ac:dyDescent="0.2">
      <c r="B193" s="23"/>
      <c r="C193" s="23"/>
      <c r="D193" s="23"/>
      <c r="E193" s="23"/>
      <c r="F193" s="23"/>
      <c r="G193" s="23"/>
      <c r="H193" s="23"/>
    </row>
    <row r="194" spans="2:8" x14ac:dyDescent="0.2">
      <c r="B194" s="23"/>
      <c r="C194" s="23"/>
      <c r="D194" s="23"/>
      <c r="E194" s="23"/>
      <c r="F194" s="23"/>
      <c r="G194" s="23"/>
      <c r="H194" s="23"/>
    </row>
    <row r="195" spans="2:8" x14ac:dyDescent="0.2">
      <c r="B195" s="23"/>
      <c r="C195" s="23"/>
      <c r="D195" s="23"/>
      <c r="E195" s="23"/>
      <c r="F195" s="23"/>
      <c r="G195" s="23"/>
      <c r="H195" s="23"/>
    </row>
    <row r="196" spans="2:8" x14ac:dyDescent="0.2">
      <c r="B196" s="23"/>
      <c r="C196" s="23"/>
      <c r="D196" s="23"/>
      <c r="E196" s="23"/>
      <c r="F196" s="23"/>
      <c r="G196" s="23"/>
      <c r="H196" s="23"/>
    </row>
    <row r="197" spans="2:8" x14ac:dyDescent="0.2">
      <c r="B197" s="23"/>
      <c r="C197" s="23"/>
      <c r="D197" s="23"/>
      <c r="E197" s="23"/>
      <c r="F197" s="23"/>
      <c r="G197" s="23"/>
      <c r="H197" s="23"/>
    </row>
    <row r="198" spans="2:8" x14ac:dyDescent="0.2">
      <c r="B198" s="23"/>
      <c r="C198" s="23"/>
      <c r="D198" s="23"/>
      <c r="E198" s="23"/>
      <c r="F198" s="23"/>
      <c r="G198" s="23"/>
      <c r="H198" s="23"/>
    </row>
    <row r="199" spans="2:8" x14ac:dyDescent="0.2">
      <c r="B199" s="23"/>
      <c r="C199" s="23"/>
      <c r="D199" s="23"/>
      <c r="E199" s="23"/>
      <c r="F199" s="23"/>
      <c r="G199" s="23"/>
      <c r="H199" s="23"/>
    </row>
    <row r="200" spans="2:8" x14ac:dyDescent="0.2">
      <c r="B200" s="23"/>
      <c r="C200" s="23"/>
      <c r="D200" s="23"/>
      <c r="E200" s="23"/>
      <c r="F200" s="23"/>
      <c r="G200" s="23"/>
      <c r="H200" s="23"/>
    </row>
    <row r="201" spans="2:8" x14ac:dyDescent="0.2">
      <c r="B201" s="23"/>
      <c r="C201" s="23"/>
      <c r="D201" s="23"/>
      <c r="E201" s="23"/>
      <c r="F201" s="23"/>
      <c r="G201" s="23"/>
      <c r="H201" s="23"/>
    </row>
    <row r="202" spans="2:8" x14ac:dyDescent="0.2">
      <c r="B202" s="23"/>
      <c r="C202" s="23"/>
      <c r="D202" s="23"/>
      <c r="E202" s="23"/>
      <c r="F202" s="23"/>
      <c r="G202" s="23"/>
      <c r="H202" s="23"/>
    </row>
    <row r="203" spans="2:8" x14ac:dyDescent="0.2">
      <c r="B203" s="23"/>
      <c r="C203" s="23"/>
      <c r="D203" s="23"/>
      <c r="E203" s="23"/>
      <c r="F203" s="23"/>
      <c r="G203" s="23"/>
      <c r="H203" s="23"/>
    </row>
    <row r="204" spans="2:8" x14ac:dyDescent="0.2">
      <c r="B204" s="23"/>
      <c r="C204" s="23"/>
      <c r="D204" s="23"/>
      <c r="E204" s="23"/>
      <c r="F204" s="23"/>
      <c r="G204" s="23"/>
      <c r="H204" s="23"/>
    </row>
    <row r="205" spans="2:8" x14ac:dyDescent="0.2">
      <c r="B205" s="23"/>
      <c r="C205" s="23"/>
      <c r="D205" s="23"/>
      <c r="E205" s="23"/>
      <c r="F205" s="23"/>
      <c r="G205" s="23"/>
      <c r="H205" s="23"/>
    </row>
    <row r="206" spans="2:8" x14ac:dyDescent="0.2">
      <c r="B206" s="23"/>
      <c r="C206" s="23"/>
      <c r="D206" s="23"/>
      <c r="E206" s="23"/>
      <c r="F206" s="23"/>
      <c r="G206" s="23"/>
      <c r="H206" s="23"/>
    </row>
    <row r="207" spans="2:8" x14ac:dyDescent="0.2">
      <c r="B207" s="23"/>
      <c r="C207" s="23"/>
      <c r="D207" s="23"/>
      <c r="E207" s="23"/>
      <c r="F207" s="23"/>
      <c r="G207" s="23"/>
      <c r="H207" s="23"/>
    </row>
    <row r="208" spans="2:8" x14ac:dyDescent="0.2">
      <c r="B208" s="23"/>
      <c r="C208" s="23"/>
      <c r="D208" s="23"/>
      <c r="E208" s="23"/>
      <c r="F208" s="23"/>
      <c r="G208" s="23"/>
      <c r="H208" s="23"/>
    </row>
    <row r="209" spans="2:8" x14ac:dyDescent="0.2">
      <c r="B209" s="23"/>
      <c r="C209" s="23"/>
      <c r="D209" s="23"/>
      <c r="E209" s="23"/>
      <c r="F209" s="23"/>
      <c r="G209" s="23"/>
      <c r="H209" s="23"/>
    </row>
    <row r="210" spans="2:8" x14ac:dyDescent="0.2">
      <c r="B210" s="23"/>
      <c r="C210" s="23"/>
      <c r="D210" s="23"/>
      <c r="E210" s="23"/>
      <c r="F210" s="23"/>
      <c r="G210" s="23"/>
      <c r="H210" s="23"/>
    </row>
    <row r="211" spans="2:8" x14ac:dyDescent="0.2">
      <c r="B211" s="23"/>
      <c r="C211" s="23"/>
      <c r="D211" s="23"/>
      <c r="E211" s="23"/>
      <c r="F211" s="23"/>
      <c r="G211" s="23"/>
      <c r="H211" s="23"/>
    </row>
    <row r="212" spans="2:8" x14ac:dyDescent="0.2">
      <c r="B212" s="23"/>
      <c r="C212" s="23"/>
      <c r="D212" s="23"/>
      <c r="E212" s="23"/>
      <c r="F212" s="23"/>
      <c r="G212" s="23"/>
      <c r="H212" s="23"/>
    </row>
    <row r="213" spans="2:8" x14ac:dyDescent="0.2">
      <c r="B213" s="23"/>
      <c r="C213" s="23"/>
      <c r="D213" s="23"/>
      <c r="E213" s="23"/>
      <c r="F213" s="23"/>
      <c r="G213" s="23"/>
      <c r="H213" s="23"/>
    </row>
    <row r="214" spans="2:8" x14ac:dyDescent="0.2">
      <c r="B214" s="23"/>
      <c r="C214" s="23"/>
      <c r="D214" s="23"/>
      <c r="E214" s="23"/>
      <c r="F214" s="23"/>
      <c r="G214" s="23"/>
      <c r="H214" s="23"/>
    </row>
    <row r="215" spans="2:8" x14ac:dyDescent="0.2">
      <c r="B215" s="23"/>
      <c r="C215" s="23"/>
      <c r="D215" s="23"/>
      <c r="E215" s="23"/>
      <c r="F215" s="23"/>
      <c r="G215" s="23"/>
      <c r="H215" s="23"/>
    </row>
    <row r="216" spans="2:8" x14ac:dyDescent="0.2">
      <c r="B216" s="23"/>
      <c r="C216" s="23"/>
      <c r="D216" s="23"/>
      <c r="E216" s="23"/>
      <c r="F216" s="23"/>
      <c r="G216" s="23"/>
      <c r="H216" s="23"/>
    </row>
    <row r="217" spans="2:8" x14ac:dyDescent="0.2">
      <c r="B217" s="23"/>
      <c r="C217" s="23"/>
      <c r="D217" s="23"/>
      <c r="E217" s="23"/>
      <c r="F217" s="23"/>
      <c r="G217" s="23"/>
      <c r="H217" s="23"/>
    </row>
    <row r="218" spans="2:8" x14ac:dyDescent="0.2">
      <c r="B218" s="23"/>
      <c r="C218" s="23"/>
      <c r="D218" s="23"/>
      <c r="E218" s="23"/>
      <c r="F218" s="23"/>
      <c r="G218" s="23"/>
      <c r="H218" s="23"/>
    </row>
    <row r="219" spans="2:8" x14ac:dyDescent="0.2">
      <c r="B219" s="23"/>
      <c r="C219" s="23"/>
      <c r="D219" s="23"/>
      <c r="E219" s="23"/>
      <c r="F219" s="23"/>
      <c r="G219" s="23"/>
      <c r="H219" s="23"/>
    </row>
    <row r="220" spans="2:8" x14ac:dyDescent="0.2">
      <c r="B220" s="23"/>
      <c r="C220" s="23"/>
      <c r="D220" s="23"/>
      <c r="E220" s="23"/>
      <c r="F220" s="23"/>
      <c r="G220" s="23"/>
      <c r="H220" s="23"/>
    </row>
    <row r="221" spans="2:8" x14ac:dyDescent="0.2">
      <c r="B221" s="23"/>
      <c r="C221" s="23"/>
      <c r="D221" s="23"/>
      <c r="E221" s="23"/>
      <c r="F221" s="23"/>
      <c r="G221" s="23"/>
      <c r="H221" s="23"/>
    </row>
    <row r="222" spans="2:8" x14ac:dyDescent="0.2">
      <c r="B222" s="23"/>
      <c r="C222" s="23"/>
      <c r="D222" s="23"/>
      <c r="E222" s="23"/>
      <c r="F222" s="23"/>
      <c r="G222" s="23"/>
      <c r="H222" s="23"/>
    </row>
    <row r="223" spans="2:8" x14ac:dyDescent="0.2">
      <c r="B223" s="23"/>
      <c r="C223" s="23"/>
      <c r="D223" s="23"/>
      <c r="E223" s="23"/>
      <c r="F223" s="23"/>
      <c r="G223" s="23"/>
      <c r="H223" s="23"/>
    </row>
    <row r="224" spans="2:8" x14ac:dyDescent="0.2">
      <c r="B224" s="23"/>
      <c r="C224" s="23"/>
      <c r="D224" s="23"/>
      <c r="E224" s="23"/>
      <c r="F224" s="23"/>
      <c r="G224" s="23"/>
      <c r="H224" s="23"/>
    </row>
    <row r="225" spans="2:8" x14ac:dyDescent="0.2">
      <c r="B225" s="23"/>
      <c r="C225" s="23"/>
      <c r="D225" s="23"/>
      <c r="E225" s="23"/>
      <c r="F225" s="23"/>
      <c r="G225" s="23"/>
      <c r="H225" s="23"/>
    </row>
    <row r="226" spans="2:8" x14ac:dyDescent="0.2">
      <c r="B226" s="23"/>
      <c r="C226" s="23"/>
      <c r="D226" s="23"/>
      <c r="E226" s="23"/>
      <c r="F226" s="23"/>
      <c r="G226" s="23"/>
      <c r="H226" s="23"/>
    </row>
    <row r="227" spans="2:8" x14ac:dyDescent="0.2">
      <c r="B227" s="23"/>
      <c r="C227" s="23"/>
      <c r="D227" s="23"/>
      <c r="E227" s="23"/>
      <c r="F227" s="23"/>
      <c r="G227" s="23"/>
      <c r="H227" s="23"/>
    </row>
    <row r="228" spans="2:8" x14ac:dyDescent="0.2">
      <c r="B228" s="23"/>
      <c r="C228" s="23"/>
      <c r="D228" s="23"/>
      <c r="E228" s="23"/>
      <c r="F228" s="23"/>
      <c r="G228" s="23"/>
      <c r="H228" s="23"/>
    </row>
    <row r="229" spans="2:8" x14ac:dyDescent="0.2">
      <c r="B229" s="23"/>
      <c r="C229" s="23"/>
      <c r="D229" s="23"/>
      <c r="E229" s="23"/>
      <c r="F229" s="23"/>
      <c r="G229" s="23"/>
      <c r="H229" s="23"/>
    </row>
    <row r="230" spans="2:8" x14ac:dyDescent="0.2">
      <c r="B230" s="23"/>
      <c r="C230" s="23"/>
      <c r="D230" s="23"/>
      <c r="E230" s="23"/>
      <c r="F230" s="23"/>
      <c r="G230" s="23"/>
      <c r="H230" s="23"/>
    </row>
    <row r="231" spans="2:8" x14ac:dyDescent="0.2">
      <c r="B231" s="23"/>
      <c r="C231" s="23"/>
      <c r="D231" s="23"/>
      <c r="E231" s="23"/>
      <c r="F231" s="23"/>
      <c r="G231" s="23"/>
      <c r="H231" s="23"/>
    </row>
    <row r="232" spans="2:8" x14ac:dyDescent="0.2">
      <c r="B232" s="23"/>
      <c r="C232" s="23"/>
      <c r="D232" s="23"/>
      <c r="E232" s="23"/>
      <c r="F232" s="23"/>
      <c r="G232" s="23"/>
      <c r="H232" s="23"/>
    </row>
    <row r="233" spans="2:8" x14ac:dyDescent="0.2">
      <c r="B233" s="23"/>
      <c r="C233" s="23"/>
      <c r="D233" s="23"/>
      <c r="E233" s="23"/>
      <c r="F233" s="23"/>
      <c r="G233" s="23"/>
      <c r="H233" s="23"/>
    </row>
    <row r="234" spans="2:8" x14ac:dyDescent="0.2">
      <c r="B234" s="23"/>
      <c r="C234" s="23"/>
      <c r="D234" s="23"/>
      <c r="E234" s="23"/>
      <c r="F234" s="23"/>
      <c r="G234" s="23"/>
      <c r="H234" s="23"/>
    </row>
    <row r="235" spans="2:8" x14ac:dyDescent="0.2">
      <c r="B235" s="23"/>
      <c r="C235" s="23"/>
      <c r="D235" s="23"/>
      <c r="E235" s="23"/>
      <c r="F235" s="23"/>
      <c r="G235" s="23"/>
      <c r="H235" s="23"/>
    </row>
    <row r="236" spans="2:8" x14ac:dyDescent="0.2">
      <c r="B236" s="23"/>
      <c r="C236" s="23"/>
      <c r="D236" s="23"/>
      <c r="E236" s="23"/>
      <c r="F236" s="23"/>
      <c r="G236" s="23"/>
      <c r="H236" s="23"/>
    </row>
    <row r="237" spans="2:8" x14ac:dyDescent="0.2">
      <c r="B237" s="23"/>
      <c r="C237" s="23"/>
      <c r="D237" s="23"/>
      <c r="E237" s="23"/>
      <c r="F237" s="23"/>
      <c r="G237" s="23"/>
      <c r="H237" s="23"/>
    </row>
    <row r="238" spans="2:8" x14ac:dyDescent="0.2">
      <c r="B238" s="23"/>
      <c r="C238" s="23"/>
      <c r="D238" s="23"/>
      <c r="E238" s="23"/>
      <c r="F238" s="23"/>
      <c r="G238" s="23"/>
      <c r="H238" s="23"/>
    </row>
    <row r="239" spans="2:8" x14ac:dyDescent="0.2">
      <c r="B239" s="23"/>
      <c r="C239" s="23"/>
      <c r="D239" s="23"/>
      <c r="E239" s="23"/>
      <c r="F239" s="23"/>
      <c r="G239" s="23"/>
      <c r="H239" s="23"/>
    </row>
    <row r="240" spans="2:8" x14ac:dyDescent="0.2">
      <c r="B240" s="23"/>
      <c r="C240" s="23"/>
      <c r="D240" s="23"/>
      <c r="E240" s="23"/>
      <c r="F240" s="23"/>
      <c r="G240" s="23"/>
      <c r="H240" s="23"/>
    </row>
    <row r="241" spans="2:8" x14ac:dyDescent="0.2">
      <c r="B241" s="23"/>
      <c r="C241" s="23"/>
      <c r="D241" s="23"/>
      <c r="E241" s="23"/>
      <c r="F241" s="23"/>
      <c r="G241" s="23"/>
      <c r="H241" s="23"/>
    </row>
    <row r="242" spans="2:8" x14ac:dyDescent="0.2">
      <c r="B242" s="23"/>
      <c r="C242" s="23"/>
      <c r="D242" s="23"/>
      <c r="E242" s="23"/>
      <c r="F242" s="23"/>
      <c r="G242" s="23"/>
      <c r="H242" s="23"/>
    </row>
    <row r="243" spans="2:8" x14ac:dyDescent="0.2">
      <c r="B243" s="23"/>
      <c r="C243" s="23"/>
      <c r="D243" s="23"/>
      <c r="E243" s="23"/>
      <c r="F243" s="23"/>
      <c r="G243" s="23"/>
      <c r="H243" s="23"/>
    </row>
    <row r="244" spans="2:8" x14ac:dyDescent="0.2">
      <c r="B244" s="23"/>
      <c r="C244" s="23"/>
      <c r="D244" s="23"/>
      <c r="E244" s="23"/>
      <c r="F244" s="23"/>
      <c r="G244" s="23"/>
      <c r="H244" s="23"/>
    </row>
    <row r="245" spans="2:8" x14ac:dyDescent="0.2">
      <c r="B245" s="23"/>
      <c r="C245" s="23"/>
      <c r="D245" s="23"/>
      <c r="E245" s="23"/>
      <c r="F245" s="23"/>
      <c r="G245" s="23"/>
      <c r="H245" s="23"/>
    </row>
    <row r="246" spans="2:8" x14ac:dyDescent="0.2">
      <c r="B246" s="23"/>
      <c r="C246" s="23"/>
      <c r="D246" s="23"/>
      <c r="E246" s="23"/>
      <c r="F246" s="23"/>
      <c r="G246" s="23"/>
      <c r="H246" s="23"/>
    </row>
    <row r="247" spans="2:8" x14ac:dyDescent="0.2">
      <c r="B247" s="23"/>
      <c r="C247" s="23"/>
      <c r="D247" s="23"/>
      <c r="E247" s="23"/>
      <c r="F247" s="23"/>
      <c r="G247" s="23"/>
      <c r="H247" s="23"/>
    </row>
    <row r="248" spans="2:8" x14ac:dyDescent="0.2">
      <c r="B248" s="23"/>
      <c r="C248" s="23"/>
      <c r="D248" s="23"/>
      <c r="E248" s="23"/>
      <c r="F248" s="23"/>
      <c r="G248" s="23"/>
      <c r="H248" s="23"/>
    </row>
    <row r="249" spans="2:8" x14ac:dyDescent="0.2">
      <c r="B249" s="23"/>
      <c r="C249" s="23"/>
      <c r="D249" s="23"/>
      <c r="E249" s="23"/>
      <c r="F249" s="23"/>
      <c r="G249" s="23"/>
      <c r="H249" s="23"/>
    </row>
    <row r="250" spans="2:8" x14ac:dyDescent="0.2">
      <c r="B250" s="23"/>
      <c r="C250" s="23"/>
      <c r="D250" s="23"/>
      <c r="E250" s="23"/>
      <c r="F250" s="23"/>
      <c r="G250" s="23"/>
      <c r="H250" s="23"/>
    </row>
    <row r="251" spans="2:8" x14ac:dyDescent="0.2">
      <c r="B251" s="23"/>
      <c r="C251" s="23"/>
      <c r="D251" s="23"/>
      <c r="E251" s="23"/>
      <c r="F251" s="23"/>
      <c r="G251" s="23"/>
      <c r="H251" s="23"/>
    </row>
    <row r="252" spans="2:8" x14ac:dyDescent="0.2">
      <c r="B252" s="23"/>
      <c r="C252" s="23"/>
      <c r="D252" s="23"/>
      <c r="E252" s="23"/>
      <c r="F252" s="23"/>
      <c r="G252" s="23"/>
      <c r="H252" s="23"/>
    </row>
    <row r="253" spans="2:8" x14ac:dyDescent="0.2">
      <c r="B253" s="23"/>
      <c r="C253" s="23"/>
      <c r="D253" s="23"/>
      <c r="E253" s="23"/>
      <c r="F253" s="23"/>
      <c r="G253" s="23"/>
      <c r="H253" s="23"/>
    </row>
    <row r="254" spans="2:8" x14ac:dyDescent="0.2">
      <c r="B254" s="23"/>
      <c r="C254" s="23"/>
      <c r="D254" s="23"/>
      <c r="E254" s="23"/>
      <c r="F254" s="23"/>
      <c r="G254" s="23"/>
      <c r="H254" s="23"/>
    </row>
    <row r="255" spans="2:8" x14ac:dyDescent="0.2">
      <c r="B255" s="23"/>
      <c r="C255" s="23"/>
      <c r="D255" s="23"/>
      <c r="E255" s="23"/>
      <c r="F255" s="23"/>
      <c r="G255" s="23"/>
      <c r="H255" s="23"/>
    </row>
    <row r="256" spans="2:8" x14ac:dyDescent="0.2">
      <c r="B256" s="23"/>
      <c r="C256" s="23"/>
      <c r="D256" s="23"/>
      <c r="E256" s="23"/>
      <c r="F256" s="23"/>
      <c r="G256" s="23"/>
      <c r="H256" s="23"/>
    </row>
    <row r="257" spans="2:8" x14ac:dyDescent="0.2">
      <c r="B257" s="23"/>
      <c r="C257" s="23"/>
      <c r="D257" s="23"/>
      <c r="E257" s="23"/>
      <c r="F257" s="23"/>
      <c r="G257" s="23"/>
      <c r="H257" s="23"/>
    </row>
    <row r="258" spans="2:8" x14ac:dyDescent="0.2">
      <c r="B258" s="23"/>
      <c r="C258" s="23"/>
      <c r="D258" s="23"/>
      <c r="E258" s="23"/>
      <c r="F258" s="23"/>
      <c r="G258" s="23"/>
      <c r="H258" s="23"/>
    </row>
    <row r="259" spans="2:8" x14ac:dyDescent="0.2">
      <c r="B259" s="23"/>
      <c r="C259" s="23"/>
      <c r="D259" s="23"/>
      <c r="E259" s="23"/>
      <c r="F259" s="23"/>
      <c r="G259" s="23"/>
      <c r="H259" s="23"/>
    </row>
    <row r="260" spans="2:8" x14ac:dyDescent="0.2">
      <c r="B260" s="23"/>
      <c r="C260" s="23"/>
      <c r="D260" s="23"/>
      <c r="E260" s="23"/>
      <c r="F260" s="23"/>
      <c r="G260" s="23"/>
      <c r="H260" s="23"/>
    </row>
    <row r="261" spans="2:8" x14ac:dyDescent="0.2">
      <c r="B261" s="23"/>
      <c r="C261" s="23"/>
      <c r="D261" s="23"/>
      <c r="E261" s="23"/>
      <c r="F261" s="23"/>
      <c r="G261" s="23"/>
      <c r="H261" s="23"/>
    </row>
    <row r="262" spans="2:8" x14ac:dyDescent="0.2">
      <c r="B262" s="23"/>
      <c r="C262" s="23"/>
      <c r="D262" s="23"/>
      <c r="E262" s="23"/>
      <c r="F262" s="23"/>
      <c r="G262" s="23"/>
      <c r="H262" s="23"/>
    </row>
    <row r="263" spans="2:8" x14ac:dyDescent="0.2">
      <c r="B263" s="23"/>
      <c r="C263" s="23"/>
      <c r="D263" s="23"/>
      <c r="E263" s="23"/>
      <c r="F263" s="23"/>
      <c r="G263" s="23"/>
      <c r="H263" s="23"/>
    </row>
    <row r="264" spans="2:8" x14ac:dyDescent="0.2">
      <c r="B264" s="23"/>
      <c r="C264" s="23"/>
      <c r="D264" s="23"/>
      <c r="E264" s="23"/>
      <c r="F264" s="23"/>
      <c r="G264" s="23"/>
      <c r="H264" s="23"/>
    </row>
    <row r="265" spans="2:8" x14ac:dyDescent="0.2">
      <c r="B265" s="23"/>
      <c r="C265" s="23"/>
      <c r="D265" s="23"/>
      <c r="E265" s="23"/>
      <c r="F265" s="23"/>
      <c r="G265" s="23"/>
      <c r="H265" s="23"/>
    </row>
    <row r="266" spans="2:8" x14ac:dyDescent="0.2">
      <c r="B266" s="23"/>
      <c r="C266" s="23"/>
      <c r="D266" s="23"/>
      <c r="E266" s="23"/>
      <c r="F266" s="23"/>
      <c r="G266" s="23"/>
      <c r="H266" s="23"/>
    </row>
    <row r="267" spans="2:8" x14ac:dyDescent="0.2">
      <c r="B267" s="23"/>
      <c r="C267" s="23"/>
      <c r="D267" s="23"/>
      <c r="E267" s="23"/>
      <c r="F267" s="23"/>
      <c r="G267" s="23"/>
      <c r="H267" s="23"/>
    </row>
    <row r="268" spans="2:8" x14ac:dyDescent="0.2">
      <c r="B268" s="23"/>
      <c r="C268" s="23"/>
      <c r="D268" s="23"/>
      <c r="E268" s="23"/>
      <c r="F268" s="23"/>
      <c r="G268" s="23"/>
      <c r="H268" s="23"/>
    </row>
    <row r="269" spans="2:8" x14ac:dyDescent="0.2">
      <c r="B269" s="23"/>
      <c r="C269" s="23"/>
      <c r="D269" s="23"/>
      <c r="E269" s="23"/>
      <c r="F269" s="23"/>
      <c r="G269" s="23"/>
      <c r="H269" s="23"/>
    </row>
    <row r="270" spans="2:8" x14ac:dyDescent="0.2">
      <c r="B270" s="23"/>
      <c r="C270" s="23"/>
      <c r="D270" s="23"/>
      <c r="E270" s="23"/>
      <c r="F270" s="23"/>
      <c r="G270" s="23"/>
      <c r="H270" s="23"/>
    </row>
    <row r="271" spans="2:8" x14ac:dyDescent="0.2">
      <c r="B271" s="23"/>
      <c r="C271" s="23"/>
      <c r="D271" s="23"/>
      <c r="E271" s="23"/>
      <c r="F271" s="23"/>
      <c r="G271" s="23"/>
      <c r="H271" s="23"/>
    </row>
    <row r="272" spans="2:8" x14ac:dyDescent="0.2">
      <c r="B272" s="23"/>
      <c r="C272" s="23"/>
      <c r="D272" s="23"/>
      <c r="E272" s="23"/>
      <c r="F272" s="23"/>
      <c r="G272" s="23"/>
      <c r="H272" s="23"/>
    </row>
    <row r="273" spans="2:8" x14ac:dyDescent="0.2">
      <c r="B273" s="23"/>
      <c r="C273" s="23"/>
      <c r="D273" s="23"/>
      <c r="E273" s="23"/>
      <c r="F273" s="23"/>
      <c r="G273" s="23"/>
      <c r="H273" s="23"/>
    </row>
    <row r="274" spans="2:8" x14ac:dyDescent="0.2">
      <c r="B274" s="23"/>
      <c r="C274" s="23"/>
      <c r="D274" s="23"/>
      <c r="E274" s="23"/>
      <c r="F274" s="23"/>
      <c r="G274" s="23"/>
      <c r="H274" s="23"/>
    </row>
    <row r="275" spans="2:8" x14ac:dyDescent="0.2">
      <c r="B275" s="23"/>
      <c r="C275" s="23"/>
      <c r="D275" s="23"/>
      <c r="E275" s="23"/>
      <c r="F275" s="23"/>
      <c r="G275" s="23"/>
      <c r="H275" s="23"/>
    </row>
    <row r="276" spans="2:8" x14ac:dyDescent="0.2">
      <c r="B276" s="23"/>
      <c r="C276" s="23"/>
      <c r="D276" s="23"/>
      <c r="E276" s="23"/>
      <c r="F276" s="23"/>
      <c r="G276" s="23"/>
      <c r="H276" s="23"/>
    </row>
    <row r="277" spans="2:8" x14ac:dyDescent="0.2">
      <c r="B277" s="23"/>
      <c r="C277" s="23"/>
      <c r="D277" s="23"/>
      <c r="E277" s="23"/>
      <c r="F277" s="23"/>
      <c r="G277" s="23"/>
      <c r="H277" s="23"/>
    </row>
    <row r="278" spans="2:8" x14ac:dyDescent="0.2">
      <c r="B278" s="23"/>
      <c r="C278" s="23"/>
      <c r="D278" s="23"/>
      <c r="E278" s="23"/>
      <c r="F278" s="23"/>
      <c r="G278" s="23"/>
      <c r="H278" s="23"/>
    </row>
    <row r="279" spans="2:8" x14ac:dyDescent="0.2">
      <c r="B279" s="23"/>
      <c r="C279" s="23"/>
      <c r="D279" s="23"/>
      <c r="E279" s="23"/>
      <c r="F279" s="23"/>
      <c r="G279" s="23"/>
      <c r="H279" s="23"/>
    </row>
    <row r="280" spans="2:8" x14ac:dyDescent="0.2">
      <c r="B280" s="23"/>
      <c r="C280" s="23"/>
      <c r="D280" s="23"/>
      <c r="E280" s="23"/>
      <c r="F280" s="23"/>
      <c r="G280" s="23"/>
      <c r="H280" s="23"/>
    </row>
    <row r="281" spans="2:8" x14ac:dyDescent="0.2">
      <c r="B281" s="23"/>
      <c r="C281" s="23"/>
      <c r="D281" s="23"/>
      <c r="E281" s="23"/>
      <c r="F281" s="23"/>
      <c r="G281" s="23"/>
      <c r="H281" s="23"/>
    </row>
    <row r="282" spans="2:8" x14ac:dyDescent="0.2">
      <c r="B282" s="23"/>
      <c r="C282" s="23"/>
      <c r="D282" s="23"/>
      <c r="E282" s="23"/>
      <c r="F282" s="23"/>
      <c r="G282" s="23"/>
      <c r="H282" s="23"/>
    </row>
    <row r="283" spans="2:8" x14ac:dyDescent="0.2">
      <c r="B283" s="23"/>
      <c r="C283" s="23"/>
      <c r="D283" s="23"/>
      <c r="E283" s="23"/>
      <c r="F283" s="23"/>
      <c r="G283" s="23"/>
      <c r="H283" s="23"/>
    </row>
    <row r="284" spans="2:8" x14ac:dyDescent="0.2">
      <c r="B284" s="23"/>
      <c r="C284" s="23"/>
      <c r="D284" s="23"/>
      <c r="E284" s="23"/>
      <c r="F284" s="23"/>
      <c r="G284" s="23"/>
      <c r="H284" s="23"/>
    </row>
    <row r="285" spans="2:8" x14ac:dyDescent="0.2">
      <c r="B285" s="23"/>
      <c r="C285" s="23"/>
      <c r="D285" s="23"/>
      <c r="E285" s="23"/>
      <c r="F285" s="23"/>
      <c r="G285" s="23"/>
      <c r="H285" s="23"/>
    </row>
    <row r="286" spans="2:8" x14ac:dyDescent="0.2">
      <c r="B286" s="23"/>
      <c r="C286" s="23"/>
      <c r="D286" s="23"/>
      <c r="E286" s="23"/>
      <c r="F286" s="23"/>
      <c r="G286" s="23"/>
      <c r="H286" s="23"/>
    </row>
    <row r="287" spans="2:8" x14ac:dyDescent="0.2">
      <c r="B287" s="23"/>
      <c r="C287" s="23"/>
      <c r="D287" s="23"/>
      <c r="E287" s="23"/>
      <c r="F287" s="23"/>
      <c r="G287" s="23"/>
      <c r="H287" s="23"/>
    </row>
    <row r="288" spans="2:8" x14ac:dyDescent="0.2">
      <c r="B288" s="23"/>
      <c r="C288" s="23"/>
      <c r="D288" s="23"/>
      <c r="E288" s="23"/>
      <c r="F288" s="23"/>
      <c r="G288" s="23"/>
      <c r="H288" s="23"/>
    </row>
    <row r="289" spans="2:8" x14ac:dyDescent="0.2">
      <c r="B289" s="23"/>
      <c r="C289" s="23"/>
      <c r="D289" s="23"/>
      <c r="E289" s="23"/>
      <c r="F289" s="23"/>
      <c r="G289" s="23"/>
      <c r="H289" s="23"/>
    </row>
    <row r="290" spans="2:8" x14ac:dyDescent="0.2">
      <c r="B290" s="23"/>
      <c r="C290" s="23"/>
      <c r="D290" s="23"/>
      <c r="E290" s="23"/>
      <c r="F290" s="23"/>
      <c r="G290" s="23"/>
      <c r="H290" s="23"/>
    </row>
    <row r="291" spans="2:8" x14ac:dyDescent="0.2">
      <c r="B291" s="23"/>
      <c r="C291" s="23"/>
      <c r="D291" s="23"/>
      <c r="E291" s="23"/>
      <c r="F291" s="23"/>
      <c r="G291" s="23"/>
      <c r="H291" s="23"/>
    </row>
    <row r="292" spans="2:8" x14ac:dyDescent="0.2">
      <c r="B292" s="23"/>
      <c r="C292" s="23"/>
      <c r="D292" s="23"/>
      <c r="E292" s="23"/>
      <c r="F292" s="23"/>
      <c r="G292" s="23"/>
      <c r="H292" s="23"/>
    </row>
    <row r="293" spans="2:8" x14ac:dyDescent="0.2">
      <c r="B293" s="23"/>
      <c r="C293" s="23"/>
      <c r="D293" s="23"/>
      <c r="E293" s="23"/>
      <c r="F293" s="23"/>
      <c r="G293" s="23"/>
      <c r="H293" s="23"/>
    </row>
    <row r="294" spans="2:8" x14ac:dyDescent="0.2">
      <c r="B294" s="23"/>
      <c r="C294" s="23"/>
      <c r="D294" s="23"/>
      <c r="E294" s="23"/>
      <c r="F294" s="23"/>
      <c r="G294" s="23"/>
      <c r="H294" s="23"/>
    </row>
    <row r="295" spans="2:8" x14ac:dyDescent="0.2">
      <c r="B295" s="23"/>
      <c r="C295" s="23"/>
      <c r="D295" s="23"/>
      <c r="E295" s="23"/>
      <c r="F295" s="23"/>
      <c r="G295" s="23"/>
      <c r="H295" s="23"/>
    </row>
    <row r="296" spans="2:8" x14ac:dyDescent="0.2">
      <c r="B296" s="23"/>
      <c r="C296" s="23"/>
      <c r="D296" s="23"/>
      <c r="E296" s="23"/>
      <c r="F296" s="23"/>
      <c r="G296" s="23"/>
      <c r="H296" s="23"/>
    </row>
    <row r="297" spans="2:8" x14ac:dyDescent="0.2">
      <c r="B297" s="23"/>
      <c r="C297" s="23"/>
      <c r="D297" s="23"/>
      <c r="E297" s="23"/>
      <c r="F297" s="23"/>
      <c r="G297" s="23"/>
      <c r="H297" s="23"/>
    </row>
    <row r="298" spans="2:8" x14ac:dyDescent="0.2">
      <c r="B298" s="23"/>
      <c r="C298" s="23"/>
      <c r="D298" s="23"/>
      <c r="E298" s="23"/>
      <c r="F298" s="23"/>
      <c r="G298" s="23"/>
      <c r="H298" s="23"/>
    </row>
    <row r="299" spans="2:8" x14ac:dyDescent="0.2">
      <c r="B299" s="23"/>
      <c r="C299" s="23"/>
      <c r="D299" s="23"/>
      <c r="E299" s="23"/>
      <c r="F299" s="23"/>
      <c r="G299" s="23"/>
      <c r="H299" s="23"/>
    </row>
    <row r="300" spans="2:8" x14ac:dyDescent="0.2">
      <c r="B300" s="23"/>
      <c r="C300" s="23"/>
      <c r="D300" s="23"/>
      <c r="E300" s="23"/>
      <c r="F300" s="23"/>
      <c r="G300" s="23"/>
      <c r="H300" s="23"/>
    </row>
    <row r="301" spans="2:8" x14ac:dyDescent="0.2">
      <c r="B301" s="23"/>
      <c r="C301" s="23"/>
      <c r="D301" s="23"/>
      <c r="E301" s="23"/>
      <c r="F301" s="23"/>
      <c r="G301" s="23"/>
      <c r="H301" s="23"/>
    </row>
    <row r="302" spans="2:8" x14ac:dyDescent="0.2">
      <c r="B302" s="23"/>
      <c r="C302" s="23"/>
      <c r="D302" s="23"/>
      <c r="E302" s="23"/>
      <c r="F302" s="23"/>
      <c r="G302" s="23"/>
      <c r="H302" s="23"/>
    </row>
    <row r="303" spans="2:8" x14ac:dyDescent="0.2">
      <c r="B303" s="23"/>
      <c r="C303" s="23"/>
      <c r="D303" s="23"/>
      <c r="E303" s="23"/>
      <c r="F303" s="23"/>
      <c r="G303" s="23"/>
      <c r="H303" s="23"/>
    </row>
    <row r="304" spans="2:8" x14ac:dyDescent="0.2">
      <c r="B304" s="23"/>
      <c r="C304" s="23"/>
      <c r="D304" s="23"/>
      <c r="E304" s="23"/>
      <c r="F304" s="23"/>
      <c r="G304" s="23"/>
      <c r="H304" s="23"/>
    </row>
    <row r="305" spans="2:8" x14ac:dyDescent="0.2">
      <c r="B305" s="23"/>
      <c r="C305" s="23"/>
      <c r="D305" s="23"/>
      <c r="E305" s="23"/>
      <c r="F305" s="23"/>
      <c r="G305" s="23"/>
      <c r="H305" s="23"/>
    </row>
    <row r="306" spans="2:8" x14ac:dyDescent="0.2">
      <c r="B306" s="23"/>
      <c r="C306" s="23"/>
      <c r="D306" s="23"/>
      <c r="E306" s="23"/>
      <c r="F306" s="23"/>
      <c r="G306" s="23"/>
      <c r="H306" s="23"/>
    </row>
    <row r="307" spans="2:8" x14ac:dyDescent="0.2">
      <c r="B307" s="23"/>
      <c r="C307" s="23"/>
      <c r="D307" s="23"/>
      <c r="E307" s="23"/>
      <c r="F307" s="23"/>
      <c r="G307" s="23"/>
      <c r="H307" s="23"/>
    </row>
    <row r="308" spans="2:8" x14ac:dyDescent="0.2">
      <c r="B308" s="23"/>
      <c r="C308" s="23"/>
      <c r="D308" s="23"/>
      <c r="E308" s="23"/>
      <c r="F308" s="23"/>
      <c r="G308" s="23"/>
      <c r="H308" s="23"/>
    </row>
    <row r="309" spans="2:8" x14ac:dyDescent="0.2">
      <c r="B309" s="23"/>
      <c r="C309" s="23"/>
      <c r="D309" s="23"/>
      <c r="E309" s="23"/>
      <c r="F309" s="23"/>
      <c r="G309" s="23"/>
      <c r="H309" s="23"/>
    </row>
    <row r="310" spans="2:8" x14ac:dyDescent="0.2">
      <c r="B310" s="23"/>
      <c r="C310" s="23"/>
      <c r="D310" s="23"/>
      <c r="E310" s="23"/>
      <c r="F310" s="23"/>
      <c r="G310" s="23"/>
      <c r="H310" s="23"/>
    </row>
    <row r="311" spans="2:8" x14ac:dyDescent="0.2">
      <c r="B311" s="23"/>
      <c r="C311" s="23"/>
      <c r="D311" s="23"/>
      <c r="E311" s="23"/>
      <c r="F311" s="23"/>
      <c r="G311" s="23"/>
      <c r="H311" s="23"/>
    </row>
    <row r="312" spans="2:8" x14ac:dyDescent="0.2">
      <c r="B312" s="23"/>
      <c r="C312" s="23"/>
      <c r="D312" s="23"/>
      <c r="E312" s="23"/>
      <c r="F312" s="23"/>
      <c r="G312" s="23"/>
      <c r="H312" s="23"/>
    </row>
    <row r="313" spans="2:8" x14ac:dyDescent="0.2">
      <c r="B313" s="23"/>
      <c r="C313" s="23"/>
      <c r="D313" s="23"/>
      <c r="E313" s="23"/>
      <c r="F313" s="23"/>
      <c r="G313" s="23"/>
      <c r="H313" s="23"/>
    </row>
    <row r="314" spans="2:8" x14ac:dyDescent="0.2">
      <c r="B314" s="23"/>
      <c r="C314" s="23"/>
      <c r="D314" s="23"/>
      <c r="E314" s="23"/>
      <c r="F314" s="23"/>
      <c r="G314" s="23"/>
      <c r="H314" s="23"/>
    </row>
    <row r="315" spans="2:8" x14ac:dyDescent="0.2">
      <c r="B315" s="23"/>
      <c r="C315" s="23"/>
      <c r="D315" s="23"/>
      <c r="E315" s="23"/>
      <c r="F315" s="23"/>
      <c r="G315" s="23"/>
      <c r="H315" s="23"/>
    </row>
    <row r="316" spans="2:8" x14ac:dyDescent="0.2">
      <c r="B316" s="23"/>
      <c r="C316" s="23"/>
      <c r="D316" s="23"/>
      <c r="E316" s="23"/>
      <c r="F316" s="23"/>
      <c r="G316" s="23"/>
      <c r="H316" s="23"/>
    </row>
    <row r="317" spans="2:8" x14ac:dyDescent="0.2">
      <c r="B317" s="23"/>
      <c r="C317" s="23"/>
      <c r="D317" s="23"/>
      <c r="E317" s="23"/>
      <c r="F317" s="23"/>
      <c r="G317" s="23"/>
      <c r="H317" s="23"/>
    </row>
    <row r="318" spans="2:8" x14ac:dyDescent="0.2">
      <c r="B318" s="23"/>
      <c r="C318" s="23"/>
      <c r="D318" s="23"/>
      <c r="E318" s="23"/>
      <c r="F318" s="23"/>
      <c r="G318" s="23"/>
      <c r="H318" s="23"/>
    </row>
    <row r="319" spans="2:8" x14ac:dyDescent="0.2">
      <c r="B319" s="23"/>
      <c r="C319" s="23"/>
      <c r="D319" s="23"/>
      <c r="E319" s="23"/>
      <c r="F319" s="23"/>
      <c r="G319" s="23"/>
      <c r="H319" s="23"/>
    </row>
    <row r="320" spans="2:8" x14ac:dyDescent="0.2">
      <c r="B320" s="23"/>
      <c r="C320" s="23"/>
      <c r="D320" s="23"/>
      <c r="E320" s="23"/>
      <c r="F320" s="23"/>
      <c r="G320" s="23"/>
      <c r="H320" s="23"/>
    </row>
    <row r="321" spans="2:8" x14ac:dyDescent="0.2">
      <c r="B321" s="23"/>
      <c r="C321" s="23"/>
      <c r="D321" s="23"/>
      <c r="E321" s="23"/>
      <c r="F321" s="23"/>
      <c r="G321" s="23"/>
      <c r="H321" s="23"/>
    </row>
    <row r="322" spans="2:8" x14ac:dyDescent="0.2">
      <c r="B322" s="23"/>
      <c r="C322" s="23"/>
      <c r="D322" s="23"/>
      <c r="E322" s="23"/>
      <c r="F322" s="23"/>
      <c r="G322" s="23"/>
      <c r="H322" s="23"/>
    </row>
    <row r="323" spans="2:8" x14ac:dyDescent="0.2">
      <c r="B323" s="23"/>
      <c r="C323" s="23"/>
      <c r="D323" s="23"/>
      <c r="E323" s="23"/>
      <c r="F323" s="23"/>
      <c r="G323" s="23"/>
      <c r="H323" s="23"/>
    </row>
    <row r="324" spans="2:8" x14ac:dyDescent="0.2">
      <c r="B324" s="23"/>
      <c r="C324" s="23"/>
      <c r="D324" s="23"/>
      <c r="E324" s="23"/>
      <c r="F324" s="23"/>
      <c r="G324" s="23"/>
      <c r="H324" s="23"/>
    </row>
    <row r="325" spans="2:8" x14ac:dyDescent="0.2">
      <c r="B325" s="23"/>
      <c r="C325" s="23"/>
      <c r="D325" s="23"/>
      <c r="E325" s="23"/>
      <c r="F325" s="23"/>
      <c r="G325" s="23"/>
      <c r="H325" s="23"/>
    </row>
    <row r="326" spans="2:8" x14ac:dyDescent="0.2">
      <c r="B326" s="23"/>
      <c r="C326" s="23"/>
      <c r="D326" s="23"/>
      <c r="E326" s="23"/>
      <c r="F326" s="23"/>
      <c r="G326" s="23"/>
      <c r="H326" s="23"/>
    </row>
    <row r="327" spans="2:8" x14ac:dyDescent="0.2">
      <c r="B327" s="23"/>
      <c r="C327" s="23"/>
      <c r="D327" s="23"/>
      <c r="E327" s="23"/>
      <c r="F327" s="23"/>
      <c r="G327" s="23"/>
      <c r="H327" s="23"/>
    </row>
    <row r="328" spans="2:8" x14ac:dyDescent="0.2">
      <c r="B328" s="23"/>
      <c r="C328" s="23"/>
      <c r="D328" s="23"/>
      <c r="E328" s="23"/>
      <c r="F328" s="23"/>
      <c r="G328" s="23"/>
      <c r="H328" s="23"/>
    </row>
    <row r="329" spans="2:8" x14ac:dyDescent="0.2">
      <c r="B329" s="23"/>
      <c r="C329" s="23"/>
      <c r="D329" s="23"/>
      <c r="E329" s="23"/>
      <c r="F329" s="23"/>
      <c r="G329" s="23"/>
      <c r="H329" s="23"/>
    </row>
    <row r="330" spans="2:8" x14ac:dyDescent="0.2">
      <c r="B330" s="23"/>
      <c r="C330" s="23"/>
      <c r="D330" s="23"/>
      <c r="E330" s="23"/>
      <c r="F330" s="23"/>
      <c r="G330" s="23"/>
      <c r="H330" s="23"/>
    </row>
    <row r="331" spans="2:8" x14ac:dyDescent="0.2">
      <c r="B331" s="23"/>
      <c r="C331" s="23"/>
      <c r="D331" s="23"/>
      <c r="E331" s="23"/>
      <c r="F331" s="23"/>
      <c r="G331" s="23"/>
      <c r="H331" s="23"/>
    </row>
    <row r="332" spans="2:8" x14ac:dyDescent="0.2">
      <c r="B332" s="23"/>
      <c r="C332" s="23"/>
      <c r="D332" s="23"/>
      <c r="E332" s="23"/>
      <c r="F332" s="23"/>
      <c r="G332" s="23"/>
      <c r="H332" s="23"/>
    </row>
    <row r="333" spans="2:8" x14ac:dyDescent="0.2">
      <c r="B333" s="23"/>
      <c r="C333" s="23"/>
      <c r="D333" s="23"/>
      <c r="E333" s="23"/>
      <c r="F333" s="23"/>
      <c r="G333" s="23"/>
      <c r="H333" s="23"/>
    </row>
    <row r="334" spans="2:8" x14ac:dyDescent="0.2">
      <c r="B334" s="23"/>
      <c r="C334" s="23"/>
      <c r="D334" s="23"/>
      <c r="E334" s="23"/>
      <c r="F334" s="23"/>
      <c r="G334" s="23"/>
      <c r="H334" s="23"/>
    </row>
    <row r="335" spans="2:8" x14ac:dyDescent="0.2">
      <c r="B335" s="23"/>
      <c r="C335" s="23"/>
      <c r="D335" s="23"/>
      <c r="E335" s="23"/>
      <c r="F335" s="23"/>
      <c r="G335" s="23"/>
      <c r="H335" s="23"/>
    </row>
    <row r="336" spans="2:8" x14ac:dyDescent="0.2">
      <c r="B336" s="23"/>
      <c r="C336" s="23"/>
      <c r="D336" s="23"/>
      <c r="E336" s="23"/>
      <c r="F336" s="23"/>
      <c r="G336" s="23"/>
      <c r="H336" s="23"/>
    </row>
    <row r="337" spans="2:8" x14ac:dyDescent="0.2">
      <c r="B337" s="23"/>
      <c r="C337" s="23"/>
      <c r="D337" s="23"/>
      <c r="E337" s="23"/>
      <c r="F337" s="23"/>
      <c r="G337" s="23"/>
      <c r="H337" s="23"/>
    </row>
    <row r="338" spans="2:8" x14ac:dyDescent="0.2">
      <c r="B338" s="23"/>
      <c r="C338" s="23"/>
      <c r="D338" s="23"/>
      <c r="E338" s="23"/>
      <c r="F338" s="23"/>
      <c r="G338" s="23"/>
      <c r="H338" s="23"/>
    </row>
    <row r="339" spans="2:8" x14ac:dyDescent="0.2">
      <c r="B339" s="23"/>
      <c r="C339" s="23"/>
      <c r="D339" s="23"/>
      <c r="E339" s="23"/>
      <c r="F339" s="23"/>
      <c r="G339" s="23"/>
      <c r="H339" s="23"/>
    </row>
    <row r="340" spans="2:8" x14ac:dyDescent="0.2">
      <c r="B340" s="23"/>
      <c r="C340" s="23"/>
      <c r="D340" s="23"/>
      <c r="E340" s="23"/>
      <c r="F340" s="23"/>
      <c r="G340" s="23"/>
      <c r="H340" s="23"/>
    </row>
    <row r="341" spans="2:8" x14ac:dyDescent="0.2">
      <c r="B341" s="23"/>
      <c r="C341" s="23"/>
      <c r="D341" s="23"/>
      <c r="E341" s="23"/>
      <c r="F341" s="23"/>
      <c r="G341" s="23"/>
      <c r="H341" s="23"/>
    </row>
    <row r="342" spans="2:8" x14ac:dyDescent="0.2">
      <c r="B342" s="23"/>
      <c r="C342" s="23"/>
      <c r="D342" s="23"/>
      <c r="E342" s="23"/>
      <c r="F342" s="23"/>
      <c r="G342" s="23"/>
      <c r="H342" s="23"/>
    </row>
    <row r="343" spans="2:8" x14ac:dyDescent="0.2">
      <c r="B343" s="23"/>
      <c r="C343" s="23"/>
      <c r="D343" s="23"/>
      <c r="E343" s="23"/>
      <c r="F343" s="23"/>
      <c r="G343" s="23"/>
      <c r="H343" s="23"/>
    </row>
    <row r="344" spans="2:8" x14ac:dyDescent="0.2">
      <c r="B344" s="23"/>
      <c r="C344" s="23"/>
      <c r="D344" s="23"/>
      <c r="E344" s="23"/>
      <c r="F344" s="23"/>
      <c r="G344" s="23"/>
      <c r="H344" s="23"/>
    </row>
    <row r="345" spans="2:8" x14ac:dyDescent="0.2">
      <c r="B345" s="23"/>
      <c r="C345" s="23"/>
      <c r="D345" s="23"/>
      <c r="E345" s="23"/>
      <c r="F345" s="23"/>
      <c r="G345" s="23"/>
      <c r="H345" s="23"/>
    </row>
    <row r="346" spans="2:8" x14ac:dyDescent="0.2">
      <c r="B346" s="23"/>
      <c r="C346" s="23"/>
      <c r="D346" s="23"/>
      <c r="E346" s="23"/>
      <c r="F346" s="23"/>
      <c r="G346" s="23"/>
      <c r="H346" s="23"/>
    </row>
    <row r="347" spans="2:8" x14ac:dyDescent="0.2">
      <c r="B347" s="23"/>
      <c r="C347" s="23"/>
      <c r="D347" s="23"/>
      <c r="E347" s="23"/>
      <c r="F347" s="23"/>
      <c r="G347" s="23"/>
      <c r="H347" s="23"/>
    </row>
    <row r="348" spans="2:8" x14ac:dyDescent="0.2">
      <c r="B348" s="23"/>
      <c r="C348" s="23"/>
      <c r="D348" s="23"/>
      <c r="E348" s="23"/>
      <c r="F348" s="23"/>
      <c r="G348" s="23"/>
      <c r="H348" s="23"/>
    </row>
    <row r="349" spans="2:8" x14ac:dyDescent="0.2">
      <c r="B349" s="23"/>
      <c r="C349" s="23"/>
      <c r="D349" s="23"/>
      <c r="E349" s="23"/>
      <c r="F349" s="23"/>
      <c r="G349" s="23"/>
      <c r="H349" s="23"/>
    </row>
    <row r="350" spans="2:8" x14ac:dyDescent="0.2">
      <c r="B350" s="23"/>
      <c r="C350" s="23"/>
      <c r="D350" s="23"/>
      <c r="E350" s="23"/>
      <c r="F350" s="23"/>
      <c r="G350" s="23"/>
      <c r="H350" s="23"/>
    </row>
    <row r="351" spans="2:8" x14ac:dyDescent="0.2">
      <c r="B351" s="23"/>
      <c r="C351" s="23"/>
      <c r="D351" s="23"/>
      <c r="E351" s="23"/>
      <c r="F351" s="23"/>
      <c r="G351" s="23"/>
      <c r="H351" s="23"/>
    </row>
    <row r="352" spans="2:8" x14ac:dyDescent="0.2">
      <c r="B352" s="23"/>
      <c r="C352" s="23"/>
      <c r="D352" s="23"/>
      <c r="E352" s="23"/>
      <c r="F352" s="23"/>
      <c r="G352" s="23"/>
      <c r="H352" s="23"/>
    </row>
    <row r="353" spans="2:8" x14ac:dyDescent="0.2">
      <c r="B353" s="23"/>
      <c r="C353" s="23"/>
      <c r="D353" s="23"/>
      <c r="E353" s="23"/>
      <c r="F353" s="23"/>
      <c r="G353" s="23"/>
      <c r="H353" s="23"/>
    </row>
    <row r="354" spans="2:8" x14ac:dyDescent="0.2">
      <c r="B354" s="23"/>
      <c r="C354" s="23"/>
      <c r="D354" s="23"/>
      <c r="E354" s="23"/>
      <c r="F354" s="23"/>
      <c r="G354" s="23"/>
      <c r="H354" s="23"/>
    </row>
    <row r="355" spans="2:8" x14ac:dyDescent="0.2">
      <c r="B355" s="23"/>
      <c r="C355" s="23"/>
      <c r="D355" s="23"/>
      <c r="E355" s="23"/>
      <c r="F355" s="23"/>
      <c r="G355" s="23"/>
      <c r="H355" s="23"/>
    </row>
    <row r="356" spans="2:8" x14ac:dyDescent="0.2">
      <c r="B356" s="23"/>
      <c r="C356" s="23"/>
      <c r="D356" s="23"/>
      <c r="E356" s="23"/>
      <c r="F356" s="23"/>
      <c r="G356" s="23"/>
      <c r="H356" s="23"/>
    </row>
    <row r="357" spans="2:8" x14ac:dyDescent="0.2">
      <c r="B357" s="23"/>
      <c r="C357" s="23"/>
      <c r="D357" s="23"/>
      <c r="E357" s="23"/>
      <c r="F357" s="23"/>
      <c r="G357" s="23"/>
      <c r="H357" s="23"/>
    </row>
    <row r="358" spans="2:8" x14ac:dyDescent="0.2">
      <c r="B358" s="23"/>
      <c r="C358" s="23"/>
      <c r="D358" s="23"/>
      <c r="E358" s="23"/>
      <c r="F358" s="23"/>
      <c r="G358" s="23"/>
      <c r="H358" s="23"/>
    </row>
    <row r="359" spans="2:8" x14ac:dyDescent="0.2">
      <c r="B359" s="23"/>
      <c r="C359" s="23"/>
      <c r="D359" s="23"/>
      <c r="E359" s="23"/>
      <c r="F359" s="23"/>
      <c r="G359" s="23"/>
      <c r="H359" s="23"/>
    </row>
    <row r="360" spans="2:8" x14ac:dyDescent="0.2">
      <c r="B360" s="23"/>
      <c r="C360" s="23"/>
      <c r="D360" s="23"/>
      <c r="E360" s="23"/>
      <c r="F360" s="23"/>
      <c r="G360" s="23"/>
      <c r="H360" s="23"/>
    </row>
    <row r="361" spans="2:8" x14ac:dyDescent="0.2">
      <c r="B361" s="23"/>
      <c r="C361" s="23"/>
      <c r="D361" s="23"/>
      <c r="E361" s="23"/>
      <c r="F361" s="23"/>
      <c r="G361" s="23"/>
      <c r="H361" s="23"/>
    </row>
    <row r="362" spans="2:8" x14ac:dyDescent="0.2">
      <c r="B362" s="23"/>
      <c r="C362" s="23"/>
      <c r="D362" s="23"/>
      <c r="E362" s="23"/>
      <c r="F362" s="23"/>
      <c r="G362" s="23"/>
      <c r="H362" s="23"/>
    </row>
    <row r="363" spans="2:8" x14ac:dyDescent="0.2">
      <c r="B363" s="23"/>
      <c r="C363" s="23"/>
      <c r="D363" s="23"/>
      <c r="E363" s="23"/>
      <c r="F363" s="23"/>
      <c r="G363" s="23"/>
      <c r="H363" s="23"/>
    </row>
    <row r="364" spans="2:8" x14ac:dyDescent="0.2">
      <c r="B364" s="23"/>
      <c r="C364" s="23"/>
      <c r="D364" s="23"/>
      <c r="E364" s="23"/>
      <c r="F364" s="23"/>
      <c r="G364" s="23"/>
      <c r="H364" s="23"/>
    </row>
    <row r="365" spans="2:8" x14ac:dyDescent="0.2">
      <c r="B365" s="23"/>
      <c r="C365" s="23"/>
      <c r="D365" s="23"/>
      <c r="E365" s="23"/>
      <c r="F365" s="23"/>
      <c r="G365" s="23"/>
      <c r="H365" s="23"/>
    </row>
    <row r="366" spans="2:8" x14ac:dyDescent="0.2">
      <c r="B366" s="23"/>
      <c r="C366" s="23"/>
      <c r="D366" s="23"/>
      <c r="E366" s="23"/>
      <c r="F366" s="23"/>
      <c r="G366" s="23"/>
      <c r="H366" s="23"/>
    </row>
    <row r="367" spans="2:8" x14ac:dyDescent="0.2">
      <c r="B367" s="23"/>
      <c r="C367" s="23"/>
      <c r="D367" s="23"/>
      <c r="E367" s="23"/>
      <c r="F367" s="23"/>
      <c r="G367" s="23"/>
      <c r="H367" s="23"/>
    </row>
    <row r="368" spans="2:8" x14ac:dyDescent="0.2">
      <c r="B368" s="23"/>
      <c r="C368" s="23"/>
      <c r="D368" s="23"/>
      <c r="E368" s="23"/>
      <c r="F368" s="23"/>
      <c r="G368" s="23"/>
      <c r="H368" s="23"/>
    </row>
    <row r="369" spans="2:8" x14ac:dyDescent="0.2">
      <c r="B369" s="23"/>
      <c r="C369" s="23"/>
      <c r="D369" s="23"/>
      <c r="E369" s="23"/>
      <c r="F369" s="23"/>
      <c r="G369" s="23"/>
      <c r="H369" s="23"/>
    </row>
    <row r="370" spans="2:8" x14ac:dyDescent="0.2">
      <c r="B370" s="23"/>
      <c r="C370" s="23"/>
      <c r="D370" s="23"/>
      <c r="E370" s="23"/>
      <c r="F370" s="23"/>
      <c r="G370" s="23"/>
      <c r="H370" s="23"/>
    </row>
    <row r="371" spans="2:8" x14ac:dyDescent="0.2">
      <c r="B371" s="23"/>
      <c r="C371" s="23"/>
      <c r="D371" s="23"/>
      <c r="E371" s="23"/>
      <c r="F371" s="23"/>
      <c r="G371" s="23"/>
      <c r="H371" s="23"/>
    </row>
    <row r="372" spans="2:8" x14ac:dyDescent="0.2">
      <c r="B372" s="23"/>
      <c r="C372" s="23"/>
      <c r="D372" s="23"/>
      <c r="E372" s="23"/>
      <c r="F372" s="23"/>
      <c r="G372" s="23"/>
      <c r="H372" s="23"/>
    </row>
    <row r="373" spans="2:8" x14ac:dyDescent="0.2">
      <c r="B373" s="23"/>
      <c r="C373" s="23"/>
      <c r="D373" s="23"/>
      <c r="E373" s="23"/>
      <c r="F373" s="23"/>
      <c r="G373" s="23"/>
      <c r="H373" s="23"/>
    </row>
    <row r="374" spans="2:8" x14ac:dyDescent="0.2">
      <c r="B374" s="23"/>
      <c r="C374" s="23"/>
      <c r="D374" s="23"/>
      <c r="E374" s="23"/>
      <c r="F374" s="23"/>
      <c r="G374" s="23"/>
      <c r="H374" s="23"/>
    </row>
    <row r="375" spans="2:8" x14ac:dyDescent="0.2">
      <c r="B375" s="23"/>
      <c r="C375" s="23"/>
      <c r="D375" s="23"/>
      <c r="E375" s="23"/>
      <c r="F375" s="23"/>
      <c r="G375" s="23"/>
      <c r="H375" s="23"/>
    </row>
    <row r="376" spans="2:8" x14ac:dyDescent="0.2">
      <c r="B376" s="23"/>
      <c r="C376" s="23"/>
      <c r="D376" s="23"/>
      <c r="E376" s="23"/>
      <c r="F376" s="23"/>
      <c r="G376" s="23"/>
      <c r="H376" s="23"/>
    </row>
    <row r="377" spans="2:8" x14ac:dyDescent="0.2">
      <c r="B377" s="23"/>
      <c r="C377" s="23"/>
      <c r="D377" s="23"/>
      <c r="E377" s="23"/>
      <c r="F377" s="23"/>
      <c r="G377" s="23"/>
      <c r="H377" s="23"/>
    </row>
    <row r="378" spans="2:8" x14ac:dyDescent="0.2">
      <c r="B378" s="23"/>
      <c r="C378" s="23"/>
      <c r="D378" s="23"/>
      <c r="E378" s="23"/>
      <c r="F378" s="23"/>
      <c r="G378" s="23"/>
      <c r="H378" s="23"/>
    </row>
    <row r="379" spans="2:8" x14ac:dyDescent="0.2">
      <c r="B379" s="23"/>
      <c r="C379" s="23"/>
      <c r="D379" s="23"/>
      <c r="E379" s="23"/>
      <c r="F379" s="23"/>
      <c r="G379" s="23"/>
      <c r="H379" s="23"/>
    </row>
    <row r="380" spans="2:8" x14ac:dyDescent="0.2">
      <c r="B380" s="23"/>
      <c r="C380" s="23"/>
      <c r="D380" s="23"/>
      <c r="E380" s="23"/>
      <c r="F380" s="23"/>
      <c r="G380" s="23"/>
      <c r="H380" s="23"/>
    </row>
    <row r="381" spans="2:8" x14ac:dyDescent="0.2">
      <c r="B381" s="23"/>
      <c r="C381" s="23"/>
      <c r="D381" s="23"/>
      <c r="E381" s="23"/>
      <c r="F381" s="23"/>
      <c r="G381" s="23"/>
      <c r="H381" s="23"/>
    </row>
    <row r="382" spans="2:8" x14ac:dyDescent="0.2">
      <c r="B382" s="23"/>
      <c r="C382" s="23"/>
      <c r="D382" s="23"/>
      <c r="E382" s="23"/>
      <c r="F382" s="23"/>
      <c r="G382" s="23"/>
      <c r="H382" s="23"/>
    </row>
    <row r="383" spans="2:8" x14ac:dyDescent="0.2">
      <c r="B383" s="23"/>
      <c r="C383" s="23"/>
      <c r="D383" s="23"/>
      <c r="E383" s="23"/>
      <c r="F383" s="23"/>
      <c r="G383" s="23"/>
      <c r="H383" s="23"/>
    </row>
    <row r="384" spans="2:8" x14ac:dyDescent="0.2">
      <c r="B384" s="23"/>
      <c r="C384" s="23"/>
      <c r="D384" s="23"/>
      <c r="E384" s="23"/>
      <c r="F384" s="23"/>
      <c r="G384" s="23"/>
      <c r="H384" s="23"/>
    </row>
    <row r="385" spans="2:8" x14ac:dyDescent="0.2">
      <c r="B385" s="23"/>
      <c r="C385" s="23"/>
      <c r="D385" s="23"/>
      <c r="E385" s="23"/>
      <c r="F385" s="23"/>
      <c r="G385" s="23"/>
      <c r="H385" s="23"/>
    </row>
    <row r="386" spans="2:8" x14ac:dyDescent="0.2">
      <c r="B386" s="23"/>
      <c r="C386" s="23"/>
      <c r="D386" s="23"/>
      <c r="E386" s="23"/>
      <c r="F386" s="23"/>
      <c r="G386" s="23"/>
      <c r="H386" s="23"/>
    </row>
    <row r="387" spans="2:8" x14ac:dyDescent="0.2">
      <c r="B387" s="23"/>
      <c r="C387" s="23"/>
      <c r="D387" s="23"/>
      <c r="E387" s="23"/>
      <c r="F387" s="23"/>
      <c r="G387" s="23"/>
      <c r="H387" s="23"/>
    </row>
    <row r="388" spans="2:8" x14ac:dyDescent="0.2">
      <c r="B388" s="23"/>
      <c r="C388" s="23"/>
      <c r="D388" s="23"/>
      <c r="E388" s="23"/>
      <c r="F388" s="23"/>
      <c r="G388" s="23"/>
      <c r="H388" s="23"/>
    </row>
    <row r="389" spans="2:8" x14ac:dyDescent="0.2">
      <c r="B389" s="23"/>
      <c r="C389" s="23"/>
      <c r="D389" s="23"/>
      <c r="E389" s="23"/>
      <c r="F389" s="23"/>
      <c r="G389" s="23"/>
      <c r="H389" s="23"/>
    </row>
    <row r="390" spans="2:8" x14ac:dyDescent="0.2">
      <c r="B390" s="23"/>
      <c r="C390" s="23"/>
      <c r="D390" s="23"/>
      <c r="E390" s="23"/>
      <c r="F390" s="23"/>
      <c r="G390" s="23"/>
      <c r="H390" s="23"/>
    </row>
    <row r="391" spans="2:8" x14ac:dyDescent="0.2">
      <c r="B391" s="23"/>
      <c r="C391" s="23"/>
      <c r="D391" s="23"/>
      <c r="E391" s="23"/>
      <c r="F391" s="23"/>
      <c r="G391" s="23"/>
      <c r="H391" s="23"/>
    </row>
    <row r="392" spans="2:8" x14ac:dyDescent="0.2">
      <c r="B392" s="23"/>
      <c r="C392" s="23"/>
      <c r="D392" s="23"/>
      <c r="E392" s="23"/>
      <c r="F392" s="23"/>
      <c r="G392" s="23"/>
      <c r="H392" s="23"/>
    </row>
    <row r="393" spans="2:8" x14ac:dyDescent="0.2">
      <c r="B393" s="23"/>
      <c r="C393" s="23"/>
      <c r="D393" s="23"/>
      <c r="E393" s="23"/>
      <c r="F393" s="23"/>
      <c r="G393" s="23"/>
      <c r="H393" s="23"/>
    </row>
    <row r="394" spans="2:8" x14ac:dyDescent="0.2">
      <c r="B394" s="23"/>
      <c r="C394" s="23"/>
      <c r="D394" s="23"/>
      <c r="E394" s="23"/>
      <c r="F394" s="23"/>
      <c r="G394" s="23"/>
      <c r="H394" s="23"/>
    </row>
    <row r="395" spans="2:8" x14ac:dyDescent="0.2">
      <c r="B395" s="23"/>
      <c r="C395" s="23"/>
      <c r="D395" s="23"/>
      <c r="E395" s="23"/>
      <c r="F395" s="23"/>
      <c r="G395" s="23"/>
      <c r="H395" s="23"/>
    </row>
    <row r="396" spans="2:8" x14ac:dyDescent="0.2">
      <c r="B396" s="23"/>
      <c r="C396" s="23"/>
      <c r="D396" s="23"/>
      <c r="E396" s="23"/>
      <c r="F396" s="23"/>
      <c r="G396" s="23"/>
      <c r="H396" s="23"/>
    </row>
    <row r="397" spans="2:8" x14ac:dyDescent="0.2">
      <c r="B397" s="23"/>
      <c r="C397" s="23"/>
      <c r="D397" s="23"/>
      <c r="E397" s="23"/>
      <c r="F397" s="23"/>
      <c r="G397" s="23"/>
      <c r="H397" s="23"/>
    </row>
    <row r="398" spans="2:8" x14ac:dyDescent="0.2">
      <c r="B398" s="23"/>
      <c r="C398" s="23"/>
      <c r="D398" s="23"/>
      <c r="E398" s="23"/>
      <c r="F398" s="23"/>
      <c r="G398" s="23"/>
      <c r="H398" s="23"/>
    </row>
    <row r="399" spans="2:8" x14ac:dyDescent="0.2">
      <c r="B399" s="23"/>
      <c r="C399" s="23"/>
      <c r="D399" s="23"/>
      <c r="E399" s="23"/>
      <c r="F399" s="23"/>
      <c r="G399" s="23"/>
      <c r="H399" s="23"/>
    </row>
    <row r="400" spans="2:8" x14ac:dyDescent="0.2">
      <c r="B400" s="23"/>
      <c r="C400" s="23"/>
      <c r="D400" s="23"/>
      <c r="E400" s="23"/>
      <c r="F400" s="23"/>
      <c r="G400" s="23"/>
      <c r="H400" s="23"/>
    </row>
    <row r="401" spans="2:8" x14ac:dyDescent="0.2">
      <c r="B401" s="23"/>
      <c r="C401" s="23"/>
      <c r="D401" s="23"/>
      <c r="E401" s="23"/>
      <c r="F401" s="23"/>
      <c r="G401" s="23"/>
      <c r="H401" s="23"/>
    </row>
    <row r="402" spans="2:8" x14ac:dyDescent="0.2">
      <c r="B402" s="23"/>
      <c r="C402" s="23"/>
      <c r="D402" s="23"/>
      <c r="E402" s="23"/>
      <c r="F402" s="23"/>
      <c r="G402" s="23"/>
      <c r="H402" s="23"/>
    </row>
    <row r="403" spans="2:8" x14ac:dyDescent="0.2">
      <c r="B403" s="23"/>
      <c r="C403" s="23"/>
      <c r="D403" s="23"/>
      <c r="E403" s="23"/>
      <c r="F403" s="23"/>
      <c r="G403" s="23"/>
      <c r="H403" s="23"/>
    </row>
    <row r="404" spans="2:8" x14ac:dyDescent="0.2">
      <c r="B404" s="23"/>
      <c r="C404" s="23"/>
      <c r="D404" s="23"/>
      <c r="E404" s="23"/>
      <c r="F404" s="23"/>
      <c r="G404" s="23"/>
      <c r="H404" s="23"/>
    </row>
    <row r="405" spans="2:8" x14ac:dyDescent="0.2">
      <c r="B405" s="23"/>
      <c r="C405" s="23"/>
      <c r="D405" s="23"/>
      <c r="E405" s="23"/>
      <c r="F405" s="23"/>
      <c r="G405" s="23"/>
      <c r="H405" s="23"/>
    </row>
    <row r="406" spans="2:8" x14ac:dyDescent="0.2">
      <c r="B406" s="23"/>
      <c r="C406" s="23"/>
      <c r="D406" s="23"/>
      <c r="E406" s="23"/>
      <c r="F406" s="23"/>
      <c r="G406" s="23"/>
      <c r="H406" s="23"/>
    </row>
    <row r="407" spans="2:8" x14ac:dyDescent="0.2">
      <c r="B407" s="23"/>
      <c r="C407" s="23"/>
      <c r="D407" s="23"/>
      <c r="E407" s="23"/>
      <c r="F407" s="23"/>
      <c r="G407" s="23"/>
      <c r="H407" s="23"/>
    </row>
    <row r="408" spans="2:8" x14ac:dyDescent="0.2">
      <c r="B408" s="23"/>
      <c r="C408" s="23"/>
      <c r="D408" s="23"/>
      <c r="E408" s="23"/>
      <c r="F408" s="23"/>
      <c r="G408" s="23"/>
      <c r="H408" s="23"/>
    </row>
    <row r="409" spans="2:8" x14ac:dyDescent="0.2">
      <c r="B409" s="23"/>
      <c r="C409" s="23"/>
      <c r="D409" s="23"/>
      <c r="E409" s="23"/>
      <c r="F409" s="23"/>
      <c r="G409" s="23"/>
      <c r="H409" s="23"/>
    </row>
    <row r="410" spans="2:8" x14ac:dyDescent="0.2">
      <c r="B410" s="23"/>
      <c r="C410" s="23"/>
      <c r="D410" s="23"/>
      <c r="E410" s="23"/>
      <c r="F410" s="23"/>
      <c r="G410" s="23"/>
      <c r="H410" s="23"/>
    </row>
    <row r="411" spans="2:8" x14ac:dyDescent="0.2">
      <c r="B411" s="23"/>
      <c r="C411" s="23"/>
      <c r="D411" s="23"/>
      <c r="E411" s="23"/>
      <c r="F411" s="23"/>
      <c r="G411" s="23"/>
      <c r="H411" s="23"/>
    </row>
    <row r="412" spans="2:8" x14ac:dyDescent="0.2">
      <c r="B412" s="23"/>
      <c r="C412" s="23"/>
      <c r="D412" s="23"/>
      <c r="E412" s="23"/>
      <c r="F412" s="23"/>
      <c r="G412" s="23"/>
      <c r="H412" s="23"/>
    </row>
    <row r="413" spans="2:8" x14ac:dyDescent="0.2">
      <c r="B413" s="23"/>
      <c r="C413" s="23"/>
      <c r="D413" s="23"/>
      <c r="E413" s="23"/>
      <c r="F413" s="23"/>
      <c r="G413" s="23"/>
      <c r="H413" s="23"/>
    </row>
    <row r="414" spans="2:8" x14ac:dyDescent="0.2">
      <c r="B414" s="23"/>
      <c r="C414" s="23"/>
      <c r="D414" s="23"/>
      <c r="E414" s="23"/>
      <c r="F414" s="23"/>
      <c r="G414" s="23"/>
      <c r="H414" s="23"/>
    </row>
    <row r="415" spans="2:8" x14ac:dyDescent="0.2">
      <c r="B415" s="23"/>
      <c r="C415" s="23"/>
      <c r="D415" s="23"/>
      <c r="E415" s="23"/>
      <c r="F415" s="23"/>
      <c r="G415" s="23"/>
      <c r="H415" s="23"/>
    </row>
    <row r="416" spans="2:8" x14ac:dyDescent="0.2">
      <c r="B416" s="23"/>
      <c r="C416" s="23"/>
      <c r="D416" s="23"/>
      <c r="E416" s="23"/>
      <c r="F416" s="23"/>
      <c r="G416" s="23"/>
      <c r="H416" s="23"/>
    </row>
    <row r="417" spans="2:8" x14ac:dyDescent="0.2">
      <c r="B417" s="23"/>
      <c r="C417" s="23"/>
      <c r="D417" s="23"/>
      <c r="E417" s="23"/>
      <c r="F417" s="23"/>
      <c r="G417" s="23"/>
      <c r="H417" s="23"/>
    </row>
    <row r="418" spans="2:8" x14ac:dyDescent="0.2">
      <c r="B418" s="23"/>
      <c r="C418" s="23"/>
      <c r="D418" s="23"/>
      <c r="E418" s="23"/>
      <c r="F418" s="23"/>
      <c r="G418" s="23"/>
      <c r="H418" s="23"/>
    </row>
    <row r="419" spans="2:8" x14ac:dyDescent="0.2">
      <c r="B419" s="23"/>
      <c r="C419" s="23"/>
      <c r="D419" s="23"/>
      <c r="E419" s="23"/>
      <c r="F419" s="23"/>
      <c r="G419" s="23"/>
      <c r="H419" s="23"/>
    </row>
    <row r="420" spans="2:8" x14ac:dyDescent="0.2">
      <c r="B420" s="23"/>
      <c r="C420" s="23"/>
      <c r="D420" s="23"/>
      <c r="E420" s="23"/>
      <c r="F420" s="23"/>
      <c r="G420" s="23"/>
      <c r="H420" s="23"/>
    </row>
    <row r="421" spans="2:8" x14ac:dyDescent="0.2">
      <c r="B421" s="23"/>
      <c r="C421" s="23"/>
      <c r="D421" s="23"/>
      <c r="E421" s="23"/>
      <c r="F421" s="23"/>
      <c r="G421" s="23"/>
      <c r="H421" s="23"/>
    </row>
    <row r="422" spans="2:8" x14ac:dyDescent="0.2">
      <c r="B422" s="23"/>
      <c r="C422" s="23"/>
      <c r="D422" s="23"/>
      <c r="E422" s="23"/>
      <c r="F422" s="23"/>
      <c r="G422" s="23"/>
      <c r="H422" s="23"/>
    </row>
    <row r="423" spans="2:8" x14ac:dyDescent="0.2">
      <c r="B423" s="23"/>
      <c r="C423" s="23"/>
      <c r="D423" s="23"/>
      <c r="E423" s="23"/>
      <c r="F423" s="23"/>
      <c r="G423" s="23"/>
      <c r="H423" s="23"/>
    </row>
    <row r="424" spans="2:8" x14ac:dyDescent="0.2">
      <c r="B424" s="23"/>
      <c r="C424" s="23"/>
      <c r="D424" s="23"/>
      <c r="E424" s="23"/>
      <c r="F424" s="23"/>
      <c r="G424" s="23"/>
      <c r="H424" s="23"/>
    </row>
    <row r="425" spans="2:8" x14ac:dyDescent="0.2">
      <c r="B425" s="23"/>
      <c r="C425" s="23"/>
      <c r="D425" s="23"/>
      <c r="E425" s="23"/>
      <c r="F425" s="23"/>
      <c r="G425" s="23"/>
      <c r="H425" s="23"/>
    </row>
    <row r="426" spans="2:8" x14ac:dyDescent="0.2">
      <c r="B426" s="23"/>
      <c r="C426" s="23"/>
      <c r="D426" s="23"/>
      <c r="E426" s="23"/>
      <c r="F426" s="23"/>
      <c r="G426" s="23"/>
      <c r="H426" s="23"/>
    </row>
    <row r="427" spans="2:8" x14ac:dyDescent="0.2">
      <c r="B427" s="23"/>
      <c r="C427" s="23"/>
      <c r="D427" s="23"/>
      <c r="E427" s="23"/>
      <c r="F427" s="23"/>
      <c r="G427" s="23"/>
      <c r="H427" s="23"/>
    </row>
    <row r="428" spans="2:8" x14ac:dyDescent="0.2">
      <c r="B428" s="23"/>
      <c r="C428" s="23"/>
      <c r="D428" s="23"/>
      <c r="E428" s="23"/>
      <c r="F428" s="23"/>
      <c r="G428" s="23"/>
      <c r="H428" s="23"/>
    </row>
    <row r="429" spans="2:8" x14ac:dyDescent="0.2">
      <c r="B429" s="23"/>
      <c r="C429" s="23"/>
      <c r="D429" s="23"/>
      <c r="E429" s="23"/>
      <c r="F429" s="23"/>
      <c r="G429" s="23"/>
      <c r="H429" s="23"/>
    </row>
    <row r="430" spans="2:8" x14ac:dyDescent="0.2">
      <c r="B430" s="23"/>
      <c r="C430" s="23"/>
      <c r="D430" s="23"/>
      <c r="E430" s="23"/>
      <c r="F430" s="23"/>
      <c r="G430" s="23"/>
      <c r="H430" s="23"/>
    </row>
    <row r="431" spans="2:8" x14ac:dyDescent="0.2">
      <c r="B431" s="23"/>
      <c r="C431" s="23"/>
      <c r="D431" s="23"/>
      <c r="E431" s="23"/>
      <c r="F431" s="23"/>
      <c r="G431" s="23"/>
      <c r="H431" s="23"/>
    </row>
    <row r="432" spans="2:8" x14ac:dyDescent="0.2">
      <c r="B432" s="23"/>
      <c r="C432" s="23"/>
      <c r="D432" s="23"/>
      <c r="E432" s="23"/>
      <c r="F432" s="23"/>
      <c r="G432" s="23"/>
      <c r="H432" s="23"/>
    </row>
    <row r="433" spans="2:8" x14ac:dyDescent="0.2">
      <c r="B433" s="23"/>
      <c r="C433" s="23"/>
      <c r="D433" s="23"/>
      <c r="E433" s="23"/>
      <c r="F433" s="23"/>
      <c r="G433" s="23"/>
      <c r="H433" s="23"/>
    </row>
    <row r="434" spans="2:8" x14ac:dyDescent="0.2">
      <c r="B434" s="23"/>
      <c r="C434" s="23"/>
      <c r="D434" s="23"/>
      <c r="E434" s="23"/>
      <c r="F434" s="23"/>
      <c r="G434" s="23"/>
      <c r="H434" s="23"/>
    </row>
    <row r="435" spans="2:8" x14ac:dyDescent="0.2">
      <c r="B435" s="23"/>
      <c r="C435" s="23"/>
      <c r="D435" s="23"/>
      <c r="E435" s="23"/>
      <c r="F435" s="23"/>
      <c r="G435" s="23"/>
      <c r="H435" s="23"/>
    </row>
    <row r="436" spans="2:8" x14ac:dyDescent="0.2">
      <c r="B436" s="23"/>
      <c r="C436" s="23"/>
      <c r="D436" s="23"/>
      <c r="E436" s="23"/>
      <c r="F436" s="23"/>
      <c r="G436" s="23"/>
      <c r="H436" s="23"/>
    </row>
    <row r="437" spans="2:8" x14ac:dyDescent="0.2">
      <c r="B437" s="23"/>
      <c r="C437" s="23"/>
      <c r="D437" s="23"/>
      <c r="E437" s="23"/>
      <c r="F437" s="23"/>
      <c r="G437" s="23"/>
      <c r="H437" s="23"/>
    </row>
    <row r="438" spans="2:8" x14ac:dyDescent="0.2">
      <c r="B438" s="23"/>
      <c r="C438" s="23"/>
      <c r="D438" s="23"/>
      <c r="E438" s="23"/>
      <c r="F438" s="23"/>
      <c r="G438" s="23"/>
      <c r="H438" s="23"/>
    </row>
    <row r="439" spans="2:8" x14ac:dyDescent="0.2">
      <c r="B439" s="23"/>
      <c r="C439" s="23"/>
      <c r="D439" s="23"/>
      <c r="E439" s="23"/>
      <c r="F439" s="23"/>
      <c r="G439" s="23"/>
      <c r="H439" s="23"/>
    </row>
    <row r="440" spans="2:8" x14ac:dyDescent="0.2">
      <c r="B440" s="23"/>
      <c r="C440" s="23"/>
      <c r="D440" s="23"/>
      <c r="E440" s="23"/>
      <c r="F440" s="23"/>
      <c r="G440" s="23"/>
      <c r="H440" s="23"/>
    </row>
    <row r="441" spans="2:8" x14ac:dyDescent="0.2">
      <c r="B441" s="23"/>
      <c r="C441" s="23"/>
      <c r="D441" s="23"/>
      <c r="E441" s="23"/>
      <c r="F441" s="23"/>
      <c r="G441" s="23"/>
      <c r="H441" s="23"/>
    </row>
    <row r="442" spans="2:8" x14ac:dyDescent="0.2">
      <c r="B442" s="23"/>
      <c r="C442" s="23"/>
      <c r="D442" s="23"/>
      <c r="E442" s="23"/>
      <c r="F442" s="23"/>
      <c r="G442" s="23"/>
      <c r="H442" s="23"/>
    </row>
    <row r="443" spans="2:8" x14ac:dyDescent="0.2">
      <c r="B443" s="23"/>
      <c r="C443" s="23"/>
      <c r="D443" s="23"/>
      <c r="E443" s="23"/>
      <c r="F443" s="23"/>
      <c r="G443" s="23"/>
      <c r="H443" s="23"/>
    </row>
    <row r="444" spans="2:8" x14ac:dyDescent="0.2">
      <c r="B444" s="23"/>
      <c r="C444" s="23"/>
      <c r="D444" s="23"/>
      <c r="E444" s="23"/>
      <c r="F444" s="23"/>
      <c r="G444" s="23"/>
      <c r="H444" s="23"/>
    </row>
    <row r="445" spans="2:8" x14ac:dyDescent="0.2">
      <c r="B445" s="23"/>
      <c r="C445" s="23"/>
      <c r="D445" s="23"/>
      <c r="E445" s="23"/>
      <c r="F445" s="23"/>
      <c r="G445" s="23"/>
      <c r="H445" s="23"/>
    </row>
    <row r="446" spans="2:8" x14ac:dyDescent="0.2">
      <c r="B446" s="23"/>
      <c r="C446" s="23"/>
      <c r="D446" s="23"/>
      <c r="E446" s="23"/>
      <c r="F446" s="23"/>
      <c r="G446" s="23"/>
      <c r="H446" s="23"/>
    </row>
    <row r="447" spans="2:8" x14ac:dyDescent="0.2">
      <c r="B447" s="23"/>
      <c r="C447" s="23"/>
      <c r="D447" s="23"/>
      <c r="E447" s="23"/>
      <c r="F447" s="23"/>
      <c r="G447" s="23"/>
      <c r="H447" s="23"/>
    </row>
    <row r="448" spans="2:8" x14ac:dyDescent="0.2">
      <c r="B448" s="23"/>
      <c r="C448" s="23"/>
      <c r="D448" s="23"/>
      <c r="E448" s="23"/>
      <c r="F448" s="23"/>
      <c r="G448" s="23"/>
      <c r="H448" s="23"/>
    </row>
    <row r="449" spans="2:8" x14ac:dyDescent="0.2">
      <c r="B449" s="23"/>
      <c r="C449" s="23"/>
      <c r="D449" s="23"/>
      <c r="E449" s="23"/>
      <c r="F449" s="23"/>
      <c r="G449" s="23"/>
      <c r="H449" s="23"/>
    </row>
    <row r="450" spans="2:8" x14ac:dyDescent="0.2">
      <c r="B450" s="23"/>
      <c r="C450" s="23"/>
      <c r="D450" s="23"/>
      <c r="E450" s="23"/>
      <c r="F450" s="23"/>
      <c r="G450" s="23"/>
      <c r="H450" s="23"/>
    </row>
    <row r="451" spans="2:8" x14ac:dyDescent="0.2">
      <c r="B451" s="23"/>
      <c r="C451" s="23"/>
      <c r="D451" s="23"/>
      <c r="E451" s="23"/>
      <c r="F451" s="23"/>
      <c r="G451" s="23"/>
      <c r="H451" s="23"/>
    </row>
    <row r="452" spans="2:8" x14ac:dyDescent="0.2">
      <c r="B452" s="23"/>
      <c r="C452" s="23"/>
      <c r="D452" s="23"/>
      <c r="E452" s="23"/>
      <c r="F452" s="23"/>
      <c r="G452" s="23"/>
      <c r="H452" s="23"/>
    </row>
    <row r="453" spans="2:8" x14ac:dyDescent="0.2">
      <c r="B453" s="23"/>
      <c r="C453" s="23"/>
      <c r="D453" s="23"/>
      <c r="E453" s="23"/>
      <c r="F453" s="23"/>
      <c r="G453" s="23"/>
      <c r="H453" s="23"/>
    </row>
    <row r="454" spans="2:8" x14ac:dyDescent="0.2">
      <c r="B454" s="23"/>
      <c r="C454" s="23"/>
      <c r="D454" s="23"/>
      <c r="E454" s="23"/>
      <c r="F454" s="23"/>
      <c r="G454" s="23"/>
      <c r="H454" s="23"/>
    </row>
    <row r="455" spans="2:8" x14ac:dyDescent="0.2">
      <c r="B455" s="23"/>
      <c r="C455" s="23"/>
      <c r="D455" s="23"/>
      <c r="E455" s="23"/>
      <c r="F455" s="23"/>
      <c r="G455" s="23"/>
      <c r="H455" s="23"/>
    </row>
    <row r="456" spans="2:8" x14ac:dyDescent="0.2">
      <c r="B456" s="23"/>
      <c r="C456" s="23"/>
      <c r="D456" s="23"/>
      <c r="E456" s="23"/>
      <c r="F456" s="23"/>
      <c r="G456" s="23"/>
      <c r="H456" s="23"/>
    </row>
    <row r="457" spans="2:8" x14ac:dyDescent="0.2">
      <c r="B457" s="23"/>
      <c r="C457" s="23"/>
      <c r="D457" s="23"/>
      <c r="E457" s="23"/>
      <c r="F457" s="23"/>
      <c r="G457" s="23"/>
      <c r="H457" s="23"/>
    </row>
    <row r="458" spans="2:8" x14ac:dyDescent="0.2">
      <c r="B458" s="23"/>
      <c r="C458" s="23"/>
      <c r="D458" s="23"/>
      <c r="E458" s="23"/>
      <c r="F458" s="23"/>
      <c r="G458" s="23"/>
      <c r="H458" s="23"/>
    </row>
    <row r="459" spans="2:8" x14ac:dyDescent="0.2">
      <c r="B459" s="23"/>
      <c r="C459" s="23"/>
      <c r="D459" s="23"/>
      <c r="E459" s="23"/>
      <c r="F459" s="23"/>
      <c r="G459" s="23"/>
      <c r="H459" s="23"/>
    </row>
    <row r="460" spans="2:8" x14ac:dyDescent="0.2">
      <c r="B460" s="23"/>
      <c r="C460" s="23"/>
      <c r="D460" s="23"/>
      <c r="E460" s="23"/>
      <c r="F460" s="23"/>
      <c r="G460" s="23"/>
      <c r="H460" s="23"/>
    </row>
    <row r="461" spans="2:8" x14ac:dyDescent="0.2">
      <c r="B461" s="23"/>
      <c r="C461" s="23"/>
      <c r="D461" s="23"/>
      <c r="E461" s="23"/>
      <c r="F461" s="23"/>
      <c r="G461" s="23"/>
      <c r="H461" s="23"/>
    </row>
    <row r="462" spans="2:8" x14ac:dyDescent="0.2">
      <c r="B462" s="23"/>
      <c r="C462" s="23"/>
      <c r="D462" s="23"/>
      <c r="E462" s="23"/>
      <c r="F462" s="23"/>
      <c r="G462" s="23"/>
      <c r="H462" s="23"/>
    </row>
    <row r="463" spans="2:8" x14ac:dyDescent="0.2">
      <c r="B463" s="23"/>
      <c r="C463" s="23"/>
      <c r="D463" s="23"/>
      <c r="E463" s="23"/>
      <c r="F463" s="23"/>
      <c r="G463" s="23"/>
      <c r="H463" s="23"/>
    </row>
    <row r="464" spans="2:8" x14ac:dyDescent="0.2">
      <c r="B464" s="23"/>
      <c r="C464" s="23"/>
      <c r="D464" s="23"/>
      <c r="E464" s="23"/>
      <c r="F464" s="23"/>
      <c r="G464" s="23"/>
      <c r="H464" s="23"/>
    </row>
    <row r="465" spans="2:8" x14ac:dyDescent="0.2">
      <c r="B465" s="23"/>
      <c r="C465" s="23"/>
      <c r="D465" s="23"/>
      <c r="E465" s="23"/>
      <c r="F465" s="23"/>
      <c r="G465" s="23"/>
      <c r="H465" s="23"/>
    </row>
    <row r="466" spans="2:8" x14ac:dyDescent="0.2">
      <c r="B466" s="23"/>
      <c r="C466" s="23"/>
      <c r="D466" s="23"/>
      <c r="E466" s="23"/>
      <c r="F466" s="23"/>
      <c r="G466" s="23"/>
      <c r="H466" s="23"/>
    </row>
    <row r="467" spans="2:8" x14ac:dyDescent="0.2">
      <c r="B467" s="23"/>
      <c r="C467" s="23"/>
      <c r="D467" s="23"/>
      <c r="E467" s="23"/>
      <c r="F467" s="23"/>
      <c r="G467" s="23"/>
      <c r="H467" s="23"/>
    </row>
    <row r="468" spans="2:8" x14ac:dyDescent="0.2">
      <c r="B468" s="23"/>
      <c r="C468" s="23"/>
      <c r="D468" s="23"/>
      <c r="E468" s="23"/>
      <c r="F468" s="23"/>
      <c r="G468" s="23"/>
      <c r="H468" s="23"/>
    </row>
    <row r="469" spans="2:8" x14ac:dyDescent="0.2">
      <c r="B469" s="23"/>
      <c r="C469" s="23"/>
      <c r="D469" s="23"/>
      <c r="E469" s="23"/>
      <c r="F469" s="23"/>
      <c r="G469" s="23"/>
      <c r="H469" s="23"/>
    </row>
    <row r="470" spans="2:8" x14ac:dyDescent="0.2">
      <c r="B470" s="23"/>
      <c r="C470" s="23"/>
      <c r="D470" s="23"/>
      <c r="E470" s="23"/>
      <c r="F470" s="23"/>
      <c r="G470" s="23"/>
      <c r="H470" s="23"/>
    </row>
    <row r="471" spans="2:8" x14ac:dyDescent="0.2">
      <c r="B471" s="23"/>
      <c r="C471" s="23"/>
      <c r="D471" s="23"/>
      <c r="E471" s="23"/>
      <c r="F471" s="23"/>
      <c r="G471" s="23"/>
      <c r="H471" s="23"/>
    </row>
    <row r="472" spans="2:8" x14ac:dyDescent="0.2">
      <c r="B472" s="23"/>
      <c r="C472" s="23"/>
      <c r="D472" s="23"/>
      <c r="E472" s="23"/>
      <c r="F472" s="23"/>
      <c r="G472" s="23"/>
      <c r="H472" s="23"/>
    </row>
    <row r="473" spans="2:8" x14ac:dyDescent="0.2">
      <c r="B473" s="23"/>
      <c r="C473" s="23"/>
      <c r="D473" s="23"/>
      <c r="E473" s="23"/>
      <c r="F473" s="23"/>
      <c r="G473" s="23"/>
      <c r="H473" s="23"/>
    </row>
    <row r="474" spans="2:8" x14ac:dyDescent="0.2">
      <c r="B474" s="23"/>
      <c r="C474" s="23"/>
      <c r="D474" s="23"/>
      <c r="E474" s="23"/>
      <c r="F474" s="23"/>
      <c r="G474" s="23"/>
      <c r="H474" s="23"/>
    </row>
    <row r="475" spans="2:8" x14ac:dyDescent="0.2">
      <c r="B475" s="23"/>
      <c r="C475" s="23"/>
      <c r="D475" s="23"/>
      <c r="E475" s="23"/>
      <c r="F475" s="23"/>
      <c r="G475" s="23"/>
      <c r="H475" s="23"/>
    </row>
    <row r="476" spans="2:8" x14ac:dyDescent="0.2">
      <c r="B476" s="23"/>
      <c r="C476" s="23"/>
      <c r="D476" s="23"/>
      <c r="E476" s="23"/>
      <c r="F476" s="23"/>
      <c r="G476" s="23"/>
      <c r="H476" s="23"/>
    </row>
    <row r="477" spans="2:8" x14ac:dyDescent="0.2">
      <c r="B477" s="23"/>
      <c r="C477" s="23"/>
      <c r="D477" s="23"/>
      <c r="E477" s="23"/>
      <c r="F477" s="23"/>
      <c r="G477" s="23"/>
      <c r="H477" s="23"/>
    </row>
    <row r="478" spans="2:8" x14ac:dyDescent="0.2">
      <c r="B478" s="23"/>
      <c r="C478" s="23"/>
      <c r="D478" s="23"/>
      <c r="E478" s="23"/>
      <c r="F478" s="23"/>
      <c r="G478" s="23"/>
      <c r="H478" s="23"/>
    </row>
    <row r="479" spans="2:8" x14ac:dyDescent="0.2">
      <c r="B479" s="23"/>
      <c r="C479" s="23"/>
      <c r="D479" s="23"/>
      <c r="E479" s="23"/>
      <c r="F479" s="23"/>
      <c r="G479" s="23"/>
      <c r="H479" s="23"/>
    </row>
    <row r="480" spans="2:8" x14ac:dyDescent="0.2">
      <c r="B480" s="23"/>
      <c r="C480" s="23"/>
      <c r="D480" s="23"/>
      <c r="E480" s="23"/>
      <c r="F480" s="23"/>
      <c r="G480" s="23"/>
      <c r="H480" s="23"/>
    </row>
    <row r="481" spans="2:8" x14ac:dyDescent="0.2">
      <c r="B481" s="23"/>
      <c r="C481" s="23"/>
      <c r="D481" s="23"/>
      <c r="E481" s="23"/>
      <c r="F481" s="23"/>
      <c r="G481" s="23"/>
      <c r="H481" s="23"/>
    </row>
    <row r="482" spans="2:8" x14ac:dyDescent="0.2">
      <c r="B482" s="23"/>
      <c r="C482" s="23"/>
      <c r="D482" s="23"/>
      <c r="E482" s="23"/>
      <c r="F482" s="23"/>
      <c r="G482" s="23"/>
      <c r="H482" s="23"/>
    </row>
    <row r="483" spans="2:8" x14ac:dyDescent="0.2">
      <c r="B483" s="23"/>
      <c r="C483" s="23"/>
      <c r="D483" s="23"/>
      <c r="E483" s="23"/>
      <c r="F483" s="23"/>
      <c r="G483" s="23"/>
      <c r="H483" s="23"/>
    </row>
    <row r="484" spans="2:8" x14ac:dyDescent="0.2">
      <c r="B484" s="23"/>
      <c r="C484" s="23"/>
      <c r="D484" s="23"/>
      <c r="E484" s="23"/>
      <c r="F484" s="23"/>
      <c r="G484" s="23"/>
      <c r="H484" s="23"/>
    </row>
    <row r="485" spans="2:8" x14ac:dyDescent="0.2">
      <c r="B485" s="23"/>
      <c r="C485" s="23"/>
      <c r="D485" s="23"/>
      <c r="E485" s="23"/>
      <c r="F485" s="23"/>
      <c r="G485" s="23"/>
      <c r="H485" s="23"/>
    </row>
    <row r="486" spans="2:8" x14ac:dyDescent="0.2">
      <c r="B486" s="23"/>
      <c r="C486" s="23"/>
      <c r="D486" s="23"/>
      <c r="E486" s="23"/>
      <c r="F486" s="23"/>
      <c r="G486" s="23"/>
      <c r="H486" s="23"/>
    </row>
    <row r="487" spans="2:8" x14ac:dyDescent="0.2">
      <c r="B487" s="23"/>
      <c r="C487" s="23"/>
      <c r="D487" s="23"/>
      <c r="E487" s="23"/>
      <c r="F487" s="23"/>
      <c r="G487" s="23"/>
      <c r="H487" s="23"/>
    </row>
    <row r="488" spans="2:8" x14ac:dyDescent="0.2">
      <c r="B488" s="23"/>
      <c r="C488" s="23"/>
      <c r="D488" s="23"/>
      <c r="E488" s="23"/>
      <c r="F488" s="23"/>
      <c r="G488" s="23"/>
      <c r="H488" s="23"/>
    </row>
    <row r="489" spans="2:8" x14ac:dyDescent="0.2">
      <c r="B489" s="23"/>
      <c r="C489" s="23"/>
      <c r="D489" s="23"/>
      <c r="E489" s="23"/>
      <c r="F489" s="23"/>
      <c r="G489" s="23"/>
      <c r="H489" s="23"/>
    </row>
    <row r="490" spans="2:8" x14ac:dyDescent="0.2">
      <c r="B490" s="23"/>
      <c r="C490" s="23"/>
      <c r="D490" s="23"/>
      <c r="E490" s="23"/>
      <c r="F490" s="23"/>
      <c r="G490" s="23"/>
      <c r="H490" s="23"/>
    </row>
    <row r="491" spans="2:8" x14ac:dyDescent="0.2">
      <c r="B491" s="23"/>
      <c r="C491" s="23"/>
      <c r="D491" s="23"/>
      <c r="E491" s="23"/>
      <c r="F491" s="23"/>
      <c r="G491" s="23"/>
      <c r="H491" s="23"/>
    </row>
    <row r="492" spans="2:8" x14ac:dyDescent="0.2">
      <c r="B492" s="23"/>
      <c r="C492" s="23"/>
      <c r="D492" s="23"/>
      <c r="E492" s="23"/>
      <c r="F492" s="23"/>
      <c r="G492" s="23"/>
      <c r="H492" s="23"/>
    </row>
    <row r="493" spans="2:8" x14ac:dyDescent="0.2">
      <c r="B493" s="23"/>
      <c r="C493" s="23"/>
      <c r="D493" s="23"/>
      <c r="E493" s="23"/>
      <c r="F493" s="23"/>
      <c r="G493" s="23"/>
      <c r="H493" s="23"/>
    </row>
    <row r="494" spans="2:8" x14ac:dyDescent="0.2">
      <c r="B494" s="23"/>
      <c r="C494" s="23"/>
      <c r="D494" s="23"/>
      <c r="E494" s="23"/>
      <c r="F494" s="23"/>
      <c r="G494" s="23"/>
      <c r="H494" s="23"/>
    </row>
    <row r="495" spans="2:8" x14ac:dyDescent="0.2">
      <c r="B495" s="23"/>
      <c r="C495" s="23"/>
      <c r="D495" s="23"/>
      <c r="E495" s="23"/>
      <c r="F495" s="23"/>
      <c r="G495" s="23"/>
      <c r="H495" s="23"/>
    </row>
    <row r="496" spans="2:8" x14ac:dyDescent="0.2">
      <c r="B496" s="23"/>
      <c r="C496" s="23"/>
      <c r="D496" s="23"/>
      <c r="E496" s="23"/>
      <c r="F496" s="23"/>
      <c r="G496" s="23"/>
      <c r="H496" s="23"/>
    </row>
    <row r="497" spans="2:8" x14ac:dyDescent="0.2">
      <c r="B497" s="23"/>
      <c r="C497" s="23"/>
      <c r="D497" s="23"/>
      <c r="E497" s="23"/>
      <c r="F497" s="23"/>
      <c r="G497" s="23"/>
      <c r="H497" s="23"/>
    </row>
    <row r="498" spans="2:8" x14ac:dyDescent="0.2">
      <c r="B498" s="23"/>
      <c r="C498" s="23"/>
      <c r="D498" s="23"/>
      <c r="E498" s="23"/>
      <c r="F498" s="23"/>
      <c r="G498" s="23"/>
      <c r="H498" s="23"/>
    </row>
    <row r="499" spans="2:8" x14ac:dyDescent="0.2">
      <c r="B499" s="23"/>
      <c r="C499" s="23"/>
      <c r="D499" s="23"/>
      <c r="E499" s="23"/>
      <c r="F499" s="23"/>
      <c r="G499" s="23"/>
      <c r="H499" s="23"/>
    </row>
    <row r="500" spans="2:8" x14ac:dyDescent="0.2">
      <c r="B500" s="23"/>
      <c r="C500" s="23"/>
      <c r="D500" s="23"/>
      <c r="E500" s="23"/>
      <c r="F500" s="23"/>
      <c r="G500" s="23"/>
      <c r="H500" s="23"/>
    </row>
    <row r="501" spans="2:8" x14ac:dyDescent="0.2">
      <c r="B501" s="23"/>
      <c r="C501" s="23"/>
      <c r="D501" s="23"/>
      <c r="E501" s="23"/>
      <c r="F501" s="23"/>
      <c r="G501" s="23"/>
      <c r="H501" s="23"/>
    </row>
    <row r="502" spans="2:8" x14ac:dyDescent="0.2">
      <c r="B502" s="23"/>
      <c r="C502" s="23"/>
      <c r="D502" s="23"/>
      <c r="E502" s="23"/>
      <c r="F502" s="23"/>
      <c r="G502" s="23"/>
      <c r="H502" s="23"/>
    </row>
    <row r="503" spans="2:8" x14ac:dyDescent="0.2">
      <c r="B503" s="23"/>
      <c r="C503" s="23"/>
      <c r="D503" s="23"/>
      <c r="E503" s="23"/>
      <c r="F503" s="23"/>
      <c r="G503" s="23"/>
      <c r="H503" s="23"/>
    </row>
    <row r="504" spans="2:8" x14ac:dyDescent="0.2">
      <c r="B504" s="23"/>
      <c r="C504" s="23"/>
      <c r="D504" s="23"/>
      <c r="E504" s="23"/>
      <c r="F504" s="23"/>
      <c r="G504" s="23"/>
      <c r="H504" s="23"/>
    </row>
    <row r="505" spans="2:8" x14ac:dyDescent="0.2">
      <c r="B505" s="23"/>
      <c r="C505" s="23"/>
      <c r="D505" s="23"/>
      <c r="E505" s="23"/>
      <c r="F505" s="23"/>
      <c r="G505" s="23"/>
      <c r="H505" s="23"/>
    </row>
    <row r="506" spans="2:8" x14ac:dyDescent="0.2">
      <c r="B506" s="23"/>
      <c r="C506" s="23"/>
      <c r="D506" s="23"/>
      <c r="E506" s="23"/>
      <c r="F506" s="23"/>
      <c r="G506" s="23"/>
      <c r="H506" s="23"/>
    </row>
    <row r="507" spans="2:8" x14ac:dyDescent="0.2">
      <c r="B507" s="23"/>
      <c r="C507" s="23"/>
      <c r="D507" s="23"/>
      <c r="E507" s="23"/>
      <c r="F507" s="23"/>
      <c r="G507" s="23"/>
      <c r="H507" s="23"/>
    </row>
    <row r="508" spans="2:8" x14ac:dyDescent="0.2">
      <c r="B508" s="23"/>
      <c r="C508" s="23"/>
      <c r="D508" s="23"/>
      <c r="E508" s="23"/>
      <c r="F508" s="23"/>
      <c r="G508" s="23"/>
      <c r="H508" s="23"/>
    </row>
    <row r="509" spans="2:8" x14ac:dyDescent="0.2">
      <c r="B509" s="23"/>
      <c r="C509" s="23"/>
      <c r="D509" s="23"/>
      <c r="E509" s="23"/>
      <c r="F509" s="23"/>
      <c r="G509" s="23"/>
      <c r="H509" s="23"/>
    </row>
    <row r="510" spans="2:8" x14ac:dyDescent="0.2">
      <c r="B510" s="23"/>
      <c r="C510" s="23"/>
      <c r="D510" s="23"/>
      <c r="E510" s="23"/>
      <c r="F510" s="23"/>
      <c r="G510" s="23"/>
      <c r="H510" s="23"/>
    </row>
    <row r="511" spans="2:8" x14ac:dyDescent="0.2">
      <c r="B511" s="23"/>
      <c r="C511" s="23"/>
      <c r="D511" s="23"/>
      <c r="E511" s="23"/>
      <c r="F511" s="23"/>
      <c r="G511" s="23"/>
      <c r="H511" s="23"/>
    </row>
  </sheetData>
  <printOptions headings="1" gridLines="1"/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EB162-FAC9-0B48-920E-FA6022EEF4A2}">
  <sheetPr codeName="Sheet6">
    <pageSetUpPr fitToPage="1"/>
  </sheetPr>
  <dimension ref="A1:K28"/>
  <sheetViews>
    <sheetView zoomScale="144" workbookViewId="0">
      <selection activeCell="E9" sqref="E9"/>
    </sheetView>
  </sheetViews>
  <sheetFormatPr baseColWidth="10" defaultColWidth="10.83203125" defaultRowHeight="12" x14ac:dyDescent="0.15"/>
  <cols>
    <col min="1" max="1" width="2.83203125" style="96" customWidth="1"/>
    <col min="2" max="2" width="21.5" style="96" bestFit="1" customWidth="1"/>
    <col min="3" max="3" width="19.6640625" style="97" bestFit="1" customWidth="1"/>
    <col min="4" max="4" width="10.83203125" style="96" customWidth="1"/>
    <col min="5" max="5" width="5.5" style="96" customWidth="1"/>
    <col min="6" max="6" width="10.83203125" style="97" customWidth="1"/>
    <col min="7" max="8" width="12.83203125" style="96" customWidth="1"/>
    <col min="9" max="9" width="10.83203125" style="96"/>
    <col min="10" max="10" width="13" style="96" customWidth="1"/>
    <col min="11" max="11" width="19.83203125" style="96" customWidth="1"/>
    <col min="12" max="16384" width="10.83203125" style="96"/>
  </cols>
  <sheetData>
    <row r="1" spans="1:11" x14ac:dyDescent="0.15">
      <c r="A1" s="95" t="s">
        <v>1</v>
      </c>
    </row>
    <row r="3" spans="1:11" ht="13" thickBot="1" x14ac:dyDescent="0.2">
      <c r="C3" s="98" t="s">
        <v>15</v>
      </c>
      <c r="F3" s="96"/>
      <c r="G3" s="95" t="s">
        <v>14</v>
      </c>
    </row>
    <row r="4" spans="1:11" x14ac:dyDescent="0.15">
      <c r="B4" s="127" t="s">
        <v>2</v>
      </c>
      <c r="C4" s="128">
        <v>1</v>
      </c>
      <c r="E4" s="101"/>
      <c r="F4" s="102" t="s">
        <v>7</v>
      </c>
      <c r="G4" s="131" t="s">
        <v>11</v>
      </c>
      <c r="H4" s="132"/>
    </row>
    <row r="5" spans="1:11" x14ac:dyDescent="0.15">
      <c r="E5" s="103"/>
      <c r="F5" s="104" t="s">
        <v>8</v>
      </c>
      <c r="G5" s="105" t="s">
        <v>9</v>
      </c>
      <c r="H5" s="106" t="s">
        <v>10</v>
      </c>
    </row>
    <row r="6" spans="1:11" x14ac:dyDescent="0.15">
      <c r="B6" s="95" t="s">
        <v>5</v>
      </c>
      <c r="E6" s="107" t="s">
        <v>12</v>
      </c>
      <c r="F6" s="108">
        <v>2.6400237957716595</v>
      </c>
      <c r="G6" s="109">
        <v>2.3910233088744519</v>
      </c>
      <c r="H6" s="110">
        <v>2.889024282668867</v>
      </c>
    </row>
    <row r="7" spans="1:11" ht="14" x14ac:dyDescent="0.2">
      <c r="B7" s="99" t="s">
        <v>4</v>
      </c>
      <c r="C7" s="100" t="s">
        <v>6</v>
      </c>
      <c r="E7" s="107" t="s">
        <v>99</v>
      </c>
      <c r="F7" s="108">
        <v>1.8460496913352997</v>
      </c>
      <c r="G7" s="109">
        <v>1.6088855092926049</v>
      </c>
      <c r="H7" s="110">
        <v>2.0832138733779946</v>
      </c>
    </row>
    <row r="8" spans="1:11" x14ac:dyDescent="0.15">
      <c r="B8" s="99" t="str">
        <f>IF(C7="Constant","Value =",IF(C7="Erlang","Mean =",IF(C7="Exponential","Mean =",IF(C7="Translated Exponential","Minimum Value =","Minimum Value ="))))</f>
        <v>Mean =</v>
      </c>
      <c r="C8" s="100">
        <v>5</v>
      </c>
      <c r="E8" s="111" t="s">
        <v>13</v>
      </c>
      <c r="F8" s="112">
        <v>13.172814480466446</v>
      </c>
      <c r="G8" s="109">
        <v>12.069682801397814</v>
      </c>
      <c r="H8" s="110">
        <v>14.275946159535078</v>
      </c>
    </row>
    <row r="9" spans="1:11" ht="14" x14ac:dyDescent="0.2">
      <c r="B9" s="99" t="str">
        <f>IF(C7="Erlang","k =",IF(C7="Translated Exponential","Mean =",IF(C7="Uniform","Maximum Value =","")))</f>
        <v/>
      </c>
      <c r="C9" s="100"/>
      <c r="E9" s="111" t="s">
        <v>100</v>
      </c>
      <c r="F9" s="112">
        <v>9.2111556511839598</v>
      </c>
      <c r="G9" s="109">
        <v>8.1234353232609724</v>
      </c>
      <c r="H9" s="110">
        <v>10.298875979106947</v>
      </c>
    </row>
    <row r="10" spans="1:11" x14ac:dyDescent="0.15">
      <c r="E10" s="107"/>
      <c r="F10" s="108"/>
      <c r="G10" s="109"/>
      <c r="H10" s="110"/>
    </row>
    <row r="11" spans="1:11" ht="14" x14ac:dyDescent="0.2">
      <c r="B11" s="95" t="s">
        <v>3</v>
      </c>
      <c r="E11" s="107" t="s">
        <v>101</v>
      </c>
      <c r="F11" s="108">
        <v>0.20602589556363979</v>
      </c>
      <c r="G11" s="109">
        <v>0.18991376827683731</v>
      </c>
      <c r="H11" s="110">
        <v>0.22213802285044226</v>
      </c>
      <c r="J11" s="129" t="s">
        <v>57</v>
      </c>
      <c r="K11" s="129"/>
    </row>
    <row r="12" spans="1:11" ht="15" thickBot="1" x14ac:dyDescent="0.25">
      <c r="B12" s="99" t="s">
        <v>4</v>
      </c>
      <c r="C12" s="100" t="s">
        <v>0</v>
      </c>
      <c r="E12" s="107" t="s">
        <v>102</v>
      </c>
      <c r="F12" s="108">
        <v>0.21033482705806736</v>
      </c>
      <c r="G12" s="109">
        <v>0.19666573049128194</v>
      </c>
      <c r="H12" s="110">
        <v>0.22400392362485277</v>
      </c>
    </row>
    <row r="13" spans="1:11" ht="14" x14ac:dyDescent="0.2">
      <c r="B13" s="99" t="str">
        <f>IF(C12="Constant","Value =",IF(C12="Erlang","Mean =",IF(C12="Exponential","Mean =",IF(C12="Translated Exponential","Minimum Value =","Minimum Value ="))))</f>
        <v>Minimum Value =</v>
      </c>
      <c r="C13" s="100">
        <v>0</v>
      </c>
      <c r="E13" s="107" t="s">
        <v>103</v>
      </c>
      <c r="F13" s="108">
        <v>0.17681767097478529</v>
      </c>
      <c r="G13" s="109">
        <v>0.16655640923561693</v>
      </c>
      <c r="H13" s="110">
        <v>0.18707893271395365</v>
      </c>
      <c r="J13" s="113" t="s">
        <v>58</v>
      </c>
      <c r="K13" s="114" t="s">
        <v>59</v>
      </c>
    </row>
    <row r="14" spans="1:11" ht="14" x14ac:dyDescent="0.2">
      <c r="B14" s="127" t="str">
        <f>IF(C12="Erlang","k =",IF(C12="Translated Exponential","Mean =",IF(C12="Uniform","Maximum Value =","")))</f>
        <v>Maximum Value =</v>
      </c>
      <c r="C14" s="128">
        <v>8</v>
      </c>
      <c r="E14" s="107" t="s">
        <v>104</v>
      </c>
      <c r="F14" s="108">
        <v>0.12904599574167139</v>
      </c>
      <c r="G14" s="109">
        <v>0.12098350402527561</v>
      </c>
      <c r="H14" s="110">
        <v>0.13710848745806717</v>
      </c>
      <c r="J14" s="115">
        <v>2</v>
      </c>
      <c r="K14" s="116">
        <v>4</v>
      </c>
    </row>
    <row r="15" spans="1:11" ht="14" x14ac:dyDescent="0.2">
      <c r="E15" s="107" t="s">
        <v>105</v>
      </c>
      <c r="F15" s="108">
        <v>9.2375154966545206E-2</v>
      </c>
      <c r="G15" s="109">
        <v>8.4071899911519005E-2</v>
      </c>
      <c r="H15" s="110">
        <v>0.10067841002157141</v>
      </c>
      <c r="J15" s="115">
        <v>3</v>
      </c>
      <c r="K15" s="116">
        <v>3</v>
      </c>
    </row>
    <row r="16" spans="1:11" ht="15" thickBot="1" x14ac:dyDescent="0.25">
      <c r="B16" s="95" t="s">
        <v>17</v>
      </c>
      <c r="E16" s="107" t="s">
        <v>106</v>
      </c>
      <c r="F16" s="108">
        <v>5.9729375194925848E-2</v>
      </c>
      <c r="G16" s="109">
        <v>5.230638641211937E-2</v>
      </c>
      <c r="H16" s="110">
        <v>6.7152363977732332E-2</v>
      </c>
      <c r="J16" s="117">
        <v>4</v>
      </c>
      <c r="K16" s="118">
        <v>2</v>
      </c>
    </row>
    <row r="17" spans="2:11" ht="14" x14ac:dyDescent="0.2">
      <c r="B17" s="99" t="s">
        <v>16</v>
      </c>
      <c r="C17" s="119">
        <v>10000</v>
      </c>
      <c r="E17" s="107" t="s">
        <v>107</v>
      </c>
      <c r="F17" s="108">
        <v>4.0611939597963005E-2</v>
      </c>
      <c r="G17" s="109">
        <v>3.3735507495565684E-2</v>
      </c>
      <c r="H17" s="110">
        <v>4.7488371700360327E-2</v>
      </c>
    </row>
    <row r="18" spans="2:11" ht="14" x14ac:dyDescent="0.2">
      <c r="E18" s="107" t="s">
        <v>108</v>
      </c>
      <c r="F18" s="108">
        <v>2.5700935913397428E-2</v>
      </c>
      <c r="G18" s="109">
        <v>1.9924133173552801E-2</v>
      </c>
      <c r="H18" s="110">
        <v>3.1477738653242056E-2</v>
      </c>
    </row>
    <row r="19" spans="2:11" ht="14" x14ac:dyDescent="0.2">
      <c r="E19" s="107" t="s">
        <v>109</v>
      </c>
      <c r="F19" s="108">
        <v>1.9529728981684015E-2</v>
      </c>
      <c r="G19" s="109">
        <v>1.4201062285332319E-2</v>
      </c>
      <c r="H19" s="110">
        <v>2.4858395678035709E-2</v>
      </c>
    </row>
    <row r="20" spans="2:11" ht="14" x14ac:dyDescent="0.2">
      <c r="E20" s="107" t="s">
        <v>110</v>
      </c>
      <c r="F20" s="108">
        <v>1.3835713333331555E-2</v>
      </c>
      <c r="G20" s="109">
        <v>8.5789886673805979E-3</v>
      </c>
      <c r="H20" s="110">
        <v>1.9092437999282511E-2</v>
      </c>
    </row>
    <row r="21" spans="2:11" ht="15" thickBot="1" x14ac:dyDescent="0.25">
      <c r="E21" s="120" t="s">
        <v>111</v>
      </c>
      <c r="F21" s="121">
        <v>8.8749652032611114E-3</v>
      </c>
      <c r="G21" s="122">
        <v>4.7109569127252258E-3</v>
      </c>
      <c r="H21" s="123">
        <v>1.3038973493796997E-2</v>
      </c>
    </row>
    <row r="28" spans="2:11" x14ac:dyDescent="0.15">
      <c r="J28" s="86" t="s">
        <v>60</v>
      </c>
      <c r="K28" s="86"/>
    </row>
  </sheetData>
  <mergeCells count="1">
    <mergeCell ref="G4:H4"/>
  </mergeCells>
  <conditionalFormatting sqref="C9">
    <cfRule type="expression" dxfId="15" priority="1" stopIfTrue="1">
      <formula>OR(C7="Exponential",C7="Constant")</formula>
    </cfRule>
  </conditionalFormatting>
  <conditionalFormatting sqref="C14">
    <cfRule type="expression" dxfId="14" priority="2" stopIfTrue="1">
      <formula>OR(C12="Constant",C12="Exponential")</formula>
    </cfRule>
  </conditionalFormatting>
  <dataValidations count="3">
    <dataValidation type="whole" allowBlank="1" showInputMessage="1" showErrorMessage="1" error="The number of servers must be between 1 and 25 (inclusive)." sqref="C4" xr:uid="{00000000-0002-0000-0000-000003000000}">
      <formula1>1</formula1>
      <formula2>25</formula2>
    </dataValidation>
    <dataValidation type="whole" allowBlank="1" showInputMessage="1" showErrorMessage="1" error="The number of arrivals simulated must be an integer between 1 and 1,000,000." sqref="C17" xr:uid="{00000000-0002-0000-0000-000002000000}">
      <formula1>1</formula1>
      <formula2>1000000</formula2>
    </dataValidation>
    <dataValidation type="list" allowBlank="1" showInputMessage="1" showErrorMessage="1" sqref="C7 C12" xr:uid="{00000000-0002-0000-0000-000000000000}">
      <formula1>"Constant,Erlang,Exponential,Translated Exponential,Uniform"</formula1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17492-481E-894F-84F0-170B00E63866}">
  <sheetPr codeName="Sheet12">
    <pageSetUpPr fitToPage="1"/>
  </sheetPr>
  <dimension ref="A1:L28"/>
  <sheetViews>
    <sheetView zoomScale="144" workbookViewId="0">
      <selection activeCell="E9" sqref="E9:F9"/>
    </sheetView>
  </sheetViews>
  <sheetFormatPr baseColWidth="10" defaultColWidth="10.83203125" defaultRowHeight="12" x14ac:dyDescent="0.15"/>
  <cols>
    <col min="1" max="1" width="2.83203125" style="96" customWidth="1"/>
    <col min="2" max="2" width="21.5" style="96" bestFit="1" customWidth="1"/>
    <col min="3" max="3" width="19.6640625" style="97" bestFit="1" customWidth="1"/>
    <col min="4" max="4" width="10.83203125" style="96" customWidth="1"/>
    <col min="5" max="5" width="5.5" style="96" customWidth="1"/>
    <col min="6" max="6" width="10.83203125" style="97" customWidth="1"/>
    <col min="7" max="8" width="12.83203125" style="96" customWidth="1"/>
    <col min="9" max="9" width="10.83203125" style="96"/>
    <col min="10" max="10" width="13" style="96" customWidth="1"/>
    <col min="11" max="11" width="19.83203125" style="96" customWidth="1"/>
    <col min="12" max="16384" width="10.83203125" style="96"/>
  </cols>
  <sheetData>
    <row r="1" spans="1:12" x14ac:dyDescent="0.15">
      <c r="A1" s="95" t="s">
        <v>1</v>
      </c>
    </row>
    <row r="3" spans="1:12" ht="13" thickBot="1" x14ac:dyDescent="0.2">
      <c r="C3" s="98" t="s">
        <v>15</v>
      </c>
      <c r="F3" s="96"/>
      <c r="G3" s="95" t="s">
        <v>14</v>
      </c>
    </row>
    <row r="4" spans="1:12" x14ac:dyDescent="0.15">
      <c r="B4" s="99" t="s">
        <v>2</v>
      </c>
      <c r="C4" s="100">
        <v>1</v>
      </c>
      <c r="E4" s="101"/>
      <c r="F4" s="102" t="s">
        <v>7</v>
      </c>
      <c r="G4" s="131" t="s">
        <v>11</v>
      </c>
      <c r="H4" s="132"/>
    </row>
    <row r="5" spans="1:12" x14ac:dyDescent="0.15">
      <c r="E5" s="103"/>
      <c r="F5" s="104" t="s">
        <v>8</v>
      </c>
      <c r="G5" s="105" t="s">
        <v>9</v>
      </c>
      <c r="H5" s="106" t="s">
        <v>10</v>
      </c>
    </row>
    <row r="6" spans="1:12" x14ac:dyDescent="0.15">
      <c r="B6" s="95" t="s">
        <v>5</v>
      </c>
      <c r="E6" s="107" t="s">
        <v>12</v>
      </c>
      <c r="F6" s="108">
        <v>1.2276570304090413</v>
      </c>
      <c r="G6" s="109">
        <v>1.1430258624025815</v>
      </c>
      <c r="H6" s="110">
        <v>1.312288198415501</v>
      </c>
    </row>
    <row r="7" spans="1:12" ht="14" x14ac:dyDescent="0.2">
      <c r="B7" s="99" t="s">
        <v>4</v>
      </c>
      <c r="C7" s="100" t="s">
        <v>6</v>
      </c>
      <c r="E7" s="107" t="s">
        <v>99</v>
      </c>
      <c r="F7" s="108">
        <v>0.62371346620921564</v>
      </c>
      <c r="G7" s="109">
        <v>0.54984915361205799</v>
      </c>
      <c r="H7" s="110">
        <v>0.69757777880637328</v>
      </c>
    </row>
    <row r="8" spans="1:12" x14ac:dyDescent="0.15">
      <c r="B8" s="99" t="str">
        <f>IF(C7="Constant","Value =",IF(C7="Erlang","Mean =",IF(C7="Exponential","Mean =",IF(C7="Translated Exponential","Minimum Value =","Minimum Value ="))))</f>
        <v>Mean =</v>
      </c>
      <c r="C8" s="100">
        <v>5</v>
      </c>
      <c r="E8" s="111" t="s">
        <v>13</v>
      </c>
      <c r="F8" s="112">
        <v>6.1497203181316094</v>
      </c>
      <c r="G8" s="109">
        <v>5.8019619791835479</v>
      </c>
      <c r="H8" s="110">
        <v>6.4974786570796708</v>
      </c>
    </row>
    <row r="9" spans="1:12" ht="14" x14ac:dyDescent="0.2">
      <c r="B9" s="99" t="str">
        <f>IF(C7="Erlang","k =",IF(C7="Translated Exponential","Mean =",IF(C7="Uniform","Maximum Value =","")))</f>
        <v/>
      </c>
      <c r="C9" s="100"/>
      <c r="E9" s="111" t="s">
        <v>100</v>
      </c>
      <c r="F9" s="112">
        <v>3.1243769887108512</v>
      </c>
      <c r="G9" s="109">
        <v>2.791239867137878</v>
      </c>
      <c r="H9" s="110">
        <v>3.4575141102838245</v>
      </c>
    </row>
    <row r="10" spans="1:12" x14ac:dyDescent="0.15">
      <c r="E10" s="107"/>
      <c r="F10" s="108"/>
      <c r="G10" s="109"/>
      <c r="H10" s="110"/>
    </row>
    <row r="11" spans="1:12" ht="14" x14ac:dyDescent="0.2">
      <c r="B11" s="95" t="s">
        <v>3</v>
      </c>
      <c r="E11" s="107" t="s">
        <v>101</v>
      </c>
      <c r="F11" s="108">
        <v>0.39605643580017469</v>
      </c>
      <c r="G11" s="109">
        <v>0.38199934137659941</v>
      </c>
      <c r="H11" s="110">
        <v>0.41011353022374997</v>
      </c>
      <c r="J11" s="129" t="s">
        <v>57</v>
      </c>
      <c r="K11" s="129"/>
      <c r="L11" s="86"/>
    </row>
    <row r="12" spans="1:12" ht="15" thickBot="1" x14ac:dyDescent="0.25">
      <c r="B12" s="99" t="s">
        <v>4</v>
      </c>
      <c r="C12" s="100" t="s">
        <v>0</v>
      </c>
      <c r="E12" s="107" t="s">
        <v>102</v>
      </c>
      <c r="F12" s="108">
        <v>0.2832578001733978</v>
      </c>
      <c r="G12" s="109">
        <v>0.27509032988253934</v>
      </c>
      <c r="H12" s="110">
        <v>0.29142527046425626</v>
      </c>
    </row>
    <row r="13" spans="1:12" ht="14" x14ac:dyDescent="0.2">
      <c r="B13" s="99" t="str">
        <f>IF(C12="Constant","Value =",IF(C12="Erlang","Mean =",IF(C12="Exponential","Mean =",IF(C12="Translated Exponential","Minimum Value =","Minimum Value ="))))</f>
        <v>Minimum Value =</v>
      </c>
      <c r="C13" s="100">
        <v>0</v>
      </c>
      <c r="E13" s="107" t="s">
        <v>103</v>
      </c>
      <c r="F13" s="108">
        <v>0.16505965368195977</v>
      </c>
      <c r="G13" s="109">
        <v>0.15853920645922923</v>
      </c>
      <c r="H13" s="110">
        <v>0.17158010090469031</v>
      </c>
      <c r="J13" s="113" t="s">
        <v>58</v>
      </c>
      <c r="K13" s="114" t="s">
        <v>59</v>
      </c>
    </row>
    <row r="14" spans="1:12" ht="14" x14ac:dyDescent="0.2">
      <c r="B14" s="127" t="str">
        <f>IF(C12="Erlang","k =",IF(C12="Translated Exponential","Mean =",IF(C12="Uniform","Maximum Value =","")))</f>
        <v>Maximum Value =</v>
      </c>
      <c r="C14" s="128">
        <v>6</v>
      </c>
      <c r="E14" s="107" t="s">
        <v>104</v>
      </c>
      <c r="F14" s="108">
        <v>8.1857227989800954E-2</v>
      </c>
      <c r="G14" s="109">
        <v>7.5695609765713767E-2</v>
      </c>
      <c r="H14" s="110">
        <v>8.8018846213888141E-2</v>
      </c>
      <c r="J14" s="115">
        <v>2</v>
      </c>
      <c r="K14" s="116">
        <v>4</v>
      </c>
    </row>
    <row r="15" spans="1:12" ht="14" x14ac:dyDescent="0.2">
      <c r="E15" s="107" t="s">
        <v>105</v>
      </c>
      <c r="F15" s="108">
        <v>3.7873611901999685E-2</v>
      </c>
      <c r="G15" s="109">
        <v>3.2973589107316299E-2</v>
      </c>
      <c r="H15" s="110">
        <v>4.277363469668307E-2</v>
      </c>
      <c r="J15" s="115">
        <v>3</v>
      </c>
      <c r="K15" s="116">
        <v>3</v>
      </c>
    </row>
    <row r="16" spans="1:12" ht="15" thickBot="1" x14ac:dyDescent="0.25">
      <c r="B16" s="95" t="s">
        <v>17</v>
      </c>
      <c r="E16" s="107" t="s">
        <v>106</v>
      </c>
      <c r="F16" s="108">
        <v>1.8017241898786351E-2</v>
      </c>
      <c r="G16" s="109">
        <v>1.4049975632956339E-2</v>
      </c>
      <c r="H16" s="110">
        <v>2.1984508164616362E-2</v>
      </c>
      <c r="J16" s="117">
        <v>4</v>
      </c>
      <c r="K16" s="118">
        <v>2</v>
      </c>
    </row>
    <row r="17" spans="2:11" ht="14" x14ac:dyDescent="0.2">
      <c r="B17" s="99" t="s">
        <v>16</v>
      </c>
      <c r="C17" s="119">
        <v>10000</v>
      </c>
      <c r="E17" s="107" t="s">
        <v>107</v>
      </c>
      <c r="F17" s="108">
        <v>9.179760972752778E-3</v>
      </c>
      <c r="G17" s="109">
        <v>6.3407784088898855E-3</v>
      </c>
      <c r="H17" s="110">
        <v>1.201874353661567E-2</v>
      </c>
    </row>
    <row r="18" spans="2:11" ht="14" x14ac:dyDescent="0.2">
      <c r="E18" s="107" t="s">
        <v>108</v>
      </c>
      <c r="F18" s="108">
        <v>4.0599704553372163E-3</v>
      </c>
      <c r="G18" s="109">
        <v>2.2918019079240068E-3</v>
      </c>
      <c r="H18" s="110">
        <v>5.8281390027504262E-3</v>
      </c>
    </row>
    <row r="19" spans="2:11" ht="14" x14ac:dyDescent="0.2">
      <c r="E19" s="107" t="s">
        <v>109</v>
      </c>
      <c r="F19" s="108">
        <v>2.029592983651486E-3</v>
      </c>
      <c r="G19" s="109">
        <v>8.2919270041617002E-4</v>
      </c>
      <c r="H19" s="110">
        <v>3.2299932668868022E-3</v>
      </c>
    </row>
    <row r="20" spans="2:11" ht="14" x14ac:dyDescent="0.2">
      <c r="E20" s="107" t="s">
        <v>110</v>
      </c>
      <c r="F20" s="108">
        <v>1.030752994747566E-3</v>
      </c>
      <c r="G20" s="109">
        <v>1.0964654925021771E-4</v>
      </c>
      <c r="H20" s="110">
        <v>1.9518594402449143E-3</v>
      </c>
    </row>
    <row r="21" spans="2:11" ht="15" thickBot="1" x14ac:dyDescent="0.25">
      <c r="E21" s="120" t="s">
        <v>111</v>
      </c>
      <c r="F21" s="121">
        <v>5.0895579535303957E-4</v>
      </c>
      <c r="G21" s="122">
        <v>-1.3721223828907266E-4</v>
      </c>
      <c r="H21" s="123">
        <v>1.1551238289951517E-3</v>
      </c>
    </row>
    <row r="28" spans="2:11" x14ac:dyDescent="0.15">
      <c r="J28" s="86" t="s">
        <v>60</v>
      </c>
      <c r="K28" s="86"/>
    </row>
  </sheetData>
  <mergeCells count="1">
    <mergeCell ref="G4:H4"/>
  </mergeCells>
  <conditionalFormatting sqref="C9">
    <cfRule type="expression" dxfId="13" priority="1" stopIfTrue="1">
      <formula>OR(C7="Exponential",C7="Constant")</formula>
    </cfRule>
  </conditionalFormatting>
  <conditionalFormatting sqref="C14">
    <cfRule type="expression" dxfId="12" priority="2" stopIfTrue="1">
      <formula>OR(C12="Constant",C12="Exponential")</formula>
    </cfRule>
  </conditionalFormatting>
  <dataValidations count="3">
    <dataValidation type="list" allowBlank="1" showInputMessage="1" showErrorMessage="1" sqref="C7 C12" xr:uid="{8A172113-91DF-084B-8FA8-467962D3A225}">
      <formula1>"Constant,Erlang,Exponential,Translated Exponential,Uniform"</formula1>
    </dataValidation>
    <dataValidation type="whole" allowBlank="1" showInputMessage="1" showErrorMessage="1" error="The number of arrivals simulated must be an integer between 1 and 1,000,000." sqref="C17" xr:uid="{DBC200C2-C4BE-3148-AEE0-889645B4B409}">
      <formula1>1</formula1>
      <formula2>1000000</formula2>
    </dataValidation>
    <dataValidation type="whole" allowBlank="1" showInputMessage="1" showErrorMessage="1" error="The number of servers must be between 1 and 25 (inclusive)." sqref="C4" xr:uid="{3B7F40C3-278C-2448-9735-BDBB40ECA25E}">
      <formula1>1</formula1>
      <formula2>25</formula2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D0AE8-FB9C-1640-8BF1-8990E5279B2A}">
  <sheetPr codeName="Sheet13">
    <pageSetUpPr fitToPage="1"/>
  </sheetPr>
  <dimension ref="A1:L28"/>
  <sheetViews>
    <sheetView zoomScale="144" workbookViewId="0">
      <selection activeCell="I11" sqref="I11"/>
    </sheetView>
  </sheetViews>
  <sheetFormatPr baseColWidth="10" defaultColWidth="10.83203125" defaultRowHeight="12" x14ac:dyDescent="0.15"/>
  <cols>
    <col min="1" max="1" width="2.83203125" style="96" customWidth="1"/>
    <col min="2" max="2" width="21.5" style="96" bestFit="1" customWidth="1"/>
    <col min="3" max="3" width="19.6640625" style="97" bestFit="1" customWidth="1"/>
    <col min="4" max="4" width="10.83203125" style="96" customWidth="1"/>
    <col min="5" max="5" width="5.5" style="96" customWidth="1"/>
    <col min="6" max="6" width="10.83203125" style="97" customWidth="1"/>
    <col min="7" max="8" width="12.83203125" style="96" customWidth="1"/>
    <col min="9" max="9" width="10.83203125" style="96"/>
    <col min="10" max="10" width="13" style="96" customWidth="1"/>
    <col min="11" max="11" width="19.83203125" style="96" customWidth="1"/>
    <col min="12" max="16384" width="10.83203125" style="96"/>
  </cols>
  <sheetData>
    <row r="1" spans="1:12" x14ac:dyDescent="0.15">
      <c r="A1" s="95" t="s">
        <v>1</v>
      </c>
    </row>
    <row r="3" spans="1:12" ht="13" thickBot="1" x14ac:dyDescent="0.2">
      <c r="C3" s="98" t="s">
        <v>15</v>
      </c>
      <c r="F3" s="96"/>
      <c r="G3" s="95" t="s">
        <v>14</v>
      </c>
    </row>
    <row r="4" spans="1:12" x14ac:dyDescent="0.15">
      <c r="B4" s="99" t="s">
        <v>2</v>
      </c>
      <c r="C4" s="100">
        <v>1</v>
      </c>
      <c r="E4" s="101"/>
      <c r="F4" s="102" t="s">
        <v>7</v>
      </c>
      <c r="G4" s="131" t="s">
        <v>11</v>
      </c>
      <c r="H4" s="132"/>
    </row>
    <row r="5" spans="1:12" x14ac:dyDescent="0.15">
      <c r="E5" s="103"/>
      <c r="F5" s="104" t="s">
        <v>8</v>
      </c>
      <c r="G5" s="105" t="s">
        <v>9</v>
      </c>
      <c r="H5" s="106" t="s">
        <v>10</v>
      </c>
    </row>
    <row r="6" spans="1:12" x14ac:dyDescent="0.15">
      <c r="B6" s="95" t="s">
        <v>5</v>
      </c>
      <c r="E6" s="107" t="s">
        <v>12</v>
      </c>
      <c r="F6" s="108">
        <v>0.57026178938016969</v>
      </c>
      <c r="G6" s="109">
        <v>0.54979574792823094</v>
      </c>
      <c r="H6" s="110">
        <v>0.59072783083210845</v>
      </c>
    </row>
    <row r="7" spans="1:12" ht="14" x14ac:dyDescent="0.2">
      <c r="B7" s="99" t="s">
        <v>4</v>
      </c>
      <c r="C7" s="100" t="s">
        <v>6</v>
      </c>
      <c r="E7" s="107" t="s">
        <v>99</v>
      </c>
      <c r="F7" s="108">
        <v>0.17169883285043164</v>
      </c>
      <c r="G7" s="109">
        <v>0.1584507016495405</v>
      </c>
      <c r="H7" s="110">
        <v>0.18494696405132277</v>
      </c>
    </row>
    <row r="8" spans="1:12" x14ac:dyDescent="0.15">
      <c r="B8" s="99" t="str">
        <f>IF(C7="Constant","Value =",IF(C7="Erlang","Mean =",IF(C7="Exponential","Mean =",IF(C7="Translated Exponential","Minimum Value =","Minimum Value ="))))</f>
        <v>Mean =</v>
      </c>
      <c r="C8" s="100">
        <v>5</v>
      </c>
      <c r="E8" s="111" t="s">
        <v>13</v>
      </c>
      <c r="F8" s="112">
        <v>2.8675953797747029</v>
      </c>
      <c r="G8" s="109">
        <v>2.7996708996306996</v>
      </c>
      <c r="H8" s="110">
        <v>2.9355198599187062</v>
      </c>
    </row>
    <row r="9" spans="1:12" ht="14" x14ac:dyDescent="0.2">
      <c r="B9" s="99" t="str">
        <f>IF(C7="Erlang","k =",IF(C7="Translated Exponential","Mean =",IF(C7="Uniform","Maximum Value =","")))</f>
        <v/>
      </c>
      <c r="C9" s="100"/>
      <c r="E9" s="111" t="s">
        <v>100</v>
      </c>
      <c r="F9" s="112">
        <v>0.86339780950388922</v>
      </c>
      <c r="G9" s="109">
        <v>0.80612139863620946</v>
      </c>
      <c r="H9" s="110">
        <v>0.92067422037156899</v>
      </c>
    </row>
    <row r="10" spans="1:12" x14ac:dyDescent="0.15">
      <c r="E10" s="107"/>
      <c r="F10" s="108"/>
      <c r="G10" s="109"/>
      <c r="H10" s="110"/>
    </row>
    <row r="11" spans="1:12" ht="14" x14ac:dyDescent="0.2">
      <c r="B11" s="95" t="s">
        <v>3</v>
      </c>
      <c r="E11" s="107" t="s">
        <v>101</v>
      </c>
      <c r="F11" s="108">
        <v>0.60143704347026195</v>
      </c>
      <c r="G11" s="109">
        <v>0.59251773368463356</v>
      </c>
      <c r="H11" s="110">
        <v>0.61035635325589033</v>
      </c>
      <c r="J11" s="129" t="s">
        <v>57</v>
      </c>
      <c r="K11" s="129"/>
      <c r="L11" s="86"/>
    </row>
    <row r="12" spans="1:12" ht="15" thickBot="1" x14ac:dyDescent="0.25">
      <c r="B12" s="99" t="s">
        <v>4</v>
      </c>
      <c r="C12" s="100" t="s">
        <v>0</v>
      </c>
      <c r="E12" s="107" t="s">
        <v>102</v>
      </c>
      <c r="F12" s="108">
        <v>0.27255557760438193</v>
      </c>
      <c r="G12" s="109">
        <v>0.26710173732726528</v>
      </c>
      <c r="H12" s="110">
        <v>0.27800941788149858</v>
      </c>
    </row>
    <row r="13" spans="1:12" ht="14" x14ac:dyDescent="0.2">
      <c r="B13" s="99" t="str">
        <f>IF(C12="Constant","Value =",IF(C12="Erlang","Mean =",IF(C12="Exponential","Mean =",IF(C12="Translated Exponential","Minimum Value =","Minimum Value ="))))</f>
        <v>Minimum Value =</v>
      </c>
      <c r="C13" s="100">
        <v>0</v>
      </c>
      <c r="E13" s="107" t="s">
        <v>103</v>
      </c>
      <c r="F13" s="108">
        <v>9.1543064571557128E-2</v>
      </c>
      <c r="G13" s="109">
        <v>8.7146692308958704E-2</v>
      </c>
      <c r="H13" s="110">
        <v>9.5939436834155553E-2</v>
      </c>
      <c r="J13" s="113" t="s">
        <v>58</v>
      </c>
      <c r="K13" s="114" t="s">
        <v>59</v>
      </c>
    </row>
    <row r="14" spans="1:12" ht="14" x14ac:dyDescent="0.2">
      <c r="B14" s="127" t="str">
        <f>IF(C12="Erlang","k =",IF(C12="Translated Exponential","Mean =",IF(C12="Uniform","Maximum Value =","")))</f>
        <v>Maximum Value =</v>
      </c>
      <c r="C14" s="128">
        <v>4</v>
      </c>
      <c r="E14" s="107" t="s">
        <v>104</v>
      </c>
      <c r="F14" s="108">
        <v>2.5560660901351138E-2</v>
      </c>
      <c r="G14" s="109">
        <v>2.2845362632530279E-2</v>
      </c>
      <c r="H14" s="110">
        <v>2.8275959170171998E-2</v>
      </c>
      <c r="J14" s="115">
        <v>2</v>
      </c>
      <c r="K14" s="116">
        <v>4</v>
      </c>
    </row>
    <row r="15" spans="1:12" ht="14" x14ac:dyDescent="0.2">
      <c r="E15" s="107" t="s">
        <v>105</v>
      </c>
      <c r="F15" s="108">
        <v>6.9122956755079809E-3</v>
      </c>
      <c r="G15" s="109">
        <v>5.3090975835264724E-3</v>
      </c>
      <c r="H15" s="110">
        <v>8.5154937674894893E-3</v>
      </c>
      <c r="J15" s="115">
        <v>3</v>
      </c>
      <c r="K15" s="116">
        <v>3</v>
      </c>
    </row>
    <row r="16" spans="1:12" ht="15" thickBot="1" x14ac:dyDescent="0.25">
      <c r="B16" s="95" t="s">
        <v>17</v>
      </c>
      <c r="E16" s="107" t="s">
        <v>106</v>
      </c>
      <c r="F16" s="108">
        <v>1.6592294350512937E-3</v>
      </c>
      <c r="G16" s="109">
        <v>9.9712112416237278E-4</v>
      </c>
      <c r="H16" s="110">
        <v>2.3213377459402147E-3</v>
      </c>
      <c r="J16" s="117">
        <v>4</v>
      </c>
      <c r="K16" s="118">
        <v>2</v>
      </c>
    </row>
    <row r="17" spans="2:11" ht="14" x14ac:dyDescent="0.2">
      <c r="B17" s="99" t="s">
        <v>16</v>
      </c>
      <c r="C17" s="119">
        <v>10000</v>
      </c>
      <c r="E17" s="107" t="s">
        <v>107</v>
      </c>
      <c r="F17" s="108">
        <v>3.3212834188862299E-4</v>
      </c>
      <c r="G17" s="109">
        <v>5.2751467687623028E-5</v>
      </c>
      <c r="H17" s="110">
        <v>6.1150521608962301E-4</v>
      </c>
    </row>
    <row r="18" spans="2:11" ht="14" x14ac:dyDescent="0.2">
      <c r="E18" s="107" t="s">
        <v>108</v>
      </c>
      <c r="F18" s="108">
        <v>0</v>
      </c>
      <c r="G18" s="109">
        <v>0</v>
      </c>
      <c r="H18" s="110">
        <v>0</v>
      </c>
    </row>
    <row r="19" spans="2:11" ht="14" x14ac:dyDescent="0.2">
      <c r="E19" s="107" t="s">
        <v>109</v>
      </c>
      <c r="F19" s="108">
        <v>0</v>
      </c>
      <c r="G19" s="109">
        <v>0</v>
      </c>
      <c r="H19" s="110">
        <v>0</v>
      </c>
    </row>
    <row r="20" spans="2:11" ht="14" x14ac:dyDescent="0.2">
      <c r="E20" s="107" t="s">
        <v>110</v>
      </c>
      <c r="F20" s="108">
        <v>0</v>
      </c>
      <c r="G20" s="109">
        <v>0</v>
      </c>
      <c r="H20" s="110">
        <v>0</v>
      </c>
    </row>
    <row r="21" spans="2:11" ht="15" thickBot="1" x14ac:dyDescent="0.25">
      <c r="E21" s="120" t="s">
        <v>111</v>
      </c>
      <c r="F21" s="121">
        <v>0</v>
      </c>
      <c r="G21" s="122">
        <v>0</v>
      </c>
      <c r="H21" s="123">
        <v>0</v>
      </c>
    </row>
    <row r="28" spans="2:11" x14ac:dyDescent="0.15">
      <c r="J28" s="86" t="s">
        <v>60</v>
      </c>
      <c r="K28" s="86"/>
    </row>
  </sheetData>
  <mergeCells count="1">
    <mergeCell ref="G4:H4"/>
  </mergeCells>
  <conditionalFormatting sqref="C9">
    <cfRule type="expression" dxfId="11" priority="1" stopIfTrue="1">
      <formula>OR(C7="Exponential",C7="Constant")</formula>
    </cfRule>
  </conditionalFormatting>
  <conditionalFormatting sqref="C14">
    <cfRule type="expression" dxfId="10" priority="2" stopIfTrue="1">
      <formula>OR(C12="Constant",C12="Exponential")</formula>
    </cfRule>
  </conditionalFormatting>
  <dataValidations count="3">
    <dataValidation type="whole" allowBlank="1" showInputMessage="1" showErrorMessage="1" error="The number of servers must be between 1 and 25 (inclusive)." sqref="C4" xr:uid="{8177903C-B2DA-FD46-9097-A63DAB2AF2E3}">
      <formula1>1</formula1>
      <formula2>25</formula2>
    </dataValidation>
    <dataValidation type="whole" allowBlank="1" showInputMessage="1" showErrorMessage="1" error="The number of arrivals simulated must be an integer between 1 and 1,000,000." sqref="C17" xr:uid="{455A4608-5B8A-954F-8EE9-B3D5E4C70673}">
      <formula1>1</formula1>
      <formula2>1000000</formula2>
    </dataValidation>
    <dataValidation type="list" allowBlank="1" showInputMessage="1" showErrorMessage="1" sqref="C7 C12" xr:uid="{1C8DB39D-375C-9146-B3E7-F61C5C99AC50}">
      <formula1>"Constant,Erlang,Exponential,Translated Exponential,Uniform"</formula1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N510"/>
  <sheetViews>
    <sheetView zoomScale="188" zoomScaleNormal="302" workbookViewId="0">
      <selection activeCell="F5" sqref="F5"/>
    </sheetView>
  </sheetViews>
  <sheetFormatPr baseColWidth="10" defaultColWidth="10.83203125" defaultRowHeight="13" x14ac:dyDescent="0.2"/>
  <cols>
    <col min="1" max="1" width="10.33203125" style="9" customWidth="1"/>
    <col min="2" max="2" width="14.5" style="9" customWidth="1"/>
    <col min="3" max="4" width="10.33203125" style="9" customWidth="1"/>
    <col min="5" max="5" width="16" style="9" bestFit="1" customWidth="1"/>
    <col min="6" max="8" width="10.33203125" style="9" customWidth="1"/>
    <col min="9" max="9" width="3.6640625" style="8" customWidth="1"/>
    <col min="10" max="10" width="21.33203125" style="8" bestFit="1" customWidth="1"/>
    <col min="11" max="11" width="3.1640625" style="8" customWidth="1"/>
    <col min="12" max="12" width="21.1640625" style="8" customWidth="1"/>
    <col min="13" max="13" width="3.1640625" customWidth="1"/>
    <col min="14" max="14" width="27.1640625" style="8" bestFit="1" customWidth="1"/>
    <col min="15" max="16384" width="10.83203125" style="8"/>
  </cols>
  <sheetData>
    <row r="1" spans="1:12" x14ac:dyDescent="0.2">
      <c r="B1" s="13" t="s">
        <v>44</v>
      </c>
      <c r="C1" s="30">
        <v>10</v>
      </c>
      <c r="D1" s="31" t="s">
        <v>45</v>
      </c>
      <c r="E1" s="124" t="s">
        <v>64</v>
      </c>
      <c r="F1" s="130"/>
      <c r="K1"/>
      <c r="L1"/>
    </row>
    <row r="2" spans="1:12" x14ac:dyDescent="0.2">
      <c r="B2" s="13" t="s">
        <v>46</v>
      </c>
      <c r="C2" s="30">
        <v>20</v>
      </c>
      <c r="D2" s="31" t="s">
        <v>45</v>
      </c>
      <c r="E2" s="43" t="s">
        <v>62</v>
      </c>
      <c r="F2" s="130"/>
    </row>
    <row r="3" spans="1:12" x14ac:dyDescent="0.2">
      <c r="B3" s="13" t="s">
        <v>32</v>
      </c>
      <c r="C3" s="37">
        <v>10</v>
      </c>
      <c r="D3" s="31" t="s">
        <v>45</v>
      </c>
      <c r="E3" s="43" t="s">
        <v>120</v>
      </c>
      <c r="F3" s="130"/>
    </row>
    <row r="4" spans="1:12" ht="14" thickBot="1" x14ac:dyDescent="0.25"/>
    <row r="5" spans="1:12" x14ac:dyDescent="0.2">
      <c r="C5" s="13" t="s">
        <v>33</v>
      </c>
      <c r="D5" s="38">
        <f ca="1">AVERAGE(G11:G110)</f>
        <v>7.0024478298098884</v>
      </c>
      <c r="E5" s="31" t="s">
        <v>45</v>
      </c>
    </row>
    <row r="6" spans="1:12" ht="14" thickBot="1" x14ac:dyDescent="0.25">
      <c r="C6" s="13" t="s">
        <v>34</v>
      </c>
      <c r="D6" s="39">
        <f ca="1">AVERAGE(H11:H110)</f>
        <v>16.191990281855045</v>
      </c>
      <c r="E6" s="31" t="s">
        <v>45</v>
      </c>
    </row>
    <row r="8" spans="1:12" x14ac:dyDescent="0.2">
      <c r="A8" s="33"/>
      <c r="B8" s="9" t="s">
        <v>36</v>
      </c>
      <c r="C8" s="9" t="s">
        <v>28</v>
      </c>
      <c r="D8" s="9" t="s">
        <v>28</v>
      </c>
      <c r="E8" s="9" t="s">
        <v>27</v>
      </c>
      <c r="F8" s="33" t="s">
        <v>28</v>
      </c>
      <c r="G8" s="9" t="s">
        <v>28</v>
      </c>
      <c r="H8" s="9" t="s">
        <v>28</v>
      </c>
    </row>
    <row r="9" spans="1:12" x14ac:dyDescent="0.2">
      <c r="A9" s="33" t="s">
        <v>35</v>
      </c>
      <c r="B9" s="9" t="s">
        <v>28</v>
      </c>
      <c r="C9" s="9" t="s">
        <v>37</v>
      </c>
      <c r="D9" s="9" t="s">
        <v>27</v>
      </c>
      <c r="E9" s="9" t="s">
        <v>28</v>
      </c>
      <c r="F9" s="33" t="s">
        <v>27</v>
      </c>
      <c r="G9" s="9" t="s">
        <v>38</v>
      </c>
      <c r="H9" s="9" t="s">
        <v>38</v>
      </c>
    </row>
    <row r="10" spans="1:12" ht="14" thickBot="1" x14ac:dyDescent="0.25">
      <c r="A10" s="12" t="s">
        <v>39</v>
      </c>
      <c r="B10" s="34" t="s">
        <v>98</v>
      </c>
      <c r="C10" s="12" t="s">
        <v>39</v>
      </c>
      <c r="D10" s="12" t="s">
        <v>40</v>
      </c>
      <c r="E10" s="12" t="s">
        <v>97</v>
      </c>
      <c r="F10" s="35" t="s">
        <v>41</v>
      </c>
      <c r="G10" s="12" t="s">
        <v>42</v>
      </c>
      <c r="H10" s="12" t="s">
        <v>43</v>
      </c>
    </row>
    <row r="11" spans="1:12" x14ac:dyDescent="0.2">
      <c r="A11" s="9">
        <v>1</v>
      </c>
      <c r="B11" s="40">
        <f t="shared" ref="B11:B42" ca="1" si="0">$C$1+($C$2-$C$1)*RAND()</f>
        <v>14.887823936019776</v>
      </c>
      <c r="C11" s="41">
        <f ca="1">B11</f>
        <v>14.887823936019776</v>
      </c>
      <c r="D11" s="41">
        <f ca="1">C11</f>
        <v>14.887823936019776</v>
      </c>
      <c r="E11" s="41">
        <f t="shared" ref="E11:E42" ca="1" si="1">-$C$3*LN(RAND())</f>
        <v>10.115507778258694</v>
      </c>
      <c r="F11" s="42">
        <f t="shared" ref="F11:F42" ca="1" si="2">D11+E11</f>
        <v>25.00333171427847</v>
      </c>
      <c r="G11" s="41">
        <f t="shared" ref="G11:G42" ca="1" si="3">D11-C11</f>
        <v>0</v>
      </c>
      <c r="H11" s="41">
        <f t="shared" ref="H11:H42" ca="1" si="4">F11-C11</f>
        <v>10.115507778258694</v>
      </c>
    </row>
    <row r="12" spans="1:12" x14ac:dyDescent="0.2">
      <c r="A12" s="9">
        <v>2</v>
      </c>
      <c r="B12" s="40">
        <f t="shared" ca="1" si="0"/>
        <v>12.94589554951347</v>
      </c>
      <c r="C12" s="41">
        <f t="shared" ref="C12:C43" ca="1" si="5">C11+B12</f>
        <v>27.833719485533244</v>
      </c>
      <c r="D12" s="41">
        <f t="shared" ref="D12:D43" ca="1" si="6">MAX(F11,C12)</f>
        <v>27.833719485533244</v>
      </c>
      <c r="E12" s="41">
        <f t="shared" ca="1" si="1"/>
        <v>12.412269931185993</v>
      </c>
      <c r="F12" s="42">
        <f t="shared" ca="1" si="2"/>
        <v>40.24598941671924</v>
      </c>
      <c r="G12" s="41">
        <f t="shared" ca="1" si="3"/>
        <v>0</v>
      </c>
      <c r="H12" s="41">
        <f t="shared" ca="1" si="4"/>
        <v>12.412269931185996</v>
      </c>
    </row>
    <row r="13" spans="1:12" x14ac:dyDescent="0.2">
      <c r="A13" s="9">
        <v>3</v>
      </c>
      <c r="B13" s="40">
        <f t="shared" ca="1" si="0"/>
        <v>16.102897219299884</v>
      </c>
      <c r="C13" s="41">
        <f t="shared" ca="1" si="5"/>
        <v>43.936616704833128</v>
      </c>
      <c r="D13" s="41">
        <f t="shared" ca="1" si="6"/>
        <v>43.936616704833128</v>
      </c>
      <c r="E13" s="41">
        <f t="shared" ca="1" si="1"/>
        <v>7.7579459533116646</v>
      </c>
      <c r="F13" s="42">
        <f t="shared" ca="1" si="2"/>
        <v>51.69456265814479</v>
      </c>
      <c r="G13" s="41">
        <f t="shared" ca="1" si="3"/>
        <v>0</v>
      </c>
      <c r="H13" s="41">
        <f t="shared" ca="1" si="4"/>
        <v>7.7579459533116619</v>
      </c>
    </row>
    <row r="14" spans="1:12" x14ac:dyDescent="0.2">
      <c r="A14" s="9">
        <v>4</v>
      </c>
      <c r="B14" s="40">
        <f t="shared" ca="1" si="0"/>
        <v>19.489115400806025</v>
      </c>
      <c r="C14" s="41">
        <f t="shared" ca="1" si="5"/>
        <v>63.425732105639156</v>
      </c>
      <c r="D14" s="41">
        <f t="shared" ca="1" si="6"/>
        <v>63.425732105639156</v>
      </c>
      <c r="E14" s="41">
        <f t="shared" ca="1" si="1"/>
        <v>5.045528671144714</v>
      </c>
      <c r="F14" s="42">
        <f t="shared" ca="1" si="2"/>
        <v>68.471260776783865</v>
      </c>
      <c r="G14" s="41">
        <f t="shared" ca="1" si="3"/>
        <v>0</v>
      </c>
      <c r="H14" s="41">
        <f t="shared" ca="1" si="4"/>
        <v>5.0455286711447087</v>
      </c>
    </row>
    <row r="15" spans="1:12" x14ac:dyDescent="0.2">
      <c r="A15" s="9">
        <v>5</v>
      </c>
      <c r="B15" s="40">
        <f t="shared" ca="1" si="0"/>
        <v>14.387860470465357</v>
      </c>
      <c r="C15" s="41">
        <f t="shared" ca="1" si="5"/>
        <v>77.813592576104512</v>
      </c>
      <c r="D15" s="41">
        <f t="shared" ca="1" si="6"/>
        <v>77.813592576104512</v>
      </c>
      <c r="E15" s="41">
        <f t="shared" ca="1" si="1"/>
        <v>17.672434651663661</v>
      </c>
      <c r="F15" s="42">
        <f t="shared" ca="1" si="2"/>
        <v>95.486027227768176</v>
      </c>
      <c r="G15" s="41">
        <f t="shared" ca="1" si="3"/>
        <v>0</v>
      </c>
      <c r="H15" s="41">
        <f t="shared" ca="1" si="4"/>
        <v>17.672434651663664</v>
      </c>
      <c r="J15"/>
    </row>
    <row r="16" spans="1:12" x14ac:dyDescent="0.2">
      <c r="A16" s="9">
        <v>6</v>
      </c>
      <c r="B16" s="40">
        <f t="shared" ca="1" si="0"/>
        <v>16.645870755877226</v>
      </c>
      <c r="C16" s="41">
        <f t="shared" ca="1" si="5"/>
        <v>94.459463331981738</v>
      </c>
      <c r="D16" s="41">
        <f t="shared" ca="1" si="6"/>
        <v>95.486027227768176</v>
      </c>
      <c r="E16" s="41">
        <f t="shared" ca="1" si="1"/>
        <v>11.083940453087926</v>
      </c>
      <c r="F16" s="42">
        <f t="shared" ca="1" si="2"/>
        <v>106.56996768085611</v>
      </c>
      <c r="G16" s="41">
        <f t="shared" ca="1" si="3"/>
        <v>1.0265638957864383</v>
      </c>
      <c r="H16" s="41">
        <f t="shared" ca="1" si="4"/>
        <v>12.110504348874372</v>
      </c>
    </row>
    <row r="17" spans="1:8" x14ac:dyDescent="0.2">
      <c r="A17" s="9">
        <v>7</v>
      </c>
      <c r="B17" s="40">
        <f t="shared" ca="1" si="0"/>
        <v>13.622877094857131</v>
      </c>
      <c r="C17" s="41">
        <f t="shared" ca="1" si="5"/>
        <v>108.08234042683887</v>
      </c>
      <c r="D17" s="41">
        <f t="shared" ca="1" si="6"/>
        <v>108.08234042683887</v>
      </c>
      <c r="E17" s="41">
        <f t="shared" ca="1" si="1"/>
        <v>6.2862107093150428</v>
      </c>
      <c r="F17" s="42">
        <f t="shared" ca="1" si="2"/>
        <v>114.36855113615391</v>
      </c>
      <c r="G17" s="41">
        <f t="shared" ca="1" si="3"/>
        <v>0</v>
      </c>
      <c r="H17" s="41">
        <f t="shared" ca="1" si="4"/>
        <v>6.2862107093150428</v>
      </c>
    </row>
    <row r="18" spans="1:8" x14ac:dyDescent="0.2">
      <c r="A18" s="9">
        <v>8</v>
      </c>
      <c r="B18" s="40">
        <f t="shared" ca="1" si="0"/>
        <v>12.458164087020057</v>
      </c>
      <c r="C18" s="41">
        <f t="shared" ca="1" si="5"/>
        <v>120.54050451385892</v>
      </c>
      <c r="D18" s="41">
        <f t="shared" ca="1" si="6"/>
        <v>120.54050451385892</v>
      </c>
      <c r="E18" s="41">
        <f t="shared" ca="1" si="1"/>
        <v>17.055384996268771</v>
      </c>
      <c r="F18" s="42">
        <f t="shared" ca="1" si="2"/>
        <v>137.59588951012768</v>
      </c>
      <c r="G18" s="41">
        <f t="shared" ca="1" si="3"/>
        <v>0</v>
      </c>
      <c r="H18" s="41">
        <f t="shared" ca="1" si="4"/>
        <v>17.055384996268756</v>
      </c>
    </row>
    <row r="19" spans="1:8" x14ac:dyDescent="0.2">
      <c r="A19" s="9">
        <v>9</v>
      </c>
      <c r="B19" s="40">
        <f t="shared" ca="1" si="0"/>
        <v>11.021513944222043</v>
      </c>
      <c r="C19" s="41">
        <f t="shared" ca="1" si="5"/>
        <v>131.56201845808096</v>
      </c>
      <c r="D19" s="41">
        <f t="shared" ca="1" si="6"/>
        <v>137.59588951012768</v>
      </c>
      <c r="E19" s="41">
        <f t="shared" ca="1" si="1"/>
        <v>18.144607820114832</v>
      </c>
      <c r="F19" s="42">
        <f t="shared" ca="1" si="2"/>
        <v>155.7404973302425</v>
      </c>
      <c r="G19" s="41">
        <f t="shared" ca="1" si="3"/>
        <v>6.0338710520467203</v>
      </c>
      <c r="H19" s="41">
        <f t="shared" ca="1" si="4"/>
        <v>24.178478872161548</v>
      </c>
    </row>
    <row r="20" spans="1:8" x14ac:dyDescent="0.2">
      <c r="A20" s="9">
        <v>10</v>
      </c>
      <c r="B20" s="40">
        <f t="shared" ca="1" si="0"/>
        <v>14.842847596002542</v>
      </c>
      <c r="C20" s="41">
        <f t="shared" ca="1" si="5"/>
        <v>146.4048660540835</v>
      </c>
      <c r="D20" s="41">
        <f t="shared" ca="1" si="6"/>
        <v>155.7404973302425</v>
      </c>
      <c r="E20" s="41">
        <f t="shared" ca="1" si="1"/>
        <v>2.3028289643408533</v>
      </c>
      <c r="F20" s="42">
        <f t="shared" ca="1" si="2"/>
        <v>158.04332629458335</v>
      </c>
      <c r="G20" s="41">
        <f t="shared" ca="1" si="3"/>
        <v>9.3356312761590061</v>
      </c>
      <c r="H20" s="41">
        <f t="shared" ca="1" si="4"/>
        <v>11.638460240499853</v>
      </c>
    </row>
    <row r="21" spans="1:8" x14ac:dyDescent="0.2">
      <c r="A21" s="9">
        <v>11</v>
      </c>
      <c r="B21" s="40">
        <f t="shared" ca="1" si="0"/>
        <v>14.589737364535704</v>
      </c>
      <c r="C21" s="41">
        <f t="shared" ca="1" si="5"/>
        <v>160.99460341861919</v>
      </c>
      <c r="D21" s="41">
        <f t="shared" ca="1" si="6"/>
        <v>160.99460341861919</v>
      </c>
      <c r="E21" s="41">
        <f t="shared" ca="1" si="1"/>
        <v>13.658098195942596</v>
      </c>
      <c r="F21" s="42">
        <f t="shared" ca="1" si="2"/>
        <v>174.65270161456178</v>
      </c>
      <c r="G21" s="41">
        <f t="shared" ca="1" si="3"/>
        <v>0</v>
      </c>
      <c r="H21" s="41">
        <f t="shared" ca="1" si="4"/>
        <v>13.658098195942586</v>
      </c>
    </row>
    <row r="22" spans="1:8" x14ac:dyDescent="0.2">
      <c r="A22" s="9">
        <v>12</v>
      </c>
      <c r="B22" s="40">
        <f t="shared" ca="1" si="0"/>
        <v>17.4504429741034</v>
      </c>
      <c r="C22" s="41">
        <f t="shared" ca="1" si="5"/>
        <v>178.44504639272259</v>
      </c>
      <c r="D22" s="41">
        <f t="shared" ca="1" si="6"/>
        <v>178.44504639272259</v>
      </c>
      <c r="E22" s="41">
        <f t="shared" ca="1" si="1"/>
        <v>6.6142379389463679</v>
      </c>
      <c r="F22" s="42">
        <f t="shared" ca="1" si="2"/>
        <v>185.05928433166895</v>
      </c>
      <c r="G22" s="41">
        <f t="shared" ca="1" si="3"/>
        <v>0</v>
      </c>
      <c r="H22" s="41">
        <f t="shared" ca="1" si="4"/>
        <v>6.6142379389463599</v>
      </c>
    </row>
    <row r="23" spans="1:8" x14ac:dyDescent="0.2">
      <c r="A23" s="9">
        <v>13</v>
      </c>
      <c r="B23" s="40">
        <f t="shared" ca="1" si="0"/>
        <v>10.588955649320237</v>
      </c>
      <c r="C23" s="41">
        <f t="shared" ca="1" si="5"/>
        <v>189.03400204204283</v>
      </c>
      <c r="D23" s="41">
        <f t="shared" ca="1" si="6"/>
        <v>189.03400204204283</v>
      </c>
      <c r="E23" s="41">
        <f t="shared" ca="1" si="1"/>
        <v>5.938512863118274</v>
      </c>
      <c r="F23" s="42">
        <f t="shared" ca="1" si="2"/>
        <v>194.97251490516109</v>
      </c>
      <c r="G23" s="41">
        <f t="shared" ca="1" si="3"/>
        <v>0</v>
      </c>
      <c r="H23" s="41">
        <f t="shared" ca="1" si="4"/>
        <v>5.9385128631182624</v>
      </c>
    </row>
    <row r="24" spans="1:8" x14ac:dyDescent="0.2">
      <c r="A24" s="9">
        <v>14</v>
      </c>
      <c r="B24" s="40">
        <f t="shared" ca="1" si="0"/>
        <v>11.29049746725463</v>
      </c>
      <c r="C24" s="41">
        <f t="shared" ca="1" si="5"/>
        <v>200.32449950929745</v>
      </c>
      <c r="D24" s="41">
        <f t="shared" ca="1" si="6"/>
        <v>200.32449950929745</v>
      </c>
      <c r="E24" s="41">
        <f t="shared" ca="1" si="1"/>
        <v>7.4252034076218969</v>
      </c>
      <c r="F24" s="42">
        <f t="shared" ca="1" si="2"/>
        <v>207.74970291691935</v>
      </c>
      <c r="G24" s="41">
        <f t="shared" ca="1" si="3"/>
        <v>0</v>
      </c>
      <c r="H24" s="41">
        <f t="shared" ca="1" si="4"/>
        <v>7.4252034076218933</v>
      </c>
    </row>
    <row r="25" spans="1:8" x14ac:dyDescent="0.2">
      <c r="A25" s="9">
        <v>15</v>
      </c>
      <c r="B25" s="40">
        <f t="shared" ca="1" si="0"/>
        <v>12.546312998520431</v>
      </c>
      <c r="C25" s="41">
        <f t="shared" ca="1" si="5"/>
        <v>212.87081250781787</v>
      </c>
      <c r="D25" s="41">
        <f t="shared" ca="1" si="6"/>
        <v>212.87081250781787</v>
      </c>
      <c r="E25" s="41">
        <f t="shared" ca="1" si="1"/>
        <v>10.708428357865003</v>
      </c>
      <c r="F25" s="42">
        <f t="shared" ca="1" si="2"/>
        <v>223.57924086568289</v>
      </c>
      <c r="G25" s="41">
        <f t="shared" ca="1" si="3"/>
        <v>0</v>
      </c>
      <c r="H25" s="41">
        <f t="shared" ca="1" si="4"/>
        <v>10.708428357865017</v>
      </c>
    </row>
    <row r="26" spans="1:8" x14ac:dyDescent="0.2">
      <c r="A26" s="9">
        <v>16</v>
      </c>
      <c r="B26" s="40">
        <f t="shared" ca="1" si="0"/>
        <v>12.208997507413944</v>
      </c>
      <c r="C26" s="41">
        <f t="shared" ca="1" si="5"/>
        <v>225.07981001523183</v>
      </c>
      <c r="D26" s="41">
        <f t="shared" ca="1" si="6"/>
        <v>225.07981001523183</v>
      </c>
      <c r="E26" s="41">
        <f t="shared" ca="1" si="1"/>
        <v>11.675367112922522</v>
      </c>
      <c r="F26" s="42">
        <f t="shared" ca="1" si="2"/>
        <v>236.75517712815434</v>
      </c>
      <c r="G26" s="41">
        <f t="shared" ca="1" si="3"/>
        <v>0</v>
      </c>
      <c r="H26" s="41">
        <f t="shared" ca="1" si="4"/>
        <v>11.675367112922515</v>
      </c>
    </row>
    <row r="27" spans="1:8" x14ac:dyDescent="0.2">
      <c r="A27" s="9">
        <v>17</v>
      </c>
      <c r="B27" s="40">
        <f t="shared" ca="1" si="0"/>
        <v>11.756767304378558</v>
      </c>
      <c r="C27" s="41">
        <f t="shared" ca="1" si="5"/>
        <v>236.8365773196104</v>
      </c>
      <c r="D27" s="41">
        <f t="shared" ca="1" si="6"/>
        <v>236.8365773196104</v>
      </c>
      <c r="E27" s="41">
        <f t="shared" ca="1" si="1"/>
        <v>1.5121405869277462</v>
      </c>
      <c r="F27" s="42">
        <f t="shared" ca="1" si="2"/>
        <v>238.34871790653816</v>
      </c>
      <c r="G27" s="41">
        <f t="shared" ca="1" si="3"/>
        <v>0</v>
      </c>
      <c r="H27" s="41">
        <f t="shared" ca="1" si="4"/>
        <v>1.5121405869277567</v>
      </c>
    </row>
    <row r="28" spans="1:8" x14ac:dyDescent="0.2">
      <c r="A28" s="9">
        <v>18</v>
      </c>
      <c r="B28" s="40">
        <f t="shared" ca="1" si="0"/>
        <v>10.389713846447542</v>
      </c>
      <c r="C28" s="41">
        <f t="shared" ca="1" si="5"/>
        <v>247.22629116605793</v>
      </c>
      <c r="D28" s="41">
        <f t="shared" ca="1" si="6"/>
        <v>247.22629116605793</v>
      </c>
      <c r="E28" s="41">
        <f t="shared" ca="1" si="1"/>
        <v>2.9608769755775293</v>
      </c>
      <c r="F28" s="42">
        <f t="shared" ca="1" si="2"/>
        <v>250.18716814163545</v>
      </c>
      <c r="G28" s="41">
        <f t="shared" ca="1" si="3"/>
        <v>0</v>
      </c>
      <c r="H28" s="41">
        <f t="shared" ca="1" si="4"/>
        <v>2.9608769755775199</v>
      </c>
    </row>
    <row r="29" spans="1:8" x14ac:dyDescent="0.2">
      <c r="A29" s="9">
        <v>19</v>
      </c>
      <c r="B29" s="40">
        <f t="shared" ca="1" si="0"/>
        <v>16.574318862200304</v>
      </c>
      <c r="C29" s="41">
        <f t="shared" ca="1" si="5"/>
        <v>263.80061002825823</v>
      </c>
      <c r="D29" s="41">
        <f t="shared" ca="1" si="6"/>
        <v>263.80061002825823</v>
      </c>
      <c r="E29" s="41">
        <f t="shared" ca="1" si="1"/>
        <v>1.0198449078316565</v>
      </c>
      <c r="F29" s="42">
        <f t="shared" ca="1" si="2"/>
        <v>264.8204549360899</v>
      </c>
      <c r="G29" s="41">
        <f t="shared" ca="1" si="3"/>
        <v>0</v>
      </c>
      <c r="H29" s="41">
        <f t="shared" ca="1" si="4"/>
        <v>1.0198449078316685</v>
      </c>
    </row>
    <row r="30" spans="1:8" x14ac:dyDescent="0.2">
      <c r="A30" s="9">
        <v>20</v>
      </c>
      <c r="B30" s="40">
        <f t="shared" ca="1" si="0"/>
        <v>10.756641813743803</v>
      </c>
      <c r="C30" s="41">
        <f t="shared" ca="1" si="5"/>
        <v>274.55725184200202</v>
      </c>
      <c r="D30" s="41">
        <f t="shared" ca="1" si="6"/>
        <v>274.55725184200202</v>
      </c>
      <c r="E30" s="41">
        <f t="shared" ca="1" si="1"/>
        <v>24.772045246539122</v>
      </c>
      <c r="F30" s="42">
        <f t="shared" ca="1" si="2"/>
        <v>299.32929708854113</v>
      </c>
      <c r="G30" s="41">
        <f t="shared" ca="1" si="3"/>
        <v>0</v>
      </c>
      <c r="H30" s="41">
        <f t="shared" ca="1" si="4"/>
        <v>24.772045246539108</v>
      </c>
    </row>
    <row r="31" spans="1:8" x14ac:dyDescent="0.2">
      <c r="A31" s="9">
        <v>21</v>
      </c>
      <c r="B31" s="40">
        <f t="shared" ca="1" si="0"/>
        <v>18.106877315374128</v>
      </c>
      <c r="C31" s="41">
        <f t="shared" ca="1" si="5"/>
        <v>292.66412915737612</v>
      </c>
      <c r="D31" s="41">
        <f t="shared" ca="1" si="6"/>
        <v>299.32929708854113</v>
      </c>
      <c r="E31" s="41">
        <f t="shared" ca="1" si="1"/>
        <v>5.4156936831711464</v>
      </c>
      <c r="F31" s="42">
        <f t="shared" ca="1" si="2"/>
        <v>304.74499077171225</v>
      </c>
      <c r="G31" s="41">
        <f t="shared" ca="1" si="3"/>
        <v>6.6651679311650014</v>
      </c>
      <c r="H31" s="41">
        <f t="shared" ca="1" si="4"/>
        <v>12.080861614336129</v>
      </c>
    </row>
    <row r="32" spans="1:8" x14ac:dyDescent="0.2">
      <c r="A32" s="9">
        <v>22</v>
      </c>
      <c r="B32" s="40">
        <f t="shared" ca="1" si="0"/>
        <v>12.185589738203308</v>
      </c>
      <c r="C32" s="41">
        <f t="shared" ca="1" si="5"/>
        <v>304.84971889557943</v>
      </c>
      <c r="D32" s="41">
        <f t="shared" ca="1" si="6"/>
        <v>304.84971889557943</v>
      </c>
      <c r="E32" s="41">
        <f t="shared" ca="1" si="1"/>
        <v>76.619974647637932</v>
      </c>
      <c r="F32" s="42">
        <f t="shared" ca="1" si="2"/>
        <v>381.46969354321737</v>
      </c>
      <c r="G32" s="41">
        <f t="shared" ca="1" si="3"/>
        <v>0</v>
      </c>
      <c r="H32" s="41">
        <f t="shared" ca="1" si="4"/>
        <v>76.619974647637946</v>
      </c>
    </row>
    <row r="33" spans="1:8" x14ac:dyDescent="0.2">
      <c r="A33" s="9">
        <v>23</v>
      </c>
      <c r="B33" s="40">
        <f t="shared" ca="1" si="0"/>
        <v>10.144738203467881</v>
      </c>
      <c r="C33" s="41">
        <f t="shared" ca="1" si="5"/>
        <v>314.99445709904728</v>
      </c>
      <c r="D33" s="41">
        <f t="shared" ca="1" si="6"/>
        <v>381.46969354321737</v>
      </c>
      <c r="E33" s="41">
        <f t="shared" ca="1" si="1"/>
        <v>4.3208616458869864</v>
      </c>
      <c r="F33" s="42">
        <f t="shared" ca="1" si="2"/>
        <v>385.79055518910434</v>
      </c>
      <c r="G33" s="41">
        <f t="shared" ca="1" si="3"/>
        <v>66.475236444170093</v>
      </c>
      <c r="H33" s="41">
        <f t="shared" ca="1" si="4"/>
        <v>70.796098090057058</v>
      </c>
    </row>
    <row r="34" spans="1:8" x14ac:dyDescent="0.2">
      <c r="A34" s="9">
        <v>24</v>
      </c>
      <c r="B34" s="40">
        <f t="shared" ca="1" si="0"/>
        <v>13.724886985868222</v>
      </c>
      <c r="C34" s="41">
        <f t="shared" ca="1" si="5"/>
        <v>328.71934408491552</v>
      </c>
      <c r="D34" s="41">
        <f t="shared" ca="1" si="6"/>
        <v>385.79055518910434</v>
      </c>
      <c r="E34" s="41">
        <f t="shared" ca="1" si="1"/>
        <v>18.107456445669278</v>
      </c>
      <c r="F34" s="42">
        <f t="shared" ca="1" si="2"/>
        <v>403.89801163477364</v>
      </c>
      <c r="G34" s="41">
        <f t="shared" ca="1" si="3"/>
        <v>57.071211104188819</v>
      </c>
      <c r="H34" s="41">
        <f t="shared" ca="1" si="4"/>
        <v>75.178667549858119</v>
      </c>
    </row>
    <row r="35" spans="1:8" x14ac:dyDescent="0.2">
      <c r="A35" s="9">
        <v>25</v>
      </c>
      <c r="B35" s="40">
        <f t="shared" ca="1" si="0"/>
        <v>18.705483252377949</v>
      </c>
      <c r="C35" s="41">
        <f t="shared" ca="1" si="5"/>
        <v>347.42482733729349</v>
      </c>
      <c r="D35" s="41">
        <f t="shared" ca="1" si="6"/>
        <v>403.89801163477364</v>
      </c>
      <c r="E35" s="41">
        <f t="shared" ca="1" si="1"/>
        <v>10.473423448091403</v>
      </c>
      <c r="F35" s="42">
        <f t="shared" ca="1" si="2"/>
        <v>414.37143508286505</v>
      </c>
      <c r="G35" s="41">
        <f t="shared" ca="1" si="3"/>
        <v>56.473184297480145</v>
      </c>
      <c r="H35" s="41">
        <f t="shared" ca="1" si="4"/>
        <v>66.946607745571555</v>
      </c>
    </row>
    <row r="36" spans="1:8" x14ac:dyDescent="0.2">
      <c r="A36" s="9">
        <v>26</v>
      </c>
      <c r="B36" s="40">
        <f t="shared" ca="1" si="0"/>
        <v>14.417800536963556</v>
      </c>
      <c r="C36" s="41">
        <f t="shared" ca="1" si="5"/>
        <v>361.84262787425706</v>
      </c>
      <c r="D36" s="41">
        <f t="shared" ca="1" si="6"/>
        <v>414.37143508286505</v>
      </c>
      <c r="E36" s="41">
        <f t="shared" ca="1" si="1"/>
        <v>19.809192588558197</v>
      </c>
      <c r="F36" s="42">
        <f t="shared" ca="1" si="2"/>
        <v>434.18062767142322</v>
      </c>
      <c r="G36" s="41">
        <f t="shared" ca="1" si="3"/>
        <v>52.528807208607986</v>
      </c>
      <c r="H36" s="41">
        <f t="shared" ca="1" si="4"/>
        <v>72.337999797166162</v>
      </c>
    </row>
    <row r="37" spans="1:8" x14ac:dyDescent="0.2">
      <c r="A37" s="9">
        <v>27</v>
      </c>
      <c r="B37" s="40">
        <f t="shared" ca="1" si="0"/>
        <v>11.406164990144926</v>
      </c>
      <c r="C37" s="41">
        <f t="shared" ca="1" si="5"/>
        <v>373.24879286440199</v>
      </c>
      <c r="D37" s="41">
        <f t="shared" ca="1" si="6"/>
        <v>434.18062767142322</v>
      </c>
      <c r="E37" s="41">
        <f t="shared" ca="1" si="1"/>
        <v>8.1472749321838442</v>
      </c>
      <c r="F37" s="42">
        <f t="shared" ca="1" si="2"/>
        <v>442.32790260360707</v>
      </c>
      <c r="G37" s="41">
        <f t="shared" ca="1" si="3"/>
        <v>60.931834807021232</v>
      </c>
      <c r="H37" s="41">
        <f t="shared" ca="1" si="4"/>
        <v>69.07910973920508</v>
      </c>
    </row>
    <row r="38" spans="1:8" x14ac:dyDescent="0.2">
      <c r="A38" s="9">
        <v>28</v>
      </c>
      <c r="B38" s="40">
        <f t="shared" ca="1" si="0"/>
        <v>18.016416247096053</v>
      </c>
      <c r="C38" s="41">
        <f t="shared" ca="1" si="5"/>
        <v>391.26520911149805</v>
      </c>
      <c r="D38" s="41">
        <f t="shared" ca="1" si="6"/>
        <v>442.32790260360707</v>
      </c>
      <c r="E38" s="41">
        <f t="shared" ca="1" si="1"/>
        <v>17.885738600860634</v>
      </c>
      <c r="F38" s="42">
        <f t="shared" ca="1" si="2"/>
        <v>460.21364120446771</v>
      </c>
      <c r="G38" s="41">
        <f t="shared" ca="1" si="3"/>
        <v>51.06269349210902</v>
      </c>
      <c r="H38" s="41">
        <f t="shared" ca="1" si="4"/>
        <v>68.948432092969654</v>
      </c>
    </row>
    <row r="39" spans="1:8" x14ac:dyDescent="0.2">
      <c r="A39" s="9">
        <v>29</v>
      </c>
      <c r="B39" s="40">
        <f t="shared" ca="1" si="0"/>
        <v>14.795050365304373</v>
      </c>
      <c r="C39" s="41">
        <f t="shared" ca="1" si="5"/>
        <v>406.0602594768024</v>
      </c>
      <c r="D39" s="41">
        <f t="shared" ca="1" si="6"/>
        <v>460.21364120446771</v>
      </c>
      <c r="E39" s="41">
        <f t="shared" ca="1" si="1"/>
        <v>4.8412795496346526</v>
      </c>
      <c r="F39" s="42">
        <f t="shared" ca="1" si="2"/>
        <v>465.05492075410234</v>
      </c>
      <c r="G39" s="41">
        <f t="shared" ca="1" si="3"/>
        <v>54.153381727665305</v>
      </c>
      <c r="H39" s="41">
        <f t="shared" ca="1" si="4"/>
        <v>58.99466127729994</v>
      </c>
    </row>
    <row r="40" spans="1:8" x14ac:dyDescent="0.2">
      <c r="A40" s="9">
        <v>30</v>
      </c>
      <c r="B40" s="40">
        <f t="shared" ca="1" si="0"/>
        <v>16.407341711314647</v>
      </c>
      <c r="C40" s="41">
        <f t="shared" ca="1" si="5"/>
        <v>422.46760118811704</v>
      </c>
      <c r="D40" s="41">
        <f t="shared" ca="1" si="6"/>
        <v>465.05492075410234</v>
      </c>
      <c r="E40" s="41">
        <f t="shared" ca="1" si="1"/>
        <v>1.7906633511027967</v>
      </c>
      <c r="F40" s="42">
        <f t="shared" ca="1" si="2"/>
        <v>466.84558410520515</v>
      </c>
      <c r="G40" s="41">
        <f t="shared" ca="1" si="3"/>
        <v>42.587319565985297</v>
      </c>
      <c r="H40" s="41">
        <f t="shared" ca="1" si="4"/>
        <v>44.377982917088104</v>
      </c>
    </row>
    <row r="41" spans="1:8" x14ac:dyDescent="0.2">
      <c r="A41" s="9">
        <v>31</v>
      </c>
      <c r="B41" s="40">
        <f t="shared" ca="1" si="0"/>
        <v>16.042621481852382</v>
      </c>
      <c r="C41" s="41">
        <f t="shared" ca="1" si="5"/>
        <v>438.51022266996944</v>
      </c>
      <c r="D41" s="41">
        <f t="shared" ca="1" si="6"/>
        <v>466.84558410520515</v>
      </c>
      <c r="E41" s="41">
        <f t="shared" ca="1" si="1"/>
        <v>5.9090588829544588</v>
      </c>
      <c r="F41" s="42">
        <f t="shared" ca="1" si="2"/>
        <v>472.75464298815962</v>
      </c>
      <c r="G41" s="41">
        <f t="shared" ca="1" si="3"/>
        <v>28.335361435235711</v>
      </c>
      <c r="H41" s="41">
        <f t="shared" ca="1" si="4"/>
        <v>34.24442031819018</v>
      </c>
    </row>
    <row r="42" spans="1:8" x14ac:dyDescent="0.2">
      <c r="A42" s="9">
        <v>32</v>
      </c>
      <c r="B42" s="40">
        <f t="shared" ca="1" si="0"/>
        <v>12.258546104463775</v>
      </c>
      <c r="C42" s="41">
        <f t="shared" ca="1" si="5"/>
        <v>450.76876877443323</v>
      </c>
      <c r="D42" s="41">
        <f t="shared" ca="1" si="6"/>
        <v>472.75464298815962</v>
      </c>
      <c r="E42" s="41">
        <f t="shared" ca="1" si="1"/>
        <v>6.6563099572975499</v>
      </c>
      <c r="F42" s="42">
        <f t="shared" ca="1" si="2"/>
        <v>479.41095294545715</v>
      </c>
      <c r="G42" s="41">
        <f t="shared" ca="1" si="3"/>
        <v>21.98587421372639</v>
      </c>
      <c r="H42" s="41">
        <f t="shared" ca="1" si="4"/>
        <v>28.642184171023928</v>
      </c>
    </row>
    <row r="43" spans="1:8" x14ac:dyDescent="0.2">
      <c r="A43" s="9">
        <v>33</v>
      </c>
      <c r="B43" s="40">
        <f t="shared" ref="B43:B74" ca="1" si="7">$C$1+($C$2-$C$1)*RAND()</f>
        <v>10.790062213280642</v>
      </c>
      <c r="C43" s="41">
        <f t="shared" ca="1" si="5"/>
        <v>461.55883098771386</v>
      </c>
      <c r="D43" s="41">
        <f t="shared" ca="1" si="6"/>
        <v>479.41095294545715</v>
      </c>
      <c r="E43" s="41">
        <f t="shared" ref="E43:E74" ca="1" si="8">-$C$3*LN(RAND())</f>
        <v>4.3966815085230619</v>
      </c>
      <c r="F43" s="42">
        <f t="shared" ref="F43:F74" ca="1" si="9">D43+E43</f>
        <v>483.8076344539802</v>
      </c>
      <c r="G43" s="41">
        <f t="shared" ref="G43:G74" ca="1" si="10">D43-C43</f>
        <v>17.852121957743293</v>
      </c>
      <c r="H43" s="41">
        <f t="shared" ref="H43:H74" ca="1" si="11">F43-C43</f>
        <v>22.248803466266338</v>
      </c>
    </row>
    <row r="44" spans="1:8" x14ac:dyDescent="0.2">
      <c r="A44" s="9">
        <v>34</v>
      </c>
      <c r="B44" s="40">
        <f t="shared" ca="1" si="7"/>
        <v>18.630347971008607</v>
      </c>
      <c r="C44" s="41">
        <f t="shared" ref="C44:C75" ca="1" si="12">C43+B44</f>
        <v>480.18917895872249</v>
      </c>
      <c r="D44" s="41">
        <f t="shared" ref="D44:D75" ca="1" si="13">MAX(F43,C44)</f>
        <v>483.8076344539802</v>
      </c>
      <c r="E44" s="41">
        <f t="shared" ca="1" si="8"/>
        <v>0.83655512795713982</v>
      </c>
      <c r="F44" s="42">
        <f t="shared" ca="1" si="9"/>
        <v>484.64418958193733</v>
      </c>
      <c r="G44" s="41">
        <f t="shared" ca="1" si="10"/>
        <v>3.6184554952577059</v>
      </c>
      <c r="H44" s="41">
        <f t="shared" ca="1" si="11"/>
        <v>4.4550106232148323</v>
      </c>
    </row>
    <row r="45" spans="1:8" x14ac:dyDescent="0.2">
      <c r="A45" s="9">
        <v>35</v>
      </c>
      <c r="B45" s="40">
        <f t="shared" ca="1" si="7"/>
        <v>15.549293951227384</v>
      </c>
      <c r="C45" s="41">
        <f t="shared" ca="1" si="12"/>
        <v>495.73847290994991</v>
      </c>
      <c r="D45" s="41">
        <f t="shared" ca="1" si="13"/>
        <v>495.73847290994991</v>
      </c>
      <c r="E45" s="41">
        <f t="shared" ca="1" si="8"/>
        <v>3.0326203834796415</v>
      </c>
      <c r="F45" s="42">
        <f t="shared" ca="1" si="9"/>
        <v>498.77109329342954</v>
      </c>
      <c r="G45" s="41">
        <f t="shared" ca="1" si="10"/>
        <v>0</v>
      </c>
      <c r="H45" s="41">
        <f t="shared" ca="1" si="11"/>
        <v>3.0326203834796388</v>
      </c>
    </row>
    <row r="46" spans="1:8" x14ac:dyDescent="0.2">
      <c r="A46" s="9">
        <v>36</v>
      </c>
      <c r="B46" s="40">
        <f t="shared" ca="1" si="7"/>
        <v>15.754392358815206</v>
      </c>
      <c r="C46" s="41">
        <f t="shared" ca="1" si="12"/>
        <v>511.49286526876512</v>
      </c>
      <c r="D46" s="41">
        <f t="shared" ca="1" si="13"/>
        <v>511.49286526876512</v>
      </c>
      <c r="E46" s="41">
        <f t="shared" ca="1" si="8"/>
        <v>10.998700163433337</v>
      </c>
      <c r="F46" s="42">
        <f t="shared" ca="1" si="9"/>
        <v>522.4915654321984</v>
      </c>
      <c r="G46" s="41">
        <f t="shared" ca="1" si="10"/>
        <v>0</v>
      </c>
      <c r="H46" s="41">
        <f t="shared" ca="1" si="11"/>
        <v>10.998700163433284</v>
      </c>
    </row>
    <row r="47" spans="1:8" x14ac:dyDescent="0.2">
      <c r="A47" s="9">
        <v>37</v>
      </c>
      <c r="B47" s="40">
        <f t="shared" ca="1" si="7"/>
        <v>10.58071351606236</v>
      </c>
      <c r="C47" s="41">
        <f t="shared" ca="1" si="12"/>
        <v>522.07357878482753</v>
      </c>
      <c r="D47" s="41">
        <f t="shared" ca="1" si="13"/>
        <v>522.4915654321984</v>
      </c>
      <c r="E47" s="41">
        <f t="shared" ca="1" si="8"/>
        <v>35.054500728455736</v>
      </c>
      <c r="F47" s="42">
        <f t="shared" ca="1" si="9"/>
        <v>557.54606616065416</v>
      </c>
      <c r="G47" s="41">
        <f t="shared" ca="1" si="10"/>
        <v>0.4179866473708671</v>
      </c>
      <c r="H47" s="41">
        <f t="shared" ca="1" si="11"/>
        <v>35.472487375826631</v>
      </c>
    </row>
    <row r="48" spans="1:8" x14ac:dyDescent="0.2">
      <c r="A48" s="9">
        <v>38</v>
      </c>
      <c r="B48" s="40">
        <f t="shared" ca="1" si="7"/>
        <v>17.355814349858353</v>
      </c>
      <c r="C48" s="41">
        <f t="shared" ca="1" si="12"/>
        <v>539.42939313468594</v>
      </c>
      <c r="D48" s="41">
        <f t="shared" ca="1" si="13"/>
        <v>557.54606616065416</v>
      </c>
      <c r="E48" s="41">
        <f t="shared" ca="1" si="8"/>
        <v>2.4473200118237988</v>
      </c>
      <c r="F48" s="42">
        <f t="shared" ca="1" si="9"/>
        <v>559.99338617247793</v>
      </c>
      <c r="G48" s="41">
        <f t="shared" ca="1" si="10"/>
        <v>18.116673025968225</v>
      </c>
      <c r="H48" s="41">
        <f t="shared" ca="1" si="11"/>
        <v>20.563993037791988</v>
      </c>
    </row>
    <row r="49" spans="1:8" x14ac:dyDescent="0.2">
      <c r="A49" s="9">
        <v>39</v>
      </c>
      <c r="B49" s="40">
        <f t="shared" ca="1" si="7"/>
        <v>16.410982313036733</v>
      </c>
      <c r="C49" s="41">
        <f t="shared" ca="1" si="12"/>
        <v>555.84037544772264</v>
      </c>
      <c r="D49" s="41">
        <f t="shared" ca="1" si="13"/>
        <v>559.99338617247793</v>
      </c>
      <c r="E49" s="41">
        <f t="shared" ca="1" si="8"/>
        <v>0.20193757004983379</v>
      </c>
      <c r="F49" s="42">
        <f t="shared" ca="1" si="9"/>
        <v>560.19532374252776</v>
      </c>
      <c r="G49" s="41">
        <f t="shared" ca="1" si="10"/>
        <v>4.1530107247552905</v>
      </c>
      <c r="H49" s="41">
        <f t="shared" ca="1" si="11"/>
        <v>4.3549482948051264</v>
      </c>
    </row>
    <row r="50" spans="1:8" x14ac:dyDescent="0.2">
      <c r="A50" s="9">
        <v>40</v>
      </c>
      <c r="B50" s="40">
        <f t="shared" ca="1" si="7"/>
        <v>12.68129207623627</v>
      </c>
      <c r="C50" s="41">
        <f t="shared" ca="1" si="12"/>
        <v>568.52166752395885</v>
      </c>
      <c r="D50" s="41">
        <f t="shared" ca="1" si="13"/>
        <v>568.52166752395885</v>
      </c>
      <c r="E50" s="41">
        <f t="shared" ca="1" si="8"/>
        <v>0.72636411757085151</v>
      </c>
      <c r="F50" s="42">
        <f t="shared" ca="1" si="9"/>
        <v>569.24803164152968</v>
      </c>
      <c r="G50" s="41">
        <f t="shared" ca="1" si="10"/>
        <v>0</v>
      </c>
      <c r="H50" s="41">
        <f t="shared" ca="1" si="11"/>
        <v>0.72636411757082442</v>
      </c>
    </row>
    <row r="51" spans="1:8" x14ac:dyDescent="0.2">
      <c r="A51" s="9">
        <v>41</v>
      </c>
      <c r="B51" s="40">
        <f t="shared" ca="1" si="7"/>
        <v>10.379726004492657</v>
      </c>
      <c r="C51" s="41">
        <f t="shared" ca="1" si="12"/>
        <v>578.90139352845154</v>
      </c>
      <c r="D51" s="41">
        <f t="shared" ca="1" si="13"/>
        <v>578.90139352845154</v>
      </c>
      <c r="E51" s="41">
        <f t="shared" ca="1" si="8"/>
        <v>4.2623291452637488</v>
      </c>
      <c r="F51" s="42">
        <f t="shared" ca="1" si="9"/>
        <v>583.16372267371526</v>
      </c>
      <c r="G51" s="41">
        <f t="shared" ca="1" si="10"/>
        <v>0</v>
      </c>
      <c r="H51" s="41">
        <f t="shared" ca="1" si="11"/>
        <v>4.2623291452637204</v>
      </c>
    </row>
    <row r="52" spans="1:8" x14ac:dyDescent="0.2">
      <c r="A52" s="9">
        <v>42</v>
      </c>
      <c r="B52" s="40">
        <f t="shared" ca="1" si="7"/>
        <v>12.865680247821789</v>
      </c>
      <c r="C52" s="41">
        <f t="shared" ca="1" si="12"/>
        <v>591.76707377627338</v>
      </c>
      <c r="D52" s="41">
        <f t="shared" ca="1" si="13"/>
        <v>591.76707377627338</v>
      </c>
      <c r="E52" s="41">
        <f t="shared" ca="1" si="8"/>
        <v>3.5079248101886962</v>
      </c>
      <c r="F52" s="42">
        <f t="shared" ca="1" si="9"/>
        <v>595.27499858646206</v>
      </c>
      <c r="G52" s="41">
        <f t="shared" ca="1" si="10"/>
        <v>0</v>
      </c>
      <c r="H52" s="41">
        <f t="shared" ca="1" si="11"/>
        <v>3.5079248101886833</v>
      </c>
    </row>
    <row r="53" spans="1:8" x14ac:dyDescent="0.2">
      <c r="A53" s="9">
        <v>43</v>
      </c>
      <c r="B53" s="40">
        <f t="shared" ca="1" si="7"/>
        <v>18.638071922531616</v>
      </c>
      <c r="C53" s="41">
        <f t="shared" ca="1" si="12"/>
        <v>610.40514569880497</v>
      </c>
      <c r="D53" s="41">
        <f t="shared" ca="1" si="13"/>
        <v>610.40514569880497</v>
      </c>
      <c r="E53" s="41">
        <f t="shared" ca="1" si="8"/>
        <v>5.3817002084563317</v>
      </c>
      <c r="F53" s="42">
        <f t="shared" ca="1" si="9"/>
        <v>615.78684590726129</v>
      </c>
      <c r="G53" s="41">
        <f t="shared" ca="1" si="10"/>
        <v>0</v>
      </c>
      <c r="H53" s="41">
        <f t="shared" ca="1" si="11"/>
        <v>5.3817002084563228</v>
      </c>
    </row>
    <row r="54" spans="1:8" x14ac:dyDescent="0.2">
      <c r="A54" s="9">
        <v>44</v>
      </c>
      <c r="B54" s="40">
        <f t="shared" ca="1" si="7"/>
        <v>17.819914167792362</v>
      </c>
      <c r="C54" s="41">
        <f t="shared" ca="1" si="12"/>
        <v>628.22505986659735</v>
      </c>
      <c r="D54" s="41">
        <f t="shared" ca="1" si="13"/>
        <v>628.22505986659735</v>
      </c>
      <c r="E54" s="41">
        <f t="shared" ca="1" si="8"/>
        <v>0.57568358135045439</v>
      </c>
      <c r="F54" s="42">
        <f t="shared" ca="1" si="9"/>
        <v>628.80074344794775</v>
      </c>
      <c r="G54" s="41">
        <f t="shared" ca="1" si="10"/>
        <v>0</v>
      </c>
      <c r="H54" s="41">
        <f t="shared" ca="1" si="11"/>
        <v>0.57568358135040398</v>
      </c>
    </row>
    <row r="55" spans="1:8" x14ac:dyDescent="0.2">
      <c r="A55" s="9">
        <v>45</v>
      </c>
      <c r="B55" s="40">
        <f t="shared" ca="1" si="7"/>
        <v>19.755694565663646</v>
      </c>
      <c r="C55" s="41">
        <f t="shared" ca="1" si="12"/>
        <v>647.98075443226094</v>
      </c>
      <c r="D55" s="41">
        <f t="shared" ca="1" si="13"/>
        <v>647.98075443226094</v>
      </c>
      <c r="E55" s="41">
        <f t="shared" ca="1" si="8"/>
        <v>12.525703441365604</v>
      </c>
      <c r="F55" s="42">
        <f t="shared" ca="1" si="9"/>
        <v>660.50645787362657</v>
      </c>
      <c r="G55" s="41">
        <f t="shared" ca="1" si="10"/>
        <v>0</v>
      </c>
      <c r="H55" s="41">
        <f t="shared" ca="1" si="11"/>
        <v>12.525703441365636</v>
      </c>
    </row>
    <row r="56" spans="1:8" x14ac:dyDescent="0.2">
      <c r="A56" s="9">
        <v>46</v>
      </c>
      <c r="B56" s="40">
        <f t="shared" ca="1" si="7"/>
        <v>15.435800816918668</v>
      </c>
      <c r="C56" s="41">
        <f t="shared" ca="1" si="12"/>
        <v>663.41655524917962</v>
      </c>
      <c r="D56" s="41">
        <f t="shared" ca="1" si="13"/>
        <v>663.41655524917962</v>
      </c>
      <c r="E56" s="41">
        <f t="shared" ca="1" si="8"/>
        <v>19.98127107180051</v>
      </c>
      <c r="F56" s="42">
        <f t="shared" ca="1" si="9"/>
        <v>683.39782632098013</v>
      </c>
      <c r="G56" s="41">
        <f t="shared" ca="1" si="10"/>
        <v>0</v>
      </c>
      <c r="H56" s="41">
        <f t="shared" ca="1" si="11"/>
        <v>19.981271071800506</v>
      </c>
    </row>
    <row r="57" spans="1:8" x14ac:dyDescent="0.2">
      <c r="A57" s="9">
        <v>47</v>
      </c>
      <c r="B57" s="40">
        <f t="shared" ca="1" si="7"/>
        <v>15.701342538574595</v>
      </c>
      <c r="C57" s="41">
        <f t="shared" ca="1" si="12"/>
        <v>679.11789778775426</v>
      </c>
      <c r="D57" s="41">
        <f t="shared" ca="1" si="13"/>
        <v>683.39782632098013</v>
      </c>
      <c r="E57" s="41">
        <f t="shared" ca="1" si="8"/>
        <v>1.060547367059115</v>
      </c>
      <c r="F57" s="42">
        <f t="shared" ca="1" si="9"/>
        <v>684.45837368803927</v>
      </c>
      <c r="G57" s="41">
        <f t="shared" ca="1" si="10"/>
        <v>4.2799285332258705</v>
      </c>
      <c r="H57" s="41">
        <f t="shared" ca="1" si="11"/>
        <v>5.3404759002850142</v>
      </c>
    </row>
    <row r="58" spans="1:8" x14ac:dyDescent="0.2">
      <c r="A58" s="9">
        <v>48</v>
      </c>
      <c r="B58" s="40">
        <f t="shared" ca="1" si="7"/>
        <v>15.228665024510097</v>
      </c>
      <c r="C58" s="41">
        <f t="shared" ca="1" si="12"/>
        <v>694.34656281226432</v>
      </c>
      <c r="D58" s="41">
        <f t="shared" ca="1" si="13"/>
        <v>694.34656281226432</v>
      </c>
      <c r="E58" s="41">
        <f t="shared" ca="1" si="8"/>
        <v>1.7183832529123133</v>
      </c>
      <c r="F58" s="42">
        <f t="shared" ca="1" si="9"/>
        <v>696.06494606517663</v>
      </c>
      <c r="G58" s="41">
        <f t="shared" ca="1" si="10"/>
        <v>0</v>
      </c>
      <c r="H58" s="41">
        <f t="shared" ca="1" si="11"/>
        <v>1.7183832529123038</v>
      </c>
    </row>
    <row r="59" spans="1:8" x14ac:dyDescent="0.2">
      <c r="A59" s="9">
        <v>49</v>
      </c>
      <c r="B59" s="40">
        <f t="shared" ca="1" si="7"/>
        <v>10.637624366868051</v>
      </c>
      <c r="C59" s="41">
        <f t="shared" ca="1" si="12"/>
        <v>704.98418717913239</v>
      </c>
      <c r="D59" s="41">
        <f t="shared" ca="1" si="13"/>
        <v>704.98418717913239</v>
      </c>
      <c r="E59" s="41">
        <f t="shared" ca="1" si="8"/>
        <v>3.5668339032477929</v>
      </c>
      <c r="F59" s="42">
        <f t="shared" ca="1" si="9"/>
        <v>708.5510210823802</v>
      </c>
      <c r="G59" s="41">
        <f t="shared" ca="1" si="10"/>
        <v>0</v>
      </c>
      <c r="H59" s="41">
        <f t="shared" ca="1" si="11"/>
        <v>3.5668339032478116</v>
      </c>
    </row>
    <row r="60" spans="1:8" x14ac:dyDescent="0.2">
      <c r="A60" s="9">
        <v>50</v>
      </c>
      <c r="B60" s="40">
        <f t="shared" ca="1" si="7"/>
        <v>13.363163703180941</v>
      </c>
      <c r="C60" s="41">
        <f t="shared" ca="1" si="12"/>
        <v>718.34735088231332</v>
      </c>
      <c r="D60" s="41">
        <f t="shared" ca="1" si="13"/>
        <v>718.34735088231332</v>
      </c>
      <c r="E60" s="41">
        <f t="shared" ca="1" si="8"/>
        <v>2.5916787291040282</v>
      </c>
      <c r="F60" s="42">
        <f t="shared" ca="1" si="9"/>
        <v>720.93902961141737</v>
      </c>
      <c r="G60" s="41">
        <f t="shared" ca="1" si="10"/>
        <v>0</v>
      </c>
      <c r="H60" s="41">
        <f t="shared" ca="1" si="11"/>
        <v>2.5916787291040464</v>
      </c>
    </row>
    <row r="61" spans="1:8" x14ac:dyDescent="0.2">
      <c r="A61" s="9">
        <v>51</v>
      </c>
      <c r="B61" s="40">
        <f t="shared" ca="1" si="7"/>
        <v>12.79422453624251</v>
      </c>
      <c r="C61" s="41">
        <f t="shared" ca="1" si="12"/>
        <v>731.14157541855582</v>
      </c>
      <c r="D61" s="41">
        <f t="shared" ca="1" si="13"/>
        <v>731.14157541855582</v>
      </c>
      <c r="E61" s="41">
        <f t="shared" ca="1" si="8"/>
        <v>3.5813434546549345</v>
      </c>
      <c r="F61" s="42">
        <f t="shared" ca="1" si="9"/>
        <v>734.7229188732108</v>
      </c>
      <c r="G61" s="41">
        <f t="shared" ca="1" si="10"/>
        <v>0</v>
      </c>
      <c r="H61" s="41">
        <f t="shared" ca="1" si="11"/>
        <v>3.5813434546549843</v>
      </c>
    </row>
    <row r="62" spans="1:8" x14ac:dyDescent="0.2">
      <c r="A62" s="9">
        <v>52</v>
      </c>
      <c r="B62" s="40">
        <f t="shared" ca="1" si="7"/>
        <v>15.735393087822056</v>
      </c>
      <c r="C62" s="41">
        <f t="shared" ca="1" si="12"/>
        <v>746.87696850637792</v>
      </c>
      <c r="D62" s="41">
        <f t="shared" ca="1" si="13"/>
        <v>746.87696850637792</v>
      </c>
      <c r="E62" s="41">
        <f t="shared" ca="1" si="8"/>
        <v>1.6923536107848525</v>
      </c>
      <c r="F62" s="42">
        <f t="shared" ca="1" si="9"/>
        <v>748.56932211716276</v>
      </c>
      <c r="G62" s="41">
        <f t="shared" ca="1" si="10"/>
        <v>0</v>
      </c>
      <c r="H62" s="41">
        <f t="shared" ca="1" si="11"/>
        <v>1.6923536107848349</v>
      </c>
    </row>
    <row r="63" spans="1:8" x14ac:dyDescent="0.2">
      <c r="A63" s="9">
        <v>53</v>
      </c>
      <c r="B63" s="40">
        <f t="shared" ca="1" si="7"/>
        <v>15.820094896017283</v>
      </c>
      <c r="C63" s="41">
        <f t="shared" ca="1" si="12"/>
        <v>762.6970634023952</v>
      </c>
      <c r="D63" s="41">
        <f t="shared" ca="1" si="13"/>
        <v>762.6970634023952</v>
      </c>
      <c r="E63" s="41">
        <f t="shared" ca="1" si="8"/>
        <v>15.358866223948386</v>
      </c>
      <c r="F63" s="42">
        <f t="shared" ca="1" si="9"/>
        <v>778.05592962634364</v>
      </c>
      <c r="G63" s="41">
        <f t="shared" ca="1" si="10"/>
        <v>0</v>
      </c>
      <c r="H63" s="41">
        <f t="shared" ca="1" si="11"/>
        <v>15.358866223948439</v>
      </c>
    </row>
    <row r="64" spans="1:8" x14ac:dyDescent="0.2">
      <c r="A64" s="9">
        <v>54</v>
      </c>
      <c r="B64" s="40">
        <f t="shared" ca="1" si="7"/>
        <v>11.407745979697573</v>
      </c>
      <c r="C64" s="41">
        <f t="shared" ca="1" si="12"/>
        <v>774.10480938209275</v>
      </c>
      <c r="D64" s="41">
        <f t="shared" ca="1" si="13"/>
        <v>778.05592962634364</v>
      </c>
      <c r="E64" s="41">
        <f t="shared" ca="1" si="8"/>
        <v>4.3959124506309735</v>
      </c>
      <c r="F64" s="42">
        <f t="shared" ca="1" si="9"/>
        <v>782.45184207697457</v>
      </c>
      <c r="G64" s="41">
        <f t="shared" ca="1" si="10"/>
        <v>3.9511202442508875</v>
      </c>
      <c r="H64" s="41">
        <f t="shared" ca="1" si="11"/>
        <v>8.3470326948818183</v>
      </c>
    </row>
    <row r="65" spans="1:8" x14ac:dyDescent="0.2">
      <c r="A65" s="9">
        <v>55</v>
      </c>
      <c r="B65" s="40">
        <f t="shared" ca="1" si="7"/>
        <v>12.681537355555237</v>
      </c>
      <c r="C65" s="41">
        <f t="shared" ca="1" si="12"/>
        <v>786.78634673764805</v>
      </c>
      <c r="D65" s="41">
        <f t="shared" ca="1" si="13"/>
        <v>786.78634673764805</v>
      </c>
      <c r="E65" s="41">
        <f t="shared" ca="1" si="8"/>
        <v>8.8683622865745733</v>
      </c>
      <c r="F65" s="42">
        <f t="shared" ca="1" si="9"/>
        <v>795.6547090242226</v>
      </c>
      <c r="G65" s="41">
        <f t="shared" ca="1" si="10"/>
        <v>0</v>
      </c>
      <c r="H65" s="41">
        <f t="shared" ca="1" si="11"/>
        <v>8.8683622865745519</v>
      </c>
    </row>
    <row r="66" spans="1:8" x14ac:dyDescent="0.2">
      <c r="A66" s="9">
        <v>56</v>
      </c>
      <c r="B66" s="40">
        <f t="shared" ca="1" si="7"/>
        <v>15.080606028235401</v>
      </c>
      <c r="C66" s="41">
        <f t="shared" ca="1" si="12"/>
        <v>801.86695276588341</v>
      </c>
      <c r="D66" s="41">
        <f t="shared" ca="1" si="13"/>
        <v>801.86695276588341</v>
      </c>
      <c r="E66" s="41">
        <f t="shared" ca="1" si="8"/>
        <v>23.7929111648663</v>
      </c>
      <c r="F66" s="42">
        <f t="shared" ca="1" si="9"/>
        <v>825.65986393074968</v>
      </c>
      <c r="G66" s="41">
        <f t="shared" ca="1" si="10"/>
        <v>0</v>
      </c>
      <c r="H66" s="41">
        <f t="shared" ca="1" si="11"/>
        <v>23.792911164866268</v>
      </c>
    </row>
    <row r="67" spans="1:8" x14ac:dyDescent="0.2">
      <c r="A67" s="9">
        <v>57</v>
      </c>
      <c r="B67" s="40">
        <f t="shared" ca="1" si="7"/>
        <v>14.579071099255113</v>
      </c>
      <c r="C67" s="41">
        <f t="shared" ca="1" si="12"/>
        <v>816.4460238651385</v>
      </c>
      <c r="D67" s="41">
        <f t="shared" ca="1" si="13"/>
        <v>825.65986393074968</v>
      </c>
      <c r="E67" s="41">
        <f t="shared" ca="1" si="8"/>
        <v>10.457056194699179</v>
      </c>
      <c r="F67" s="42">
        <f t="shared" ca="1" si="9"/>
        <v>836.11692012544881</v>
      </c>
      <c r="G67" s="41">
        <f t="shared" ca="1" si="10"/>
        <v>9.2138400656111799</v>
      </c>
      <c r="H67" s="41">
        <f t="shared" ca="1" si="11"/>
        <v>19.670896260310315</v>
      </c>
    </row>
    <row r="68" spans="1:8" x14ac:dyDescent="0.2">
      <c r="A68" s="9">
        <v>58</v>
      </c>
      <c r="B68" s="40">
        <f t="shared" ca="1" si="7"/>
        <v>15.220020198691095</v>
      </c>
      <c r="C68" s="41">
        <f t="shared" ca="1" si="12"/>
        <v>831.66604406382964</v>
      </c>
      <c r="D68" s="41">
        <f t="shared" ca="1" si="13"/>
        <v>836.11692012544881</v>
      </c>
      <c r="E68" s="41">
        <f t="shared" ca="1" si="8"/>
        <v>24.994874460807097</v>
      </c>
      <c r="F68" s="42">
        <f t="shared" ca="1" si="9"/>
        <v>861.11179458625588</v>
      </c>
      <c r="G68" s="41">
        <f t="shared" ca="1" si="10"/>
        <v>4.4508760616191694</v>
      </c>
      <c r="H68" s="41">
        <f t="shared" ca="1" si="11"/>
        <v>29.445750522426238</v>
      </c>
    </row>
    <row r="69" spans="1:8" x14ac:dyDescent="0.2">
      <c r="A69" s="9">
        <v>59</v>
      </c>
      <c r="B69" s="40">
        <f t="shared" ca="1" si="7"/>
        <v>19.707460288043343</v>
      </c>
      <c r="C69" s="41">
        <f t="shared" ca="1" si="12"/>
        <v>851.37350435187295</v>
      </c>
      <c r="D69" s="41">
        <f t="shared" ca="1" si="13"/>
        <v>861.11179458625588</v>
      </c>
      <c r="E69" s="41">
        <f t="shared" ca="1" si="8"/>
        <v>21.534443450345361</v>
      </c>
      <c r="F69" s="42">
        <f t="shared" ca="1" si="9"/>
        <v>882.64623803660129</v>
      </c>
      <c r="G69" s="41">
        <f t="shared" ca="1" si="10"/>
        <v>9.7382902343829301</v>
      </c>
      <c r="H69" s="41">
        <f t="shared" ca="1" si="11"/>
        <v>31.272733684728337</v>
      </c>
    </row>
    <row r="70" spans="1:8" x14ac:dyDescent="0.2">
      <c r="A70" s="9">
        <v>60</v>
      </c>
      <c r="B70" s="40">
        <f t="shared" ca="1" si="7"/>
        <v>15.823022727701751</v>
      </c>
      <c r="C70" s="41">
        <f t="shared" ca="1" si="12"/>
        <v>867.19652707957471</v>
      </c>
      <c r="D70" s="41">
        <f t="shared" ca="1" si="13"/>
        <v>882.64623803660129</v>
      </c>
      <c r="E70" s="41">
        <f t="shared" ca="1" si="8"/>
        <v>0.47406739266396164</v>
      </c>
      <c r="F70" s="42">
        <f t="shared" ca="1" si="9"/>
        <v>883.12030542926527</v>
      </c>
      <c r="G70" s="41">
        <f t="shared" ca="1" si="10"/>
        <v>15.449710957026582</v>
      </c>
      <c r="H70" s="41">
        <f t="shared" ca="1" si="11"/>
        <v>15.923778349690565</v>
      </c>
    </row>
    <row r="71" spans="1:8" x14ac:dyDescent="0.2">
      <c r="A71" s="9">
        <v>61</v>
      </c>
      <c r="B71" s="40">
        <f t="shared" ca="1" si="7"/>
        <v>10.307184452253681</v>
      </c>
      <c r="C71" s="41">
        <f t="shared" ca="1" si="12"/>
        <v>877.50371153182834</v>
      </c>
      <c r="D71" s="41">
        <f t="shared" ca="1" si="13"/>
        <v>883.12030542926527</v>
      </c>
      <c r="E71" s="41">
        <f t="shared" ca="1" si="8"/>
        <v>2.3575335894225322</v>
      </c>
      <c r="F71" s="42">
        <f t="shared" ca="1" si="9"/>
        <v>885.47783901868786</v>
      </c>
      <c r="G71" s="41">
        <f t="shared" ca="1" si="10"/>
        <v>5.6165938974369283</v>
      </c>
      <c r="H71" s="41">
        <f t="shared" ca="1" si="11"/>
        <v>7.9741274868595156</v>
      </c>
    </row>
    <row r="72" spans="1:8" x14ac:dyDescent="0.2">
      <c r="A72" s="9">
        <v>62</v>
      </c>
      <c r="B72" s="40">
        <f t="shared" ca="1" si="7"/>
        <v>19.606043456145734</v>
      </c>
      <c r="C72" s="41">
        <f t="shared" ca="1" si="12"/>
        <v>897.10975498797404</v>
      </c>
      <c r="D72" s="41">
        <f t="shared" ca="1" si="13"/>
        <v>897.10975498797404</v>
      </c>
      <c r="E72" s="41">
        <f t="shared" ca="1" si="8"/>
        <v>2.8157526382014764</v>
      </c>
      <c r="F72" s="42">
        <f t="shared" ca="1" si="9"/>
        <v>899.92550762617554</v>
      </c>
      <c r="G72" s="41">
        <f t="shared" ca="1" si="10"/>
        <v>0</v>
      </c>
      <c r="H72" s="41">
        <f t="shared" ca="1" si="11"/>
        <v>2.8157526382015021</v>
      </c>
    </row>
    <row r="73" spans="1:8" x14ac:dyDescent="0.2">
      <c r="A73" s="9">
        <v>63</v>
      </c>
      <c r="B73" s="40">
        <f t="shared" ca="1" si="7"/>
        <v>13.094007170569594</v>
      </c>
      <c r="C73" s="41">
        <f t="shared" ca="1" si="12"/>
        <v>910.20376215854367</v>
      </c>
      <c r="D73" s="41">
        <f t="shared" ca="1" si="13"/>
        <v>910.20376215854367</v>
      </c>
      <c r="E73" s="41">
        <f t="shared" ca="1" si="8"/>
        <v>0.88647741149711501</v>
      </c>
      <c r="F73" s="42">
        <f t="shared" ca="1" si="9"/>
        <v>911.09023957004081</v>
      </c>
      <c r="G73" s="41">
        <f t="shared" ca="1" si="10"/>
        <v>0</v>
      </c>
      <c r="H73" s="41">
        <f t="shared" ca="1" si="11"/>
        <v>0.88647741149713966</v>
      </c>
    </row>
    <row r="74" spans="1:8" x14ac:dyDescent="0.2">
      <c r="A74" s="9">
        <v>64</v>
      </c>
      <c r="B74" s="40">
        <f t="shared" ca="1" si="7"/>
        <v>19.097690538035931</v>
      </c>
      <c r="C74" s="41">
        <f t="shared" ca="1" si="12"/>
        <v>929.30145269657964</v>
      </c>
      <c r="D74" s="41">
        <f t="shared" ca="1" si="13"/>
        <v>929.30145269657964</v>
      </c>
      <c r="E74" s="41">
        <f t="shared" ca="1" si="8"/>
        <v>1.9710568890850171</v>
      </c>
      <c r="F74" s="42">
        <f t="shared" ca="1" si="9"/>
        <v>931.27250958566469</v>
      </c>
      <c r="G74" s="41">
        <f t="shared" ca="1" si="10"/>
        <v>0</v>
      </c>
      <c r="H74" s="41">
        <f t="shared" ca="1" si="11"/>
        <v>1.9710568890850482</v>
      </c>
    </row>
    <row r="75" spans="1:8" x14ac:dyDescent="0.2">
      <c r="A75" s="9">
        <v>65</v>
      </c>
      <c r="B75" s="40">
        <f t="shared" ref="B75:B110" ca="1" si="14">$C$1+($C$2-$C$1)*RAND()</f>
        <v>18.2508607821296</v>
      </c>
      <c r="C75" s="41">
        <f t="shared" ca="1" si="12"/>
        <v>947.55231347870927</v>
      </c>
      <c r="D75" s="41">
        <f t="shared" ca="1" si="13"/>
        <v>947.55231347870927</v>
      </c>
      <c r="E75" s="41">
        <f t="shared" ref="E75:E110" ca="1" si="15">-$C$3*LN(RAND())</f>
        <v>12.652436370387415</v>
      </c>
      <c r="F75" s="42">
        <f t="shared" ref="F75:F106" ca="1" si="16">D75+E75</f>
        <v>960.20474984909663</v>
      </c>
      <c r="G75" s="41">
        <f t="shared" ref="G75:G110" ca="1" si="17">D75-C75</f>
        <v>0</v>
      </c>
      <c r="H75" s="41">
        <f t="shared" ref="H75:H110" ca="1" si="18">F75-C75</f>
        <v>12.652436370387363</v>
      </c>
    </row>
    <row r="76" spans="1:8" x14ac:dyDescent="0.2">
      <c r="A76" s="9">
        <v>66</v>
      </c>
      <c r="B76" s="40">
        <f t="shared" ca="1" si="14"/>
        <v>12.806495534349537</v>
      </c>
      <c r="C76" s="41">
        <f t="shared" ref="C76:C107" ca="1" si="19">C75+B76</f>
        <v>960.35880901305882</v>
      </c>
      <c r="D76" s="41">
        <f t="shared" ref="D76:D107" ca="1" si="20">MAX(F75,C76)</f>
        <v>960.35880901305882</v>
      </c>
      <c r="E76" s="41">
        <f t="shared" ca="1" si="15"/>
        <v>0.1123504588700045</v>
      </c>
      <c r="F76" s="42">
        <f t="shared" ca="1" si="16"/>
        <v>960.47115947192879</v>
      </c>
      <c r="G76" s="41">
        <f t="shared" ca="1" si="17"/>
        <v>0</v>
      </c>
      <c r="H76" s="41">
        <f t="shared" ca="1" si="18"/>
        <v>0.11235045886996886</v>
      </c>
    </row>
    <row r="77" spans="1:8" x14ac:dyDescent="0.2">
      <c r="A77" s="9">
        <v>67</v>
      </c>
      <c r="B77" s="40">
        <f t="shared" ca="1" si="14"/>
        <v>12.828464008910773</v>
      </c>
      <c r="C77" s="41">
        <f t="shared" ca="1" si="19"/>
        <v>973.18727302196965</v>
      </c>
      <c r="D77" s="41">
        <f t="shared" ca="1" si="20"/>
        <v>973.18727302196965</v>
      </c>
      <c r="E77" s="41">
        <f t="shared" ca="1" si="15"/>
        <v>12.805783214076778</v>
      </c>
      <c r="F77" s="42">
        <f t="shared" ca="1" si="16"/>
        <v>985.99305623604641</v>
      </c>
      <c r="G77" s="41">
        <f t="shared" ca="1" si="17"/>
        <v>0</v>
      </c>
      <c r="H77" s="41">
        <f t="shared" ca="1" si="18"/>
        <v>12.805783214076769</v>
      </c>
    </row>
    <row r="78" spans="1:8" x14ac:dyDescent="0.2">
      <c r="A78" s="9">
        <v>68</v>
      </c>
      <c r="B78" s="40">
        <f t="shared" ca="1" si="14"/>
        <v>10.367562904022243</v>
      </c>
      <c r="C78" s="41">
        <f t="shared" ca="1" si="19"/>
        <v>983.55483592599194</v>
      </c>
      <c r="D78" s="41">
        <f t="shared" ca="1" si="20"/>
        <v>985.99305623604641</v>
      </c>
      <c r="E78" s="41">
        <f t="shared" ca="1" si="15"/>
        <v>15.661266025821215</v>
      </c>
      <c r="F78" s="42">
        <f t="shared" ca="1" si="16"/>
        <v>1001.6543222618676</v>
      </c>
      <c r="G78" s="41">
        <f t="shared" ca="1" si="17"/>
        <v>2.4382203100544757</v>
      </c>
      <c r="H78" s="41">
        <f t="shared" ca="1" si="18"/>
        <v>18.099486335875667</v>
      </c>
    </row>
    <row r="79" spans="1:8" x14ac:dyDescent="0.2">
      <c r="A79" s="9">
        <v>69</v>
      </c>
      <c r="B79" s="40">
        <f t="shared" ca="1" si="14"/>
        <v>11.178234134181423</v>
      </c>
      <c r="C79" s="41">
        <f t="shared" ca="1" si="19"/>
        <v>994.7330700601733</v>
      </c>
      <c r="D79" s="41">
        <f t="shared" ca="1" si="20"/>
        <v>1001.6543222618676</v>
      </c>
      <c r="E79" s="41">
        <f t="shared" ca="1" si="15"/>
        <v>27.560032359677336</v>
      </c>
      <c r="F79" s="42">
        <f t="shared" ca="1" si="16"/>
        <v>1029.214354621545</v>
      </c>
      <c r="G79" s="41">
        <f t="shared" ca="1" si="17"/>
        <v>6.9212522016943012</v>
      </c>
      <c r="H79" s="41">
        <f t="shared" ca="1" si="18"/>
        <v>34.481284561371695</v>
      </c>
    </row>
    <row r="80" spans="1:8" x14ac:dyDescent="0.2">
      <c r="A80" s="9">
        <v>70</v>
      </c>
      <c r="B80" s="40">
        <f t="shared" ca="1" si="14"/>
        <v>16.633149032597814</v>
      </c>
      <c r="C80" s="41">
        <f t="shared" ca="1" si="19"/>
        <v>1011.3662190927711</v>
      </c>
      <c r="D80" s="41">
        <f t="shared" ca="1" si="20"/>
        <v>1029.214354621545</v>
      </c>
      <c r="E80" s="41">
        <f t="shared" ca="1" si="15"/>
        <v>1.6789752133417895</v>
      </c>
      <c r="F80" s="42">
        <f t="shared" ca="1" si="16"/>
        <v>1030.8933298348868</v>
      </c>
      <c r="G80" s="41">
        <f t="shared" ca="1" si="17"/>
        <v>17.848135528773923</v>
      </c>
      <c r="H80" s="41">
        <f t="shared" ca="1" si="18"/>
        <v>19.527110742115724</v>
      </c>
    </row>
    <row r="81" spans="1:8" x14ac:dyDescent="0.2">
      <c r="A81" s="9">
        <v>71</v>
      </c>
      <c r="B81" s="40">
        <f t="shared" ca="1" si="14"/>
        <v>11.512708744854432</v>
      </c>
      <c r="C81" s="41">
        <f t="shared" ca="1" si="19"/>
        <v>1022.8789278376255</v>
      </c>
      <c r="D81" s="41">
        <f t="shared" ca="1" si="20"/>
        <v>1030.8933298348868</v>
      </c>
      <c r="E81" s="41">
        <f t="shared" ca="1" si="15"/>
        <v>10.312578375283554</v>
      </c>
      <c r="F81" s="42">
        <f t="shared" ca="1" si="16"/>
        <v>1041.2059082101703</v>
      </c>
      <c r="G81" s="41">
        <f t="shared" ca="1" si="17"/>
        <v>8.0144019972613023</v>
      </c>
      <c r="H81" s="41">
        <f t="shared" ca="1" si="18"/>
        <v>18.326980372544767</v>
      </c>
    </row>
    <row r="82" spans="1:8" x14ac:dyDescent="0.2">
      <c r="A82" s="9">
        <v>72</v>
      </c>
      <c r="B82" s="40">
        <f t="shared" ca="1" si="14"/>
        <v>16.938532898223748</v>
      </c>
      <c r="C82" s="41">
        <f t="shared" ca="1" si="19"/>
        <v>1039.8174607358492</v>
      </c>
      <c r="D82" s="41">
        <f t="shared" ca="1" si="20"/>
        <v>1041.2059082101703</v>
      </c>
      <c r="E82" s="41">
        <f t="shared" ca="1" si="15"/>
        <v>6.973276117770971</v>
      </c>
      <c r="F82" s="42">
        <f t="shared" ca="1" si="16"/>
        <v>1048.1791843279411</v>
      </c>
      <c r="G82" s="41">
        <f t="shared" ca="1" si="17"/>
        <v>1.3884474743210831</v>
      </c>
      <c r="H82" s="41">
        <f t="shared" ca="1" si="18"/>
        <v>8.3617235920919484</v>
      </c>
    </row>
    <row r="83" spans="1:8" x14ac:dyDescent="0.2">
      <c r="A83" s="9">
        <v>73</v>
      </c>
      <c r="B83" s="40">
        <f t="shared" ca="1" si="14"/>
        <v>12.441050223431594</v>
      </c>
      <c r="C83" s="41">
        <f t="shared" ca="1" si="19"/>
        <v>1052.2585109592808</v>
      </c>
      <c r="D83" s="41">
        <f t="shared" ca="1" si="20"/>
        <v>1052.2585109592808</v>
      </c>
      <c r="E83" s="41">
        <f t="shared" ca="1" si="15"/>
        <v>21.214154436907805</v>
      </c>
      <c r="F83" s="42">
        <f t="shared" ca="1" si="16"/>
        <v>1073.4726653961886</v>
      </c>
      <c r="G83" s="41">
        <f t="shared" ca="1" si="17"/>
        <v>0</v>
      </c>
      <c r="H83" s="41">
        <f t="shared" ca="1" si="18"/>
        <v>21.214154436907847</v>
      </c>
    </row>
    <row r="84" spans="1:8" x14ac:dyDescent="0.2">
      <c r="A84" s="9">
        <v>74</v>
      </c>
      <c r="B84" s="40">
        <f t="shared" ca="1" si="14"/>
        <v>11.808173134331922</v>
      </c>
      <c r="C84" s="41">
        <f t="shared" ca="1" si="19"/>
        <v>1064.0666840936126</v>
      </c>
      <c r="D84" s="41">
        <f t="shared" ca="1" si="20"/>
        <v>1073.4726653961886</v>
      </c>
      <c r="E84" s="41">
        <f t="shared" ca="1" si="15"/>
        <v>0.58717713035841079</v>
      </c>
      <c r="F84" s="42">
        <f t="shared" ca="1" si="16"/>
        <v>1074.0598425265471</v>
      </c>
      <c r="G84" s="41">
        <f t="shared" ca="1" si="17"/>
        <v>9.4059813025760377</v>
      </c>
      <c r="H84" s="41">
        <f t="shared" ca="1" si="18"/>
        <v>9.9931584329344787</v>
      </c>
    </row>
    <row r="85" spans="1:8" x14ac:dyDescent="0.2">
      <c r="A85" s="9">
        <v>75</v>
      </c>
      <c r="B85" s="40">
        <f t="shared" ca="1" si="14"/>
        <v>13.783749283829849</v>
      </c>
      <c r="C85" s="41">
        <f t="shared" ca="1" si="19"/>
        <v>1077.8504333774424</v>
      </c>
      <c r="D85" s="41">
        <f t="shared" ca="1" si="20"/>
        <v>1077.8504333774424</v>
      </c>
      <c r="E85" s="41">
        <f t="shared" ca="1" si="15"/>
        <v>9.1896093237746115</v>
      </c>
      <c r="F85" s="42">
        <f t="shared" ca="1" si="16"/>
        <v>1087.0400427012171</v>
      </c>
      <c r="G85" s="41">
        <f t="shared" ca="1" si="17"/>
        <v>0</v>
      </c>
      <c r="H85" s="41">
        <f t="shared" ca="1" si="18"/>
        <v>9.1896093237746754</v>
      </c>
    </row>
    <row r="86" spans="1:8" x14ac:dyDescent="0.2">
      <c r="A86" s="9">
        <v>76</v>
      </c>
      <c r="B86" s="40">
        <f t="shared" ca="1" si="14"/>
        <v>19.535460619412273</v>
      </c>
      <c r="C86" s="41">
        <f t="shared" ca="1" si="19"/>
        <v>1097.3858939968547</v>
      </c>
      <c r="D86" s="41">
        <f t="shared" ca="1" si="20"/>
        <v>1097.3858939968547</v>
      </c>
      <c r="E86" s="41">
        <f t="shared" ca="1" si="15"/>
        <v>22.012110130437179</v>
      </c>
      <c r="F86" s="42">
        <f t="shared" ca="1" si="16"/>
        <v>1119.3980041272919</v>
      </c>
      <c r="G86" s="41">
        <f t="shared" ca="1" si="17"/>
        <v>0</v>
      </c>
      <c r="H86" s="41">
        <f t="shared" ca="1" si="18"/>
        <v>22.012110130437122</v>
      </c>
    </row>
    <row r="87" spans="1:8" x14ac:dyDescent="0.2">
      <c r="A87" s="9">
        <v>77</v>
      </c>
      <c r="B87" s="40">
        <f t="shared" ca="1" si="14"/>
        <v>11.572559051461264</v>
      </c>
      <c r="C87" s="41">
        <f t="shared" ca="1" si="19"/>
        <v>1108.958453048316</v>
      </c>
      <c r="D87" s="41">
        <f t="shared" ca="1" si="20"/>
        <v>1119.3980041272919</v>
      </c>
      <c r="E87" s="41">
        <f t="shared" ca="1" si="15"/>
        <v>3.5571403050659915</v>
      </c>
      <c r="F87" s="42">
        <f t="shared" ca="1" si="16"/>
        <v>1122.9551444323579</v>
      </c>
      <c r="G87" s="41">
        <f t="shared" ca="1" si="17"/>
        <v>10.43955107897591</v>
      </c>
      <c r="H87" s="41">
        <f t="shared" ca="1" si="18"/>
        <v>13.996691384041924</v>
      </c>
    </row>
    <row r="88" spans="1:8" x14ac:dyDescent="0.2">
      <c r="A88" s="9">
        <v>78</v>
      </c>
      <c r="B88" s="40">
        <f t="shared" ca="1" si="14"/>
        <v>12.83175294440311</v>
      </c>
      <c r="C88" s="41">
        <f t="shared" ca="1" si="19"/>
        <v>1121.7902059927192</v>
      </c>
      <c r="D88" s="41">
        <f t="shared" ca="1" si="20"/>
        <v>1122.9551444323579</v>
      </c>
      <c r="E88" s="41">
        <f t="shared" ca="1" si="15"/>
        <v>0.35643783988819761</v>
      </c>
      <c r="F88" s="42">
        <f t="shared" ca="1" si="16"/>
        <v>1123.3115822722461</v>
      </c>
      <c r="G88" s="41">
        <f t="shared" ca="1" si="17"/>
        <v>1.1649384396387177</v>
      </c>
      <c r="H88" s="41">
        <f t="shared" ca="1" si="18"/>
        <v>1.5213762795269758</v>
      </c>
    </row>
    <row r="89" spans="1:8" x14ac:dyDescent="0.2">
      <c r="A89" s="9">
        <v>79</v>
      </c>
      <c r="B89" s="40">
        <f t="shared" ca="1" si="14"/>
        <v>19.129457055100424</v>
      </c>
      <c r="C89" s="41">
        <f t="shared" ca="1" si="19"/>
        <v>1140.9196630478195</v>
      </c>
      <c r="D89" s="41">
        <f t="shared" ca="1" si="20"/>
        <v>1140.9196630478195</v>
      </c>
      <c r="E89" s="41">
        <f t="shared" ca="1" si="15"/>
        <v>8.4265975412426606</v>
      </c>
      <c r="F89" s="42">
        <f t="shared" ca="1" si="16"/>
        <v>1149.3462605890622</v>
      </c>
      <c r="G89" s="41">
        <f t="shared" ca="1" si="17"/>
        <v>0</v>
      </c>
      <c r="H89" s="41">
        <f t="shared" ca="1" si="18"/>
        <v>8.4265975412426997</v>
      </c>
    </row>
    <row r="90" spans="1:8" x14ac:dyDescent="0.2">
      <c r="A90" s="9">
        <v>80</v>
      </c>
      <c r="B90" s="40">
        <f t="shared" ca="1" si="14"/>
        <v>12.333406973572268</v>
      </c>
      <c r="C90" s="41">
        <f t="shared" ca="1" si="19"/>
        <v>1153.2530700213917</v>
      </c>
      <c r="D90" s="41">
        <f t="shared" ca="1" si="20"/>
        <v>1153.2530700213917</v>
      </c>
      <c r="E90" s="41">
        <f t="shared" ca="1" si="15"/>
        <v>4.4712097739330172</v>
      </c>
      <c r="F90" s="42">
        <f t="shared" ca="1" si="16"/>
        <v>1157.7242797953247</v>
      </c>
      <c r="G90" s="41">
        <f t="shared" ca="1" si="17"/>
        <v>0</v>
      </c>
      <c r="H90" s="41">
        <f t="shared" ca="1" si="18"/>
        <v>4.4712097739329693</v>
      </c>
    </row>
    <row r="91" spans="1:8" x14ac:dyDescent="0.2">
      <c r="A91" s="9">
        <v>81</v>
      </c>
      <c r="B91" s="40">
        <f t="shared" ca="1" si="14"/>
        <v>19.718605240422626</v>
      </c>
      <c r="C91" s="41">
        <f t="shared" ca="1" si="19"/>
        <v>1172.9716752618144</v>
      </c>
      <c r="D91" s="41">
        <f t="shared" ca="1" si="20"/>
        <v>1172.9716752618144</v>
      </c>
      <c r="E91" s="41">
        <f t="shared" ca="1" si="15"/>
        <v>3.410491095782942</v>
      </c>
      <c r="F91" s="42">
        <f t="shared" ca="1" si="16"/>
        <v>1176.3821663575973</v>
      </c>
      <c r="G91" s="41">
        <f t="shared" ca="1" si="17"/>
        <v>0</v>
      </c>
      <c r="H91" s="41">
        <f t="shared" ca="1" si="18"/>
        <v>3.4104910957828452</v>
      </c>
    </row>
    <row r="92" spans="1:8" x14ac:dyDescent="0.2">
      <c r="A92" s="9">
        <v>82</v>
      </c>
      <c r="B92" s="40">
        <f t="shared" ca="1" si="14"/>
        <v>14.226805154939946</v>
      </c>
      <c r="C92" s="41">
        <f t="shared" ca="1" si="19"/>
        <v>1187.1984804167544</v>
      </c>
      <c r="D92" s="41">
        <f t="shared" ca="1" si="20"/>
        <v>1187.1984804167544</v>
      </c>
      <c r="E92" s="41">
        <f t="shared" ca="1" si="15"/>
        <v>1.2700969820688812</v>
      </c>
      <c r="F92" s="42">
        <f t="shared" ca="1" si="16"/>
        <v>1188.4685773988233</v>
      </c>
      <c r="G92" s="41">
        <f t="shared" ca="1" si="17"/>
        <v>0</v>
      </c>
      <c r="H92" s="41">
        <f t="shared" ca="1" si="18"/>
        <v>1.2700969820689352</v>
      </c>
    </row>
    <row r="93" spans="1:8" x14ac:dyDescent="0.2">
      <c r="A93" s="9">
        <v>83</v>
      </c>
      <c r="B93" s="40">
        <f t="shared" ca="1" si="14"/>
        <v>12.604678886767598</v>
      </c>
      <c r="C93" s="41">
        <f t="shared" ca="1" si="19"/>
        <v>1199.8031593035219</v>
      </c>
      <c r="D93" s="41">
        <f t="shared" ca="1" si="20"/>
        <v>1199.8031593035219</v>
      </c>
      <c r="E93" s="41">
        <f t="shared" ca="1" si="15"/>
        <v>17.84606667085545</v>
      </c>
      <c r="F93" s="42">
        <f t="shared" ca="1" si="16"/>
        <v>1217.6492259743773</v>
      </c>
      <c r="G93" s="41">
        <f t="shared" ca="1" si="17"/>
        <v>0</v>
      </c>
      <c r="H93" s="41">
        <f t="shared" ca="1" si="18"/>
        <v>17.846066670855407</v>
      </c>
    </row>
    <row r="94" spans="1:8" x14ac:dyDescent="0.2">
      <c r="A94" s="9">
        <v>84</v>
      </c>
      <c r="B94" s="40">
        <f t="shared" ca="1" si="14"/>
        <v>10.666092783795571</v>
      </c>
      <c r="C94" s="41">
        <f t="shared" ca="1" si="19"/>
        <v>1210.4692520873175</v>
      </c>
      <c r="D94" s="41">
        <f t="shared" ca="1" si="20"/>
        <v>1217.6492259743773</v>
      </c>
      <c r="E94" s="41">
        <f t="shared" ca="1" si="15"/>
        <v>12.862811736848702</v>
      </c>
      <c r="F94" s="42">
        <f t="shared" ca="1" si="16"/>
        <v>1230.512037711226</v>
      </c>
      <c r="G94" s="41">
        <f t="shared" ca="1" si="17"/>
        <v>7.1799738870597594</v>
      </c>
      <c r="H94" s="41">
        <f t="shared" ca="1" si="18"/>
        <v>20.042785623908458</v>
      </c>
    </row>
    <row r="95" spans="1:8" x14ac:dyDescent="0.2">
      <c r="A95" s="9">
        <v>85</v>
      </c>
      <c r="B95" s="40">
        <f t="shared" ca="1" si="14"/>
        <v>16.0046148930968</v>
      </c>
      <c r="C95" s="41">
        <f t="shared" ca="1" si="19"/>
        <v>1226.4738669804142</v>
      </c>
      <c r="D95" s="41">
        <f t="shared" ca="1" si="20"/>
        <v>1230.512037711226</v>
      </c>
      <c r="E95" s="41">
        <f t="shared" ca="1" si="15"/>
        <v>1.1868675463928871</v>
      </c>
      <c r="F95" s="42">
        <f t="shared" ca="1" si="16"/>
        <v>1231.6989052576189</v>
      </c>
      <c r="G95" s="41">
        <f t="shared" ca="1" si="17"/>
        <v>4.0381707308117711</v>
      </c>
      <c r="H95" s="41">
        <f t="shared" ca="1" si="18"/>
        <v>5.2250382772047033</v>
      </c>
    </row>
    <row r="96" spans="1:8" x14ac:dyDescent="0.2">
      <c r="A96" s="9">
        <v>86</v>
      </c>
      <c r="B96" s="40">
        <f t="shared" ca="1" si="14"/>
        <v>11.229758490246457</v>
      </c>
      <c r="C96" s="41">
        <f t="shared" ca="1" si="19"/>
        <v>1237.7036254706607</v>
      </c>
      <c r="D96" s="41">
        <f t="shared" ca="1" si="20"/>
        <v>1237.7036254706607</v>
      </c>
      <c r="E96" s="41">
        <f t="shared" ca="1" si="15"/>
        <v>1.9951466847560806</v>
      </c>
      <c r="F96" s="42">
        <f t="shared" ca="1" si="16"/>
        <v>1239.6987721554167</v>
      </c>
      <c r="G96" s="41">
        <f t="shared" ca="1" si="17"/>
        <v>0</v>
      </c>
      <c r="H96" s="41">
        <f t="shared" ca="1" si="18"/>
        <v>1.9951466847560368</v>
      </c>
    </row>
    <row r="97" spans="1:14" x14ac:dyDescent="0.2">
      <c r="A97" s="9">
        <v>87</v>
      </c>
      <c r="B97" s="40">
        <f t="shared" ca="1" si="14"/>
        <v>16.81391115020616</v>
      </c>
      <c r="C97" s="41">
        <f t="shared" ca="1" si="19"/>
        <v>1254.5175366208668</v>
      </c>
      <c r="D97" s="41">
        <f t="shared" ca="1" si="20"/>
        <v>1254.5175366208668</v>
      </c>
      <c r="E97" s="41">
        <f t="shared" ca="1" si="15"/>
        <v>14.494724307129205</v>
      </c>
      <c r="F97" s="42">
        <f t="shared" ca="1" si="16"/>
        <v>1269.0122609279961</v>
      </c>
      <c r="G97" s="41">
        <f t="shared" ca="1" si="17"/>
        <v>0</v>
      </c>
      <c r="H97" s="41">
        <f t="shared" ca="1" si="18"/>
        <v>14.494724307129218</v>
      </c>
    </row>
    <row r="98" spans="1:14" x14ac:dyDescent="0.2">
      <c r="A98" s="9">
        <v>88</v>
      </c>
      <c r="B98" s="40">
        <f t="shared" ca="1" si="14"/>
        <v>15.748174177961534</v>
      </c>
      <c r="C98" s="41">
        <f t="shared" ca="1" si="19"/>
        <v>1270.2657107988284</v>
      </c>
      <c r="D98" s="41">
        <f t="shared" ca="1" si="20"/>
        <v>1270.2657107988284</v>
      </c>
      <c r="E98" s="41">
        <f t="shared" ca="1" si="15"/>
        <v>16.051042309052765</v>
      </c>
      <c r="F98" s="42">
        <f t="shared" ca="1" si="16"/>
        <v>1286.3167531078811</v>
      </c>
      <c r="G98" s="41">
        <f t="shared" ca="1" si="17"/>
        <v>0</v>
      </c>
      <c r="H98" s="41">
        <f t="shared" ca="1" si="18"/>
        <v>16.051042309052718</v>
      </c>
    </row>
    <row r="99" spans="1:14" x14ac:dyDescent="0.2">
      <c r="A99" s="9">
        <v>89</v>
      </c>
      <c r="B99" s="40">
        <f t="shared" ca="1" si="14"/>
        <v>13.743517100771516</v>
      </c>
      <c r="C99" s="41">
        <f t="shared" ca="1" si="19"/>
        <v>1284.0092278995999</v>
      </c>
      <c r="D99" s="41">
        <f t="shared" ca="1" si="20"/>
        <v>1286.3167531078811</v>
      </c>
      <c r="E99" s="41">
        <f t="shared" ca="1" si="15"/>
        <v>9.7375280998711737</v>
      </c>
      <c r="F99" s="42">
        <f t="shared" ca="1" si="16"/>
        <v>1296.0542812077524</v>
      </c>
      <c r="G99" s="41">
        <f t="shared" ca="1" si="17"/>
        <v>2.3075252082812767</v>
      </c>
      <c r="H99" s="41">
        <f t="shared" ca="1" si="18"/>
        <v>12.045053308152546</v>
      </c>
    </row>
    <row r="100" spans="1:14" x14ac:dyDescent="0.2">
      <c r="A100" s="9">
        <v>90</v>
      </c>
      <c r="B100" s="40">
        <f t="shared" ca="1" si="14"/>
        <v>13.479646339997386</v>
      </c>
      <c r="C100" s="41">
        <f t="shared" ca="1" si="19"/>
        <v>1297.4888742395972</v>
      </c>
      <c r="D100" s="41">
        <f t="shared" ca="1" si="20"/>
        <v>1297.4888742395972</v>
      </c>
      <c r="E100" s="41">
        <f t="shared" ca="1" si="15"/>
        <v>6.4690565019372591E-3</v>
      </c>
      <c r="F100" s="42">
        <f t="shared" ca="1" si="16"/>
        <v>1297.495343296099</v>
      </c>
      <c r="G100" s="41">
        <f t="shared" ca="1" si="17"/>
        <v>0</v>
      </c>
      <c r="H100" s="41">
        <f t="shared" ca="1" si="18"/>
        <v>6.4690565018281632E-3</v>
      </c>
    </row>
    <row r="101" spans="1:14" x14ac:dyDescent="0.2">
      <c r="A101" s="9">
        <v>91</v>
      </c>
      <c r="B101" s="40">
        <f t="shared" ca="1" si="14"/>
        <v>11.433761456350053</v>
      </c>
      <c r="C101" s="41">
        <f t="shared" ca="1" si="19"/>
        <v>1308.9226356959473</v>
      </c>
      <c r="D101" s="41">
        <f t="shared" ca="1" si="20"/>
        <v>1308.9226356959473</v>
      </c>
      <c r="E101" s="41">
        <f t="shared" ca="1" si="15"/>
        <v>25.796155337175243</v>
      </c>
      <c r="F101" s="42">
        <f t="shared" ca="1" si="16"/>
        <v>1334.7187910331224</v>
      </c>
      <c r="G101" s="41">
        <f t="shared" ca="1" si="17"/>
        <v>0</v>
      </c>
      <c r="H101" s="41">
        <f t="shared" ca="1" si="18"/>
        <v>25.796155337175151</v>
      </c>
    </row>
    <row r="102" spans="1:14" x14ac:dyDescent="0.2">
      <c r="A102" s="9">
        <v>92</v>
      </c>
      <c r="B102" s="40">
        <f t="shared" ca="1" si="14"/>
        <v>11.064888608133112</v>
      </c>
      <c r="C102" s="41">
        <f t="shared" ca="1" si="19"/>
        <v>1319.9875243040804</v>
      </c>
      <c r="D102" s="41">
        <f t="shared" ca="1" si="20"/>
        <v>1334.7187910331224</v>
      </c>
      <c r="E102" s="41">
        <f t="shared" ca="1" si="15"/>
        <v>6.0658012532792283</v>
      </c>
      <c r="F102" s="42">
        <f t="shared" ca="1" si="16"/>
        <v>1340.7845922864017</v>
      </c>
      <c r="G102" s="41">
        <f t="shared" ca="1" si="17"/>
        <v>14.73126672904209</v>
      </c>
      <c r="H102" s="41">
        <f t="shared" ca="1" si="18"/>
        <v>20.797067982321323</v>
      </c>
    </row>
    <row r="103" spans="1:14" x14ac:dyDescent="0.2">
      <c r="A103" s="9">
        <v>93</v>
      </c>
      <c r="B103" s="40">
        <f t="shared" ca="1" si="14"/>
        <v>17.954896185819187</v>
      </c>
      <c r="C103" s="41">
        <f t="shared" ca="1" si="19"/>
        <v>1337.9424204898996</v>
      </c>
      <c r="D103" s="41">
        <f t="shared" ca="1" si="20"/>
        <v>1340.7845922864017</v>
      </c>
      <c r="E103" s="41">
        <f t="shared" ca="1" si="15"/>
        <v>4.0595455904942286</v>
      </c>
      <c r="F103" s="42">
        <f t="shared" ca="1" si="16"/>
        <v>1344.844137876896</v>
      </c>
      <c r="G103" s="41">
        <f t="shared" ca="1" si="17"/>
        <v>2.8421717965020434</v>
      </c>
      <c r="H103" s="41">
        <f t="shared" ca="1" si="18"/>
        <v>6.9017173869963244</v>
      </c>
    </row>
    <row r="104" spans="1:14" x14ac:dyDescent="0.2">
      <c r="A104" s="9">
        <v>94</v>
      </c>
      <c r="B104" s="40">
        <f t="shared" ca="1" si="14"/>
        <v>12.308855620419557</v>
      </c>
      <c r="C104" s="41">
        <f t="shared" ca="1" si="19"/>
        <v>1350.2512761103192</v>
      </c>
      <c r="D104" s="41">
        <f t="shared" ca="1" si="20"/>
        <v>1350.2512761103192</v>
      </c>
      <c r="E104" s="41">
        <f t="shared" ca="1" si="15"/>
        <v>3.9747829528661542</v>
      </c>
      <c r="F104" s="42">
        <f t="shared" ca="1" si="16"/>
        <v>1354.2260590631854</v>
      </c>
      <c r="G104" s="41">
        <f t="shared" ca="1" si="17"/>
        <v>0</v>
      </c>
      <c r="H104" s="41">
        <f t="shared" ca="1" si="18"/>
        <v>3.9747829528662351</v>
      </c>
    </row>
    <row r="105" spans="1:14" x14ac:dyDescent="0.2">
      <c r="A105" s="9">
        <v>95</v>
      </c>
      <c r="B105" s="40">
        <f t="shared" ca="1" si="14"/>
        <v>18.082245855940961</v>
      </c>
      <c r="C105" s="41">
        <f t="shared" ca="1" si="19"/>
        <v>1368.3335219662602</v>
      </c>
      <c r="D105" s="41">
        <f t="shared" ca="1" si="20"/>
        <v>1368.3335219662602</v>
      </c>
      <c r="E105" s="41">
        <f t="shared" ca="1" si="15"/>
        <v>2.2877960037006977</v>
      </c>
      <c r="F105" s="42">
        <f t="shared" ca="1" si="16"/>
        <v>1370.621317969961</v>
      </c>
      <c r="G105" s="41">
        <f t="shared" ca="1" si="17"/>
        <v>0</v>
      </c>
      <c r="H105" s="41">
        <f t="shared" ca="1" si="18"/>
        <v>2.2877960037008052</v>
      </c>
      <c r="N105" s="43" t="s">
        <v>61</v>
      </c>
    </row>
    <row r="106" spans="1:14" x14ac:dyDescent="0.2">
      <c r="A106" s="9">
        <v>96</v>
      </c>
      <c r="B106" s="40">
        <f t="shared" ca="1" si="14"/>
        <v>18.228546849183296</v>
      </c>
      <c r="C106" s="41">
        <f t="shared" ca="1" si="19"/>
        <v>1386.5620688154434</v>
      </c>
      <c r="D106" s="41">
        <f t="shared" ca="1" si="20"/>
        <v>1386.5620688154434</v>
      </c>
      <c r="E106" s="41">
        <f t="shared" ca="1" si="15"/>
        <v>2.4444663204253758</v>
      </c>
      <c r="F106" s="42">
        <f t="shared" ca="1" si="16"/>
        <v>1389.0065351358687</v>
      </c>
      <c r="G106" s="41">
        <f t="shared" ca="1" si="17"/>
        <v>0</v>
      </c>
      <c r="H106" s="41">
        <f t="shared" ca="1" si="18"/>
        <v>2.4444663204253629</v>
      </c>
    </row>
    <row r="107" spans="1:14" x14ac:dyDescent="0.2">
      <c r="A107" s="9">
        <v>97</v>
      </c>
      <c r="B107" s="40">
        <f t="shared" ca="1" si="14"/>
        <v>18.089732389128791</v>
      </c>
      <c r="C107" s="41">
        <f t="shared" ca="1" si="19"/>
        <v>1404.6518012045722</v>
      </c>
      <c r="D107" s="41">
        <f t="shared" ca="1" si="20"/>
        <v>1404.6518012045722</v>
      </c>
      <c r="E107" s="41">
        <f t="shared" ca="1" si="15"/>
        <v>7.8003280403685231</v>
      </c>
      <c r="F107" s="42">
        <f t="shared" ref="F107:F110" ca="1" si="21">D107+E107</f>
        <v>1412.4521292449406</v>
      </c>
      <c r="G107" s="41">
        <f t="shared" ca="1" si="17"/>
        <v>0</v>
      </c>
      <c r="H107" s="41">
        <f t="shared" ca="1" si="18"/>
        <v>7.800328040368413</v>
      </c>
    </row>
    <row r="108" spans="1:14" x14ac:dyDescent="0.2">
      <c r="A108" s="9">
        <v>98</v>
      </c>
      <c r="B108" s="40">
        <f t="shared" ca="1" si="14"/>
        <v>19.440422950016263</v>
      </c>
      <c r="C108" s="41">
        <f t="shared" ref="C108:C110" ca="1" si="22">C107+B108</f>
        <v>1424.0922241545884</v>
      </c>
      <c r="D108" s="41">
        <f t="shared" ref="D108:D110" ca="1" si="23">MAX(F107,C108)</f>
        <v>1424.0922241545884</v>
      </c>
      <c r="E108" s="41">
        <f t="shared" ca="1" si="15"/>
        <v>9.8928696265900449</v>
      </c>
      <c r="F108" s="42">
        <f t="shared" ca="1" si="21"/>
        <v>1433.9850937811784</v>
      </c>
      <c r="G108" s="41">
        <f t="shared" ca="1" si="17"/>
        <v>0</v>
      </c>
      <c r="H108" s="41">
        <f t="shared" ca="1" si="18"/>
        <v>9.8928696265900271</v>
      </c>
    </row>
    <row r="109" spans="1:14" x14ac:dyDescent="0.2">
      <c r="A109" s="9">
        <v>99</v>
      </c>
      <c r="B109" s="40">
        <f t="shared" ca="1" si="14"/>
        <v>11.355563275023799</v>
      </c>
      <c r="C109" s="41">
        <f t="shared" ca="1" si="22"/>
        <v>1435.4477874296122</v>
      </c>
      <c r="D109" s="41">
        <f t="shared" ca="1" si="23"/>
        <v>1435.4477874296122</v>
      </c>
      <c r="E109" s="41">
        <f t="shared" ca="1" si="15"/>
        <v>6.9551348311512964</v>
      </c>
      <c r="F109" s="42">
        <f t="shared" ca="1" si="21"/>
        <v>1442.4029222607635</v>
      </c>
      <c r="G109" s="41">
        <f t="shared" ca="1" si="17"/>
        <v>0</v>
      </c>
      <c r="H109" s="41">
        <f t="shared" ca="1" si="18"/>
        <v>6.9551348311513266</v>
      </c>
    </row>
    <row r="110" spans="1:14" x14ac:dyDescent="0.2">
      <c r="A110" s="9">
        <v>100</v>
      </c>
      <c r="B110" s="40">
        <f t="shared" ca="1" si="14"/>
        <v>19.324196226393923</v>
      </c>
      <c r="C110" s="41">
        <f t="shared" ca="1" si="22"/>
        <v>1454.7719836560061</v>
      </c>
      <c r="D110" s="41">
        <f t="shared" ca="1" si="23"/>
        <v>1454.7719836560061</v>
      </c>
      <c r="E110" s="41">
        <f t="shared" ca="1" si="15"/>
        <v>3.0588965471117993</v>
      </c>
      <c r="F110" s="42">
        <f t="shared" ca="1" si="21"/>
        <v>1457.8308802031179</v>
      </c>
      <c r="G110" s="41">
        <f t="shared" ca="1" si="17"/>
        <v>0</v>
      </c>
      <c r="H110" s="41">
        <f t="shared" ca="1" si="18"/>
        <v>3.0588965471117717</v>
      </c>
    </row>
    <row r="111" spans="1:14" x14ac:dyDescent="0.2">
      <c r="B111" s="29"/>
      <c r="C111" s="29"/>
      <c r="D111" s="29"/>
      <c r="E111" s="29"/>
      <c r="F111" s="29"/>
      <c r="G111" s="29"/>
      <c r="H111" s="29"/>
    </row>
    <row r="112" spans="1:14" x14ac:dyDescent="0.2">
      <c r="B112" s="29"/>
      <c r="C112" s="29"/>
      <c r="D112" s="29"/>
      <c r="E112" s="29"/>
      <c r="F112" s="29"/>
      <c r="G112" s="29"/>
      <c r="H112" s="29"/>
    </row>
    <row r="113" spans="2:8" x14ac:dyDescent="0.2">
      <c r="B113" s="29"/>
      <c r="C113" s="29"/>
      <c r="D113" s="29"/>
      <c r="E113" s="29"/>
      <c r="F113" s="29"/>
      <c r="G113" s="29"/>
      <c r="H113" s="29"/>
    </row>
    <row r="114" spans="2:8" x14ac:dyDescent="0.2">
      <c r="B114" s="29"/>
      <c r="C114" s="29"/>
      <c r="D114" s="29"/>
      <c r="E114" s="29"/>
      <c r="F114" s="29"/>
      <c r="G114" s="29"/>
      <c r="H114" s="29"/>
    </row>
    <row r="115" spans="2:8" x14ac:dyDescent="0.2">
      <c r="B115" s="29"/>
      <c r="C115" s="29"/>
      <c r="D115" s="29"/>
      <c r="E115" s="29"/>
      <c r="F115" s="29"/>
      <c r="G115" s="29"/>
      <c r="H115" s="29"/>
    </row>
    <row r="116" spans="2:8" x14ac:dyDescent="0.2">
      <c r="B116" s="29"/>
      <c r="C116" s="29"/>
      <c r="D116" s="29"/>
      <c r="E116" s="29"/>
      <c r="F116" s="29"/>
      <c r="G116" s="29"/>
      <c r="H116" s="29"/>
    </row>
    <row r="117" spans="2:8" x14ac:dyDescent="0.2">
      <c r="B117" s="29"/>
      <c r="C117" s="29"/>
      <c r="D117" s="29"/>
      <c r="E117" s="29"/>
      <c r="F117" s="29"/>
      <c r="G117" s="29"/>
      <c r="H117" s="29"/>
    </row>
    <row r="118" spans="2:8" x14ac:dyDescent="0.2">
      <c r="B118" s="29"/>
      <c r="C118" s="29"/>
      <c r="D118" s="29"/>
      <c r="E118" s="29"/>
      <c r="F118" s="29"/>
      <c r="G118" s="29"/>
      <c r="H118" s="29"/>
    </row>
    <row r="119" spans="2:8" x14ac:dyDescent="0.2">
      <c r="B119" s="29"/>
      <c r="C119" s="29"/>
      <c r="D119" s="29"/>
      <c r="E119" s="29"/>
      <c r="F119" s="29"/>
      <c r="G119" s="29"/>
      <c r="H119" s="29"/>
    </row>
    <row r="120" spans="2:8" x14ac:dyDescent="0.2">
      <c r="B120" s="29"/>
      <c r="C120" s="29"/>
      <c r="D120" s="29"/>
      <c r="E120" s="29"/>
      <c r="F120" s="29"/>
      <c r="G120" s="29"/>
      <c r="H120" s="29"/>
    </row>
    <row r="121" spans="2:8" x14ac:dyDescent="0.2">
      <c r="B121" s="29"/>
      <c r="C121" s="29"/>
      <c r="D121" s="29"/>
      <c r="E121" s="29"/>
      <c r="F121" s="29"/>
      <c r="G121" s="29"/>
      <c r="H121" s="29"/>
    </row>
    <row r="122" spans="2:8" x14ac:dyDescent="0.2">
      <c r="B122" s="29"/>
      <c r="C122" s="29"/>
      <c r="D122" s="29"/>
      <c r="E122" s="29"/>
      <c r="F122" s="29"/>
      <c r="G122" s="29"/>
      <c r="H122" s="29"/>
    </row>
    <row r="123" spans="2:8" x14ac:dyDescent="0.2">
      <c r="B123" s="29"/>
      <c r="C123" s="29"/>
      <c r="D123" s="29"/>
      <c r="E123" s="29"/>
      <c r="F123" s="29"/>
      <c r="G123" s="29"/>
      <c r="H123" s="29"/>
    </row>
    <row r="124" spans="2:8" x14ac:dyDescent="0.2">
      <c r="B124" s="29"/>
      <c r="C124" s="29"/>
      <c r="D124" s="29"/>
      <c r="E124" s="29"/>
      <c r="F124" s="29"/>
      <c r="G124" s="29"/>
      <c r="H124" s="29"/>
    </row>
    <row r="125" spans="2:8" x14ac:dyDescent="0.2">
      <c r="B125" s="29"/>
      <c r="C125" s="29"/>
      <c r="D125" s="29"/>
      <c r="E125" s="29"/>
      <c r="F125" s="29"/>
      <c r="G125" s="29"/>
      <c r="H125" s="29"/>
    </row>
    <row r="126" spans="2:8" x14ac:dyDescent="0.2">
      <c r="B126" s="29"/>
      <c r="C126" s="29"/>
      <c r="D126" s="29"/>
      <c r="E126" s="29"/>
      <c r="F126" s="29"/>
      <c r="G126" s="29"/>
      <c r="H126" s="29"/>
    </row>
    <row r="127" spans="2:8" x14ac:dyDescent="0.2">
      <c r="B127" s="29"/>
      <c r="C127" s="29"/>
      <c r="D127" s="29"/>
      <c r="E127" s="29"/>
      <c r="F127" s="29"/>
      <c r="G127" s="29"/>
      <c r="H127" s="29"/>
    </row>
    <row r="128" spans="2:8" x14ac:dyDescent="0.2">
      <c r="B128" s="29"/>
      <c r="C128" s="29"/>
      <c r="D128" s="29"/>
      <c r="E128" s="29"/>
      <c r="F128" s="29"/>
      <c r="G128" s="29"/>
      <c r="H128" s="29"/>
    </row>
    <row r="129" spans="2:8" x14ac:dyDescent="0.2">
      <c r="B129" s="29"/>
      <c r="C129" s="29"/>
      <c r="D129" s="29"/>
      <c r="E129" s="29"/>
      <c r="F129" s="29"/>
      <c r="G129" s="29"/>
      <c r="H129" s="29"/>
    </row>
    <row r="130" spans="2:8" x14ac:dyDescent="0.2">
      <c r="B130" s="29"/>
      <c r="C130" s="29"/>
      <c r="D130" s="29"/>
      <c r="E130" s="29"/>
      <c r="F130" s="29"/>
      <c r="G130" s="29"/>
      <c r="H130" s="29"/>
    </row>
    <row r="131" spans="2:8" x14ac:dyDescent="0.2">
      <c r="B131" s="29"/>
      <c r="C131" s="29"/>
      <c r="D131" s="29"/>
      <c r="E131" s="29"/>
      <c r="F131" s="29"/>
      <c r="G131" s="29"/>
      <c r="H131" s="29"/>
    </row>
    <row r="132" spans="2:8" x14ac:dyDescent="0.2">
      <c r="B132" s="29"/>
      <c r="C132" s="29"/>
      <c r="D132" s="29"/>
      <c r="E132" s="29"/>
      <c r="F132" s="29"/>
      <c r="G132" s="29"/>
      <c r="H132" s="29"/>
    </row>
    <row r="133" spans="2:8" x14ac:dyDescent="0.2">
      <c r="B133" s="29"/>
      <c r="C133" s="29"/>
      <c r="D133" s="29"/>
      <c r="E133" s="29"/>
      <c r="F133" s="29"/>
      <c r="G133" s="29"/>
      <c r="H133" s="29"/>
    </row>
    <row r="134" spans="2:8" x14ac:dyDescent="0.2">
      <c r="B134" s="29"/>
      <c r="C134" s="29"/>
      <c r="D134" s="29"/>
      <c r="E134" s="29"/>
      <c r="F134" s="29"/>
      <c r="G134" s="29"/>
      <c r="H134" s="29"/>
    </row>
    <row r="135" spans="2:8" x14ac:dyDescent="0.2">
      <c r="B135" s="29"/>
      <c r="C135" s="29"/>
      <c r="D135" s="29"/>
      <c r="E135" s="29"/>
      <c r="F135" s="29"/>
      <c r="G135" s="29"/>
      <c r="H135" s="29"/>
    </row>
    <row r="136" spans="2:8" x14ac:dyDescent="0.2">
      <c r="B136" s="29"/>
      <c r="C136" s="29"/>
      <c r="D136" s="29"/>
      <c r="E136" s="29"/>
      <c r="F136" s="29"/>
      <c r="G136" s="29"/>
      <c r="H136" s="29"/>
    </row>
    <row r="137" spans="2:8" x14ac:dyDescent="0.2">
      <c r="B137" s="29"/>
      <c r="C137" s="29"/>
      <c r="D137" s="29"/>
      <c r="E137" s="29"/>
      <c r="F137" s="29"/>
      <c r="G137" s="29"/>
      <c r="H137" s="29"/>
    </row>
    <row r="138" spans="2:8" x14ac:dyDescent="0.2">
      <c r="B138" s="29"/>
      <c r="C138" s="29"/>
      <c r="D138" s="29"/>
      <c r="E138" s="29"/>
      <c r="F138" s="29"/>
      <c r="G138" s="29"/>
      <c r="H138" s="29"/>
    </row>
    <row r="139" spans="2:8" x14ac:dyDescent="0.2">
      <c r="B139" s="29"/>
      <c r="C139" s="29"/>
      <c r="D139" s="29"/>
      <c r="E139" s="29"/>
      <c r="F139" s="29"/>
      <c r="G139" s="29"/>
      <c r="H139" s="29"/>
    </row>
    <row r="140" spans="2:8" x14ac:dyDescent="0.2">
      <c r="B140" s="29"/>
      <c r="C140" s="29"/>
      <c r="D140" s="29"/>
      <c r="E140" s="29"/>
      <c r="F140" s="29"/>
      <c r="G140" s="29"/>
      <c r="H140" s="29"/>
    </row>
    <row r="141" spans="2:8" x14ac:dyDescent="0.2">
      <c r="B141" s="29"/>
      <c r="C141" s="29"/>
      <c r="D141" s="29"/>
      <c r="E141" s="29"/>
      <c r="F141" s="29"/>
      <c r="G141" s="29"/>
      <c r="H141" s="29"/>
    </row>
    <row r="142" spans="2:8" x14ac:dyDescent="0.2">
      <c r="B142" s="29"/>
      <c r="C142" s="29"/>
      <c r="D142" s="29"/>
      <c r="E142" s="29"/>
      <c r="F142" s="29"/>
      <c r="G142" s="29"/>
      <c r="H142" s="29"/>
    </row>
    <row r="143" spans="2:8" x14ac:dyDescent="0.2">
      <c r="B143" s="29"/>
      <c r="C143" s="29"/>
      <c r="D143" s="29"/>
      <c r="E143" s="29"/>
      <c r="F143" s="29"/>
      <c r="G143" s="29"/>
      <c r="H143" s="29"/>
    </row>
    <row r="144" spans="2:8" x14ac:dyDescent="0.2">
      <c r="B144" s="29"/>
      <c r="C144" s="29"/>
      <c r="D144" s="29"/>
      <c r="E144" s="29"/>
      <c r="F144" s="29"/>
      <c r="G144" s="29"/>
      <c r="H144" s="29"/>
    </row>
    <row r="145" spans="2:8" x14ac:dyDescent="0.2">
      <c r="B145" s="29"/>
      <c r="C145" s="29"/>
      <c r="D145" s="29"/>
      <c r="E145" s="29"/>
      <c r="F145" s="29"/>
      <c r="G145" s="29"/>
      <c r="H145" s="29"/>
    </row>
    <row r="146" spans="2:8" x14ac:dyDescent="0.2">
      <c r="B146" s="29"/>
      <c r="C146" s="29"/>
      <c r="D146" s="29"/>
      <c r="E146" s="29"/>
      <c r="F146" s="29"/>
      <c r="G146" s="29"/>
      <c r="H146" s="29"/>
    </row>
    <row r="147" spans="2:8" x14ac:dyDescent="0.2">
      <c r="B147" s="29"/>
      <c r="C147" s="29"/>
      <c r="D147" s="29"/>
      <c r="E147" s="29"/>
      <c r="F147" s="29"/>
      <c r="G147" s="29"/>
      <c r="H147" s="29"/>
    </row>
    <row r="148" spans="2:8" x14ac:dyDescent="0.2">
      <c r="B148" s="29"/>
      <c r="C148" s="29"/>
      <c r="D148" s="29"/>
      <c r="E148" s="29"/>
      <c r="F148" s="29"/>
      <c r="G148" s="29"/>
      <c r="H148" s="29"/>
    </row>
    <row r="149" spans="2:8" x14ac:dyDescent="0.2">
      <c r="B149" s="29"/>
      <c r="C149" s="29"/>
      <c r="D149" s="29"/>
      <c r="E149" s="29"/>
      <c r="F149" s="29"/>
      <c r="G149" s="29"/>
      <c r="H149" s="29"/>
    </row>
    <row r="150" spans="2:8" x14ac:dyDescent="0.2">
      <c r="B150" s="29"/>
      <c r="C150" s="29"/>
      <c r="D150" s="29"/>
      <c r="E150" s="29"/>
      <c r="F150" s="29"/>
      <c r="G150" s="29"/>
      <c r="H150" s="29"/>
    </row>
    <row r="151" spans="2:8" x14ac:dyDescent="0.2">
      <c r="B151" s="29"/>
      <c r="C151" s="29"/>
      <c r="D151" s="29"/>
      <c r="E151" s="29"/>
      <c r="F151" s="29"/>
      <c r="G151" s="29"/>
      <c r="H151" s="29"/>
    </row>
    <row r="152" spans="2:8" x14ac:dyDescent="0.2">
      <c r="B152" s="29"/>
      <c r="C152" s="29"/>
      <c r="D152" s="29"/>
      <c r="E152" s="29"/>
      <c r="F152" s="29"/>
      <c r="G152" s="29"/>
      <c r="H152" s="29"/>
    </row>
    <row r="153" spans="2:8" x14ac:dyDescent="0.2">
      <c r="B153" s="29"/>
      <c r="C153" s="29"/>
      <c r="D153" s="29"/>
      <c r="E153" s="29"/>
      <c r="F153" s="29"/>
      <c r="G153" s="29"/>
      <c r="H153" s="29"/>
    </row>
    <row r="154" spans="2:8" x14ac:dyDescent="0.2">
      <c r="B154" s="29"/>
      <c r="C154" s="29"/>
      <c r="D154" s="29"/>
      <c r="E154" s="29"/>
      <c r="F154" s="29"/>
      <c r="G154" s="29"/>
      <c r="H154" s="29"/>
    </row>
    <row r="155" spans="2:8" x14ac:dyDescent="0.2">
      <c r="B155" s="29"/>
      <c r="C155" s="29"/>
      <c r="D155" s="29"/>
      <c r="E155" s="29"/>
      <c r="F155" s="29"/>
      <c r="G155" s="29"/>
      <c r="H155" s="29"/>
    </row>
    <row r="156" spans="2:8" x14ac:dyDescent="0.2">
      <c r="B156" s="29"/>
      <c r="C156" s="29"/>
      <c r="D156" s="29"/>
      <c r="E156" s="29"/>
      <c r="F156" s="29"/>
      <c r="G156" s="29"/>
      <c r="H156" s="29"/>
    </row>
    <row r="157" spans="2:8" x14ac:dyDescent="0.2">
      <c r="B157" s="29"/>
      <c r="C157" s="29"/>
      <c r="D157" s="29"/>
      <c r="E157" s="29"/>
      <c r="F157" s="29"/>
      <c r="G157" s="29"/>
      <c r="H157" s="29"/>
    </row>
    <row r="158" spans="2:8" x14ac:dyDescent="0.2">
      <c r="B158" s="29"/>
      <c r="C158" s="29"/>
      <c r="D158" s="29"/>
      <c r="E158" s="29"/>
      <c r="F158" s="29"/>
      <c r="G158" s="29"/>
      <c r="H158" s="29"/>
    </row>
    <row r="159" spans="2:8" x14ac:dyDescent="0.2">
      <c r="B159" s="29"/>
      <c r="C159" s="29"/>
      <c r="D159" s="29"/>
      <c r="E159" s="29"/>
      <c r="F159" s="29"/>
      <c r="G159" s="29"/>
      <c r="H159" s="29"/>
    </row>
    <row r="160" spans="2:8" x14ac:dyDescent="0.2">
      <c r="B160" s="29"/>
      <c r="C160" s="29"/>
      <c r="D160" s="29"/>
      <c r="E160" s="29"/>
      <c r="F160" s="29"/>
      <c r="G160" s="29"/>
      <c r="H160" s="29"/>
    </row>
    <row r="161" spans="2:8" x14ac:dyDescent="0.2">
      <c r="B161" s="29"/>
      <c r="C161" s="29"/>
      <c r="D161" s="29"/>
      <c r="E161" s="29"/>
      <c r="F161" s="29"/>
      <c r="G161" s="29"/>
      <c r="H161" s="29"/>
    </row>
    <row r="162" spans="2:8" x14ac:dyDescent="0.2">
      <c r="B162" s="29"/>
      <c r="C162" s="29"/>
      <c r="D162" s="29"/>
      <c r="E162" s="29"/>
      <c r="F162" s="29"/>
      <c r="G162" s="29"/>
      <c r="H162" s="29"/>
    </row>
    <row r="163" spans="2:8" x14ac:dyDescent="0.2">
      <c r="B163" s="29"/>
      <c r="C163" s="29"/>
      <c r="D163" s="29"/>
      <c r="E163" s="29"/>
      <c r="F163" s="29"/>
      <c r="G163" s="29"/>
      <c r="H163" s="29"/>
    </row>
    <row r="164" spans="2:8" x14ac:dyDescent="0.2">
      <c r="B164" s="29"/>
      <c r="C164" s="29"/>
      <c r="D164" s="29"/>
      <c r="E164" s="29"/>
      <c r="F164" s="29"/>
      <c r="G164" s="29"/>
      <c r="H164" s="29"/>
    </row>
    <row r="165" spans="2:8" x14ac:dyDescent="0.2">
      <c r="B165" s="29"/>
      <c r="C165" s="29"/>
      <c r="D165" s="29"/>
      <c r="E165" s="29"/>
      <c r="F165" s="29"/>
      <c r="G165" s="29"/>
      <c r="H165" s="29"/>
    </row>
    <row r="166" spans="2:8" x14ac:dyDescent="0.2">
      <c r="B166" s="29"/>
      <c r="C166" s="29"/>
      <c r="D166" s="29"/>
      <c r="E166" s="29"/>
      <c r="F166" s="29"/>
      <c r="G166" s="29"/>
      <c r="H166" s="29"/>
    </row>
    <row r="167" spans="2:8" x14ac:dyDescent="0.2">
      <c r="B167" s="29"/>
      <c r="C167" s="29"/>
      <c r="D167" s="29"/>
      <c r="E167" s="29"/>
      <c r="F167" s="29"/>
      <c r="G167" s="29"/>
      <c r="H167" s="29"/>
    </row>
    <row r="168" spans="2:8" x14ac:dyDescent="0.2">
      <c r="B168" s="29"/>
      <c r="C168" s="29"/>
      <c r="D168" s="29"/>
      <c r="E168" s="29"/>
      <c r="F168" s="29"/>
      <c r="G168" s="29"/>
      <c r="H168" s="29"/>
    </row>
    <row r="169" spans="2:8" x14ac:dyDescent="0.2">
      <c r="B169" s="29"/>
      <c r="C169" s="29"/>
      <c r="D169" s="29"/>
      <c r="E169" s="29"/>
      <c r="F169" s="29"/>
      <c r="G169" s="29"/>
      <c r="H169" s="29"/>
    </row>
    <row r="170" spans="2:8" x14ac:dyDescent="0.2">
      <c r="B170" s="29"/>
      <c r="C170" s="29"/>
      <c r="D170" s="29"/>
      <c r="E170" s="29"/>
      <c r="F170" s="29"/>
      <c r="G170" s="29"/>
      <c r="H170" s="29"/>
    </row>
    <row r="171" spans="2:8" x14ac:dyDescent="0.2">
      <c r="B171" s="29"/>
      <c r="C171" s="29"/>
      <c r="D171" s="29"/>
      <c r="E171" s="29"/>
      <c r="F171" s="29"/>
      <c r="G171" s="29"/>
      <c r="H171" s="29"/>
    </row>
    <row r="172" spans="2:8" x14ac:dyDescent="0.2">
      <c r="B172" s="29"/>
      <c r="C172" s="29"/>
      <c r="D172" s="29"/>
      <c r="E172" s="29"/>
      <c r="F172" s="29"/>
      <c r="G172" s="29"/>
      <c r="H172" s="29"/>
    </row>
    <row r="173" spans="2:8" x14ac:dyDescent="0.2">
      <c r="B173" s="29"/>
      <c r="C173" s="29"/>
      <c r="D173" s="29"/>
      <c r="E173" s="29"/>
      <c r="F173" s="29"/>
      <c r="G173" s="29"/>
      <c r="H173" s="29"/>
    </row>
    <row r="174" spans="2:8" x14ac:dyDescent="0.2">
      <c r="B174" s="29"/>
      <c r="C174" s="29"/>
      <c r="D174" s="29"/>
      <c r="E174" s="29"/>
      <c r="F174" s="29"/>
      <c r="G174" s="29"/>
      <c r="H174" s="29"/>
    </row>
    <row r="175" spans="2:8" x14ac:dyDescent="0.2">
      <c r="B175" s="29"/>
      <c r="C175" s="29"/>
      <c r="D175" s="29"/>
      <c r="E175" s="29"/>
      <c r="F175" s="29"/>
      <c r="G175" s="29"/>
      <c r="H175" s="29"/>
    </row>
    <row r="176" spans="2:8" x14ac:dyDescent="0.2">
      <c r="B176" s="29"/>
      <c r="C176" s="29"/>
      <c r="D176" s="29"/>
      <c r="E176" s="29"/>
      <c r="F176" s="29"/>
      <c r="G176" s="29"/>
      <c r="H176" s="29"/>
    </row>
    <row r="177" spans="2:8" x14ac:dyDescent="0.2">
      <c r="B177" s="29"/>
      <c r="C177" s="29"/>
      <c r="D177" s="29"/>
      <c r="E177" s="29"/>
      <c r="F177" s="29"/>
      <c r="G177" s="29"/>
      <c r="H177" s="29"/>
    </row>
    <row r="178" spans="2:8" x14ac:dyDescent="0.2">
      <c r="B178" s="29"/>
      <c r="C178" s="29"/>
      <c r="D178" s="29"/>
      <c r="E178" s="29"/>
      <c r="F178" s="29"/>
      <c r="G178" s="29"/>
      <c r="H178" s="29"/>
    </row>
    <row r="179" spans="2:8" x14ac:dyDescent="0.2">
      <c r="B179" s="29"/>
      <c r="C179" s="29"/>
      <c r="D179" s="29"/>
      <c r="E179" s="29"/>
      <c r="F179" s="29"/>
      <c r="G179" s="29"/>
      <c r="H179" s="29"/>
    </row>
    <row r="180" spans="2:8" x14ac:dyDescent="0.2">
      <c r="B180" s="29"/>
      <c r="C180" s="29"/>
      <c r="D180" s="29"/>
      <c r="E180" s="29"/>
      <c r="F180" s="29"/>
      <c r="G180" s="29"/>
      <c r="H180" s="29"/>
    </row>
    <row r="181" spans="2:8" x14ac:dyDescent="0.2">
      <c r="B181" s="29"/>
      <c r="C181" s="29"/>
      <c r="D181" s="29"/>
      <c r="E181" s="29"/>
      <c r="F181" s="29"/>
      <c r="G181" s="29"/>
      <c r="H181" s="29"/>
    </row>
    <row r="182" spans="2:8" x14ac:dyDescent="0.2">
      <c r="B182" s="29"/>
      <c r="C182" s="29"/>
      <c r="D182" s="29"/>
      <c r="E182" s="29"/>
      <c r="F182" s="29"/>
      <c r="G182" s="29"/>
      <c r="H182" s="29"/>
    </row>
    <row r="183" spans="2:8" x14ac:dyDescent="0.2">
      <c r="B183" s="29"/>
      <c r="C183" s="29"/>
      <c r="D183" s="29"/>
      <c r="E183" s="29"/>
      <c r="F183" s="29"/>
      <c r="G183" s="29"/>
      <c r="H183" s="29"/>
    </row>
    <row r="184" spans="2:8" x14ac:dyDescent="0.2">
      <c r="B184" s="29"/>
      <c r="C184" s="29"/>
      <c r="D184" s="29"/>
      <c r="E184" s="29"/>
      <c r="F184" s="29"/>
      <c r="G184" s="29"/>
      <c r="H184" s="29"/>
    </row>
    <row r="185" spans="2:8" x14ac:dyDescent="0.2">
      <c r="B185" s="29"/>
      <c r="C185" s="29"/>
      <c r="D185" s="29"/>
      <c r="E185" s="29"/>
      <c r="F185" s="29"/>
      <c r="G185" s="29"/>
      <c r="H185" s="29"/>
    </row>
    <row r="186" spans="2:8" x14ac:dyDescent="0.2">
      <c r="B186" s="29"/>
      <c r="C186" s="29"/>
      <c r="D186" s="29"/>
      <c r="E186" s="29"/>
      <c r="F186" s="29"/>
      <c r="G186" s="29"/>
      <c r="H186" s="29"/>
    </row>
    <row r="187" spans="2:8" x14ac:dyDescent="0.2">
      <c r="B187" s="29"/>
      <c r="C187" s="29"/>
      <c r="D187" s="29"/>
      <c r="E187" s="29"/>
      <c r="F187" s="29"/>
      <c r="G187" s="29"/>
      <c r="H187" s="29"/>
    </row>
    <row r="188" spans="2:8" x14ac:dyDescent="0.2">
      <c r="B188" s="29"/>
      <c r="C188" s="29"/>
      <c r="D188" s="29"/>
      <c r="E188" s="29"/>
      <c r="F188" s="29"/>
      <c r="G188" s="29"/>
      <c r="H188" s="29"/>
    </row>
    <row r="189" spans="2:8" x14ac:dyDescent="0.2">
      <c r="B189" s="29"/>
      <c r="C189" s="29"/>
      <c r="D189" s="29"/>
      <c r="E189" s="29"/>
      <c r="F189" s="29"/>
      <c r="G189" s="29"/>
      <c r="H189" s="29"/>
    </row>
    <row r="190" spans="2:8" x14ac:dyDescent="0.2">
      <c r="B190" s="29"/>
      <c r="C190" s="29"/>
      <c r="D190" s="29"/>
      <c r="E190" s="29"/>
      <c r="F190" s="29"/>
      <c r="G190" s="29"/>
      <c r="H190" s="29"/>
    </row>
    <row r="191" spans="2:8" x14ac:dyDescent="0.2">
      <c r="B191" s="29"/>
      <c r="C191" s="29"/>
      <c r="D191" s="29"/>
      <c r="E191" s="29"/>
      <c r="F191" s="29"/>
      <c r="G191" s="29"/>
      <c r="H191" s="29"/>
    </row>
    <row r="192" spans="2:8" x14ac:dyDescent="0.2">
      <c r="B192" s="29"/>
      <c r="C192" s="29"/>
      <c r="D192" s="29"/>
      <c r="E192" s="29"/>
      <c r="F192" s="29"/>
      <c r="G192" s="29"/>
      <c r="H192" s="29"/>
    </row>
    <row r="193" spans="2:8" x14ac:dyDescent="0.2">
      <c r="B193" s="29"/>
      <c r="C193" s="29"/>
      <c r="D193" s="29"/>
      <c r="E193" s="29"/>
      <c r="F193" s="29"/>
      <c r="G193" s="29"/>
      <c r="H193" s="29"/>
    </row>
    <row r="194" spans="2:8" x14ac:dyDescent="0.2">
      <c r="B194" s="29"/>
      <c r="C194" s="29"/>
      <c r="D194" s="29"/>
      <c r="E194" s="29"/>
      <c r="F194" s="29"/>
      <c r="G194" s="29"/>
      <c r="H194" s="29"/>
    </row>
    <row r="195" spans="2:8" x14ac:dyDescent="0.2">
      <c r="B195" s="29"/>
      <c r="C195" s="29"/>
      <c r="D195" s="29"/>
      <c r="E195" s="29"/>
      <c r="F195" s="29"/>
      <c r="G195" s="29"/>
      <c r="H195" s="29"/>
    </row>
    <row r="196" spans="2:8" x14ac:dyDescent="0.2">
      <c r="B196" s="29"/>
      <c r="C196" s="29"/>
      <c r="D196" s="29"/>
      <c r="E196" s="29"/>
      <c r="F196" s="29"/>
      <c r="G196" s="29"/>
      <c r="H196" s="29"/>
    </row>
    <row r="197" spans="2:8" x14ac:dyDescent="0.2">
      <c r="B197" s="29"/>
      <c r="C197" s="29"/>
      <c r="D197" s="29"/>
      <c r="E197" s="29"/>
      <c r="F197" s="29"/>
      <c r="G197" s="29"/>
      <c r="H197" s="29"/>
    </row>
    <row r="198" spans="2:8" x14ac:dyDescent="0.2">
      <c r="B198" s="29"/>
      <c r="C198" s="29"/>
      <c r="D198" s="29"/>
      <c r="E198" s="29"/>
      <c r="F198" s="29"/>
      <c r="G198" s="29"/>
      <c r="H198" s="29"/>
    </row>
    <row r="199" spans="2:8" x14ac:dyDescent="0.2">
      <c r="B199" s="29"/>
      <c r="C199" s="29"/>
      <c r="D199" s="29"/>
      <c r="E199" s="29"/>
      <c r="F199" s="29"/>
      <c r="G199" s="29"/>
      <c r="H199" s="29"/>
    </row>
    <row r="200" spans="2:8" x14ac:dyDescent="0.2">
      <c r="B200" s="29"/>
      <c r="C200" s="29"/>
      <c r="D200" s="29"/>
      <c r="E200" s="29"/>
      <c r="F200" s="29"/>
      <c r="G200" s="29"/>
      <c r="H200" s="29"/>
    </row>
    <row r="201" spans="2:8" x14ac:dyDescent="0.2">
      <c r="B201" s="29"/>
      <c r="C201" s="29"/>
      <c r="D201" s="29"/>
      <c r="E201" s="29"/>
      <c r="F201" s="29"/>
      <c r="G201" s="29"/>
      <c r="H201" s="29"/>
    </row>
    <row r="202" spans="2:8" x14ac:dyDescent="0.2">
      <c r="B202" s="29"/>
      <c r="C202" s="29"/>
      <c r="D202" s="29"/>
      <c r="E202" s="29"/>
      <c r="F202" s="29"/>
      <c r="G202" s="29"/>
      <c r="H202" s="29"/>
    </row>
    <row r="203" spans="2:8" x14ac:dyDescent="0.2">
      <c r="B203" s="29"/>
      <c r="C203" s="29"/>
      <c r="D203" s="29"/>
      <c r="E203" s="29"/>
      <c r="F203" s="29"/>
      <c r="G203" s="29"/>
      <c r="H203" s="29"/>
    </row>
    <row r="204" spans="2:8" x14ac:dyDescent="0.2">
      <c r="B204" s="29"/>
      <c r="C204" s="29"/>
      <c r="D204" s="29"/>
      <c r="E204" s="29"/>
      <c r="F204" s="29"/>
      <c r="G204" s="29"/>
      <c r="H204" s="29"/>
    </row>
    <row r="205" spans="2:8" x14ac:dyDescent="0.2">
      <c r="B205" s="29"/>
      <c r="C205" s="29"/>
      <c r="D205" s="29"/>
      <c r="E205" s="29"/>
      <c r="F205" s="29"/>
      <c r="G205" s="29"/>
      <c r="H205" s="29"/>
    </row>
    <row r="206" spans="2:8" x14ac:dyDescent="0.2">
      <c r="B206" s="29"/>
      <c r="C206" s="29"/>
      <c r="D206" s="29"/>
      <c r="E206" s="29"/>
      <c r="F206" s="29"/>
      <c r="G206" s="29"/>
      <c r="H206" s="29"/>
    </row>
    <row r="207" spans="2:8" x14ac:dyDescent="0.2">
      <c r="B207" s="29"/>
      <c r="C207" s="29"/>
      <c r="D207" s="29"/>
      <c r="E207" s="29"/>
      <c r="F207" s="29"/>
      <c r="G207" s="29"/>
      <c r="H207" s="29"/>
    </row>
    <row r="208" spans="2:8" x14ac:dyDescent="0.2">
      <c r="B208" s="29"/>
      <c r="C208" s="29"/>
      <c r="D208" s="29"/>
      <c r="E208" s="29"/>
      <c r="F208" s="29"/>
      <c r="G208" s="29"/>
      <c r="H208" s="29"/>
    </row>
    <row r="209" spans="2:8" x14ac:dyDescent="0.2">
      <c r="B209" s="29"/>
      <c r="C209" s="29"/>
      <c r="D209" s="29"/>
      <c r="E209" s="29"/>
      <c r="F209" s="29"/>
      <c r="G209" s="29"/>
      <c r="H209" s="29"/>
    </row>
    <row r="210" spans="2:8" x14ac:dyDescent="0.2">
      <c r="B210" s="29"/>
      <c r="C210" s="29"/>
      <c r="D210" s="29"/>
      <c r="E210" s="29"/>
      <c r="F210" s="29"/>
      <c r="G210" s="29"/>
      <c r="H210" s="29"/>
    </row>
    <row r="211" spans="2:8" x14ac:dyDescent="0.2">
      <c r="B211" s="29"/>
      <c r="C211" s="29"/>
      <c r="D211" s="29"/>
      <c r="E211" s="29"/>
      <c r="F211" s="29"/>
      <c r="G211" s="29"/>
      <c r="H211" s="29"/>
    </row>
    <row r="212" spans="2:8" x14ac:dyDescent="0.2">
      <c r="B212" s="29"/>
      <c r="C212" s="29"/>
      <c r="D212" s="29"/>
      <c r="E212" s="29"/>
      <c r="F212" s="29"/>
      <c r="G212" s="29"/>
      <c r="H212" s="29"/>
    </row>
    <row r="213" spans="2:8" x14ac:dyDescent="0.2">
      <c r="B213" s="29"/>
      <c r="C213" s="29"/>
      <c r="D213" s="29"/>
      <c r="E213" s="29"/>
      <c r="F213" s="29"/>
      <c r="G213" s="29"/>
      <c r="H213" s="29"/>
    </row>
    <row r="214" spans="2:8" x14ac:dyDescent="0.2">
      <c r="B214" s="29"/>
      <c r="C214" s="29"/>
      <c r="D214" s="29"/>
      <c r="E214" s="29"/>
      <c r="F214" s="29"/>
      <c r="G214" s="29"/>
      <c r="H214" s="29"/>
    </row>
    <row r="215" spans="2:8" x14ac:dyDescent="0.2">
      <c r="B215" s="29"/>
      <c r="C215" s="29"/>
      <c r="D215" s="29"/>
      <c r="E215" s="29"/>
      <c r="F215" s="29"/>
      <c r="G215" s="29"/>
      <c r="H215" s="29"/>
    </row>
    <row r="216" spans="2:8" x14ac:dyDescent="0.2">
      <c r="B216" s="29"/>
      <c r="C216" s="29"/>
      <c r="D216" s="29"/>
      <c r="E216" s="29"/>
      <c r="F216" s="29"/>
      <c r="G216" s="29"/>
      <c r="H216" s="29"/>
    </row>
    <row r="217" spans="2:8" x14ac:dyDescent="0.2">
      <c r="B217" s="29"/>
      <c r="C217" s="29"/>
      <c r="D217" s="29"/>
      <c r="E217" s="29"/>
      <c r="F217" s="29"/>
      <c r="G217" s="29"/>
      <c r="H217" s="29"/>
    </row>
    <row r="218" spans="2:8" x14ac:dyDescent="0.2">
      <c r="B218" s="29"/>
      <c r="C218" s="29"/>
      <c r="D218" s="29"/>
      <c r="E218" s="29"/>
      <c r="F218" s="29"/>
      <c r="G218" s="29"/>
      <c r="H218" s="29"/>
    </row>
    <row r="219" spans="2:8" x14ac:dyDescent="0.2">
      <c r="B219" s="29"/>
      <c r="C219" s="29"/>
      <c r="D219" s="29"/>
      <c r="E219" s="29"/>
      <c r="F219" s="29"/>
      <c r="G219" s="29"/>
      <c r="H219" s="29"/>
    </row>
    <row r="220" spans="2:8" x14ac:dyDescent="0.2">
      <c r="B220" s="29"/>
      <c r="C220" s="29"/>
      <c r="D220" s="29"/>
      <c r="E220" s="29"/>
      <c r="F220" s="29"/>
      <c r="G220" s="29"/>
      <c r="H220" s="29"/>
    </row>
    <row r="221" spans="2:8" x14ac:dyDescent="0.2">
      <c r="B221" s="29"/>
      <c r="C221" s="29"/>
      <c r="D221" s="29"/>
      <c r="E221" s="29"/>
      <c r="F221" s="29"/>
      <c r="G221" s="29"/>
      <c r="H221" s="29"/>
    </row>
    <row r="222" spans="2:8" x14ac:dyDescent="0.2">
      <c r="B222" s="29"/>
      <c r="C222" s="29"/>
      <c r="D222" s="29"/>
      <c r="E222" s="29"/>
      <c r="F222" s="29"/>
      <c r="G222" s="29"/>
      <c r="H222" s="29"/>
    </row>
    <row r="223" spans="2:8" x14ac:dyDescent="0.2">
      <c r="B223" s="29"/>
      <c r="C223" s="29"/>
      <c r="D223" s="29"/>
      <c r="E223" s="29"/>
      <c r="F223" s="29"/>
      <c r="G223" s="29"/>
      <c r="H223" s="29"/>
    </row>
    <row r="224" spans="2:8" x14ac:dyDescent="0.2">
      <c r="B224" s="29"/>
      <c r="C224" s="29"/>
      <c r="D224" s="29"/>
      <c r="E224" s="29"/>
      <c r="F224" s="29"/>
      <c r="G224" s="29"/>
      <c r="H224" s="29"/>
    </row>
    <row r="225" spans="2:8" x14ac:dyDescent="0.2">
      <c r="B225" s="29"/>
      <c r="C225" s="29"/>
      <c r="D225" s="29"/>
      <c r="E225" s="29"/>
      <c r="F225" s="29"/>
      <c r="G225" s="29"/>
      <c r="H225" s="29"/>
    </row>
    <row r="226" spans="2:8" x14ac:dyDescent="0.2">
      <c r="B226" s="29"/>
      <c r="C226" s="29"/>
      <c r="D226" s="29"/>
      <c r="E226" s="29"/>
      <c r="F226" s="29"/>
      <c r="G226" s="29"/>
      <c r="H226" s="29"/>
    </row>
    <row r="227" spans="2:8" x14ac:dyDescent="0.2">
      <c r="B227" s="29"/>
      <c r="C227" s="29"/>
      <c r="D227" s="29"/>
      <c r="E227" s="29"/>
      <c r="F227" s="29"/>
      <c r="G227" s="29"/>
      <c r="H227" s="29"/>
    </row>
    <row r="228" spans="2:8" x14ac:dyDescent="0.2">
      <c r="B228" s="29"/>
      <c r="C228" s="29"/>
      <c r="D228" s="29"/>
      <c r="E228" s="29"/>
      <c r="F228" s="29"/>
      <c r="G228" s="29"/>
      <c r="H228" s="29"/>
    </row>
    <row r="229" spans="2:8" x14ac:dyDescent="0.2">
      <c r="B229" s="29"/>
      <c r="C229" s="29"/>
      <c r="D229" s="29"/>
      <c r="E229" s="29"/>
      <c r="F229" s="29"/>
      <c r="G229" s="29"/>
      <c r="H229" s="29"/>
    </row>
    <row r="230" spans="2:8" x14ac:dyDescent="0.2">
      <c r="B230" s="29"/>
      <c r="C230" s="29"/>
      <c r="D230" s="29"/>
      <c r="E230" s="29"/>
      <c r="F230" s="29"/>
      <c r="G230" s="29"/>
      <c r="H230" s="29"/>
    </row>
    <row r="231" spans="2:8" x14ac:dyDescent="0.2">
      <c r="B231" s="29"/>
      <c r="C231" s="29"/>
      <c r="D231" s="29"/>
      <c r="E231" s="29"/>
      <c r="F231" s="29"/>
      <c r="G231" s="29"/>
      <c r="H231" s="29"/>
    </row>
    <row r="232" spans="2:8" x14ac:dyDescent="0.2">
      <c r="B232" s="29"/>
      <c r="C232" s="29"/>
      <c r="D232" s="29"/>
      <c r="E232" s="29"/>
      <c r="F232" s="29"/>
      <c r="G232" s="29"/>
      <c r="H232" s="29"/>
    </row>
    <row r="233" spans="2:8" x14ac:dyDescent="0.2">
      <c r="B233" s="29"/>
      <c r="C233" s="29"/>
      <c r="D233" s="29"/>
      <c r="E233" s="29"/>
      <c r="F233" s="29"/>
      <c r="G233" s="29"/>
      <c r="H233" s="29"/>
    </row>
    <row r="234" spans="2:8" x14ac:dyDescent="0.2">
      <c r="B234" s="29"/>
      <c r="C234" s="29"/>
      <c r="D234" s="29"/>
      <c r="E234" s="29"/>
      <c r="F234" s="29"/>
      <c r="G234" s="29"/>
      <c r="H234" s="29"/>
    </row>
    <row r="235" spans="2:8" x14ac:dyDescent="0.2">
      <c r="B235" s="29"/>
      <c r="C235" s="29"/>
      <c r="D235" s="29"/>
      <c r="E235" s="29"/>
      <c r="F235" s="29"/>
      <c r="G235" s="29"/>
      <c r="H235" s="29"/>
    </row>
    <row r="236" spans="2:8" x14ac:dyDescent="0.2">
      <c r="B236" s="29"/>
      <c r="C236" s="29"/>
      <c r="D236" s="29"/>
      <c r="E236" s="29"/>
      <c r="F236" s="29"/>
      <c r="G236" s="29"/>
      <c r="H236" s="29"/>
    </row>
    <row r="237" spans="2:8" x14ac:dyDescent="0.2">
      <c r="B237" s="29"/>
      <c r="C237" s="29"/>
      <c r="D237" s="29"/>
      <c r="E237" s="29"/>
      <c r="F237" s="29"/>
      <c r="G237" s="29"/>
      <c r="H237" s="29"/>
    </row>
    <row r="238" spans="2:8" x14ac:dyDescent="0.2">
      <c r="B238" s="29"/>
      <c r="C238" s="29"/>
      <c r="D238" s="29"/>
      <c r="E238" s="29"/>
      <c r="F238" s="29"/>
      <c r="G238" s="29"/>
      <c r="H238" s="29"/>
    </row>
    <row r="239" spans="2:8" x14ac:dyDescent="0.2">
      <c r="B239" s="29"/>
      <c r="C239" s="29"/>
      <c r="D239" s="29"/>
      <c r="E239" s="29"/>
      <c r="F239" s="29"/>
      <c r="G239" s="29"/>
      <c r="H239" s="29"/>
    </row>
    <row r="240" spans="2:8" x14ac:dyDescent="0.2">
      <c r="B240" s="29"/>
      <c r="C240" s="29"/>
      <c r="D240" s="29"/>
      <c r="E240" s="29"/>
      <c r="F240" s="29"/>
      <c r="G240" s="29"/>
      <c r="H240" s="29"/>
    </row>
    <row r="241" spans="2:8" x14ac:dyDescent="0.2">
      <c r="B241" s="29"/>
      <c r="C241" s="29"/>
      <c r="D241" s="29"/>
      <c r="E241" s="29"/>
      <c r="F241" s="29"/>
      <c r="G241" s="29"/>
      <c r="H241" s="29"/>
    </row>
    <row r="242" spans="2:8" x14ac:dyDescent="0.2">
      <c r="B242" s="29"/>
      <c r="C242" s="29"/>
      <c r="D242" s="29"/>
      <c r="E242" s="29"/>
      <c r="F242" s="29"/>
      <c r="G242" s="29"/>
      <c r="H242" s="29"/>
    </row>
    <row r="243" spans="2:8" x14ac:dyDescent="0.2">
      <c r="B243" s="29"/>
      <c r="C243" s="29"/>
      <c r="D243" s="29"/>
      <c r="E243" s="29"/>
      <c r="F243" s="29"/>
      <c r="G243" s="29"/>
      <c r="H243" s="29"/>
    </row>
    <row r="244" spans="2:8" x14ac:dyDescent="0.2">
      <c r="B244" s="29"/>
      <c r="C244" s="29"/>
      <c r="D244" s="29"/>
      <c r="E244" s="29"/>
      <c r="F244" s="29"/>
      <c r="G244" s="29"/>
      <c r="H244" s="29"/>
    </row>
    <row r="245" spans="2:8" x14ac:dyDescent="0.2">
      <c r="B245" s="29"/>
      <c r="C245" s="29"/>
      <c r="D245" s="29"/>
      <c r="E245" s="29"/>
      <c r="F245" s="29"/>
      <c r="G245" s="29"/>
      <c r="H245" s="29"/>
    </row>
    <row r="246" spans="2:8" x14ac:dyDescent="0.2">
      <c r="B246" s="29"/>
      <c r="C246" s="29"/>
      <c r="D246" s="29"/>
      <c r="E246" s="29"/>
      <c r="F246" s="29"/>
      <c r="G246" s="29"/>
      <c r="H246" s="29"/>
    </row>
    <row r="247" spans="2:8" x14ac:dyDescent="0.2">
      <c r="B247" s="29"/>
      <c r="C247" s="29"/>
      <c r="D247" s="29"/>
      <c r="E247" s="29"/>
      <c r="F247" s="29"/>
      <c r="G247" s="29"/>
      <c r="H247" s="29"/>
    </row>
    <row r="248" spans="2:8" x14ac:dyDescent="0.2">
      <c r="B248" s="29"/>
      <c r="C248" s="29"/>
      <c r="D248" s="29"/>
      <c r="E248" s="29"/>
      <c r="F248" s="29"/>
      <c r="G248" s="29"/>
      <c r="H248" s="29"/>
    </row>
    <row r="249" spans="2:8" x14ac:dyDescent="0.2">
      <c r="B249" s="29"/>
      <c r="C249" s="29"/>
      <c r="D249" s="29"/>
      <c r="E249" s="29"/>
      <c r="F249" s="29"/>
      <c r="G249" s="29"/>
      <c r="H249" s="29"/>
    </row>
    <row r="250" spans="2:8" x14ac:dyDescent="0.2">
      <c r="B250" s="29"/>
      <c r="C250" s="29"/>
      <c r="D250" s="29"/>
      <c r="E250" s="29"/>
      <c r="F250" s="29"/>
      <c r="G250" s="29"/>
      <c r="H250" s="29"/>
    </row>
    <row r="251" spans="2:8" x14ac:dyDescent="0.2">
      <c r="B251" s="29"/>
      <c r="C251" s="29"/>
      <c r="D251" s="29"/>
      <c r="E251" s="29"/>
      <c r="F251" s="29"/>
      <c r="G251" s="29"/>
      <c r="H251" s="29"/>
    </row>
    <row r="252" spans="2:8" x14ac:dyDescent="0.2">
      <c r="B252" s="29"/>
      <c r="C252" s="29"/>
      <c r="D252" s="29"/>
      <c r="E252" s="29"/>
      <c r="F252" s="29"/>
      <c r="G252" s="29"/>
      <c r="H252" s="29"/>
    </row>
    <row r="253" spans="2:8" x14ac:dyDescent="0.2">
      <c r="B253" s="29"/>
      <c r="C253" s="29"/>
      <c r="D253" s="29"/>
      <c r="E253" s="29"/>
      <c r="F253" s="29"/>
      <c r="G253" s="29"/>
      <c r="H253" s="29"/>
    </row>
    <row r="254" spans="2:8" x14ac:dyDescent="0.2">
      <c r="B254" s="29"/>
      <c r="C254" s="29"/>
      <c r="D254" s="29"/>
      <c r="E254" s="29"/>
      <c r="F254" s="29"/>
      <c r="G254" s="29"/>
      <c r="H254" s="29"/>
    </row>
    <row r="255" spans="2:8" x14ac:dyDescent="0.2">
      <c r="B255" s="29"/>
      <c r="C255" s="29"/>
      <c r="D255" s="29"/>
      <c r="E255" s="29"/>
      <c r="F255" s="29"/>
      <c r="G255" s="29"/>
      <c r="H255" s="29"/>
    </row>
    <row r="256" spans="2:8" x14ac:dyDescent="0.2">
      <c r="B256" s="29"/>
      <c r="C256" s="29"/>
      <c r="D256" s="29"/>
      <c r="E256" s="29"/>
      <c r="F256" s="29"/>
      <c r="G256" s="29"/>
      <c r="H256" s="29"/>
    </row>
    <row r="257" spans="2:8" x14ac:dyDescent="0.2">
      <c r="B257" s="29"/>
      <c r="C257" s="29"/>
      <c r="D257" s="29"/>
      <c r="E257" s="29"/>
      <c r="F257" s="29"/>
      <c r="G257" s="29"/>
      <c r="H257" s="29"/>
    </row>
    <row r="258" spans="2:8" x14ac:dyDescent="0.2">
      <c r="B258" s="29"/>
      <c r="C258" s="29"/>
      <c r="D258" s="29"/>
      <c r="E258" s="29"/>
      <c r="F258" s="29"/>
      <c r="G258" s="29"/>
      <c r="H258" s="29"/>
    </row>
    <row r="259" spans="2:8" x14ac:dyDescent="0.2">
      <c r="B259" s="29"/>
      <c r="C259" s="29"/>
      <c r="D259" s="29"/>
      <c r="E259" s="29"/>
      <c r="F259" s="29"/>
      <c r="G259" s="29"/>
      <c r="H259" s="29"/>
    </row>
    <row r="260" spans="2:8" x14ac:dyDescent="0.2">
      <c r="B260" s="29"/>
      <c r="C260" s="29"/>
      <c r="D260" s="29"/>
      <c r="E260" s="29"/>
      <c r="F260" s="29"/>
      <c r="G260" s="29"/>
      <c r="H260" s="29"/>
    </row>
    <row r="261" spans="2:8" x14ac:dyDescent="0.2">
      <c r="B261" s="29"/>
      <c r="C261" s="29"/>
      <c r="D261" s="29"/>
      <c r="E261" s="29"/>
      <c r="F261" s="29"/>
      <c r="G261" s="29"/>
      <c r="H261" s="29"/>
    </row>
    <row r="262" spans="2:8" x14ac:dyDescent="0.2">
      <c r="B262" s="29"/>
      <c r="C262" s="29"/>
      <c r="D262" s="29"/>
      <c r="E262" s="29"/>
      <c r="F262" s="29"/>
      <c r="G262" s="29"/>
      <c r="H262" s="29"/>
    </row>
    <row r="263" spans="2:8" x14ac:dyDescent="0.2">
      <c r="B263" s="29"/>
      <c r="C263" s="29"/>
      <c r="D263" s="29"/>
      <c r="E263" s="29"/>
      <c r="F263" s="29"/>
      <c r="G263" s="29"/>
      <c r="H263" s="29"/>
    </row>
    <row r="264" spans="2:8" x14ac:dyDescent="0.2">
      <c r="B264" s="29"/>
      <c r="C264" s="29"/>
      <c r="D264" s="29"/>
      <c r="E264" s="29"/>
      <c r="F264" s="29"/>
      <c r="G264" s="29"/>
      <c r="H264" s="29"/>
    </row>
    <row r="265" spans="2:8" x14ac:dyDescent="0.2">
      <c r="B265" s="29"/>
      <c r="C265" s="29"/>
      <c r="D265" s="29"/>
      <c r="E265" s="29"/>
      <c r="F265" s="29"/>
      <c r="G265" s="29"/>
      <c r="H265" s="29"/>
    </row>
    <row r="266" spans="2:8" x14ac:dyDescent="0.2">
      <c r="B266" s="29"/>
      <c r="C266" s="29"/>
      <c r="D266" s="29"/>
      <c r="E266" s="29"/>
      <c r="F266" s="29"/>
      <c r="G266" s="29"/>
      <c r="H266" s="29"/>
    </row>
    <row r="267" spans="2:8" x14ac:dyDescent="0.2">
      <c r="B267" s="29"/>
      <c r="C267" s="29"/>
      <c r="D267" s="29"/>
      <c r="E267" s="29"/>
      <c r="F267" s="29"/>
      <c r="G267" s="29"/>
      <c r="H267" s="29"/>
    </row>
    <row r="268" spans="2:8" x14ac:dyDescent="0.2">
      <c r="B268" s="29"/>
      <c r="C268" s="29"/>
      <c r="D268" s="29"/>
      <c r="E268" s="29"/>
      <c r="F268" s="29"/>
      <c r="G268" s="29"/>
      <c r="H268" s="29"/>
    </row>
    <row r="269" spans="2:8" x14ac:dyDescent="0.2">
      <c r="B269" s="29"/>
      <c r="C269" s="29"/>
      <c r="D269" s="29"/>
      <c r="E269" s="29"/>
      <c r="F269" s="29"/>
      <c r="G269" s="29"/>
      <c r="H269" s="29"/>
    </row>
    <row r="270" spans="2:8" x14ac:dyDescent="0.2">
      <c r="B270" s="29"/>
      <c r="C270" s="29"/>
      <c r="D270" s="29"/>
      <c r="E270" s="29"/>
      <c r="F270" s="29"/>
      <c r="G270" s="29"/>
      <c r="H270" s="29"/>
    </row>
    <row r="271" spans="2:8" x14ac:dyDescent="0.2">
      <c r="B271" s="29"/>
      <c r="C271" s="29"/>
      <c r="D271" s="29"/>
      <c r="E271" s="29"/>
      <c r="F271" s="29"/>
      <c r="G271" s="29"/>
      <c r="H271" s="29"/>
    </row>
    <row r="272" spans="2:8" x14ac:dyDescent="0.2">
      <c r="B272" s="29"/>
      <c r="C272" s="29"/>
      <c r="D272" s="29"/>
      <c r="E272" s="29"/>
      <c r="F272" s="29"/>
      <c r="G272" s="29"/>
      <c r="H272" s="29"/>
    </row>
    <row r="273" spans="2:8" x14ac:dyDescent="0.2">
      <c r="B273" s="29"/>
      <c r="C273" s="29"/>
      <c r="D273" s="29"/>
      <c r="E273" s="29"/>
      <c r="F273" s="29"/>
      <c r="G273" s="29"/>
      <c r="H273" s="29"/>
    </row>
    <row r="274" spans="2:8" x14ac:dyDescent="0.2">
      <c r="B274" s="29"/>
      <c r="C274" s="29"/>
      <c r="D274" s="29"/>
      <c r="E274" s="29"/>
      <c r="F274" s="29"/>
      <c r="G274" s="29"/>
      <c r="H274" s="29"/>
    </row>
    <row r="275" spans="2:8" x14ac:dyDescent="0.2">
      <c r="B275" s="29"/>
      <c r="C275" s="29"/>
      <c r="D275" s="29"/>
      <c r="E275" s="29"/>
      <c r="F275" s="29"/>
      <c r="G275" s="29"/>
      <c r="H275" s="29"/>
    </row>
    <row r="276" spans="2:8" x14ac:dyDescent="0.2">
      <c r="B276" s="29"/>
      <c r="C276" s="29"/>
      <c r="D276" s="29"/>
      <c r="E276" s="29"/>
      <c r="F276" s="29"/>
      <c r="G276" s="29"/>
      <c r="H276" s="29"/>
    </row>
    <row r="277" spans="2:8" x14ac:dyDescent="0.2">
      <c r="B277" s="29"/>
      <c r="C277" s="29"/>
      <c r="D277" s="29"/>
      <c r="E277" s="29"/>
      <c r="F277" s="29"/>
      <c r="G277" s="29"/>
      <c r="H277" s="29"/>
    </row>
    <row r="278" spans="2:8" x14ac:dyDescent="0.2">
      <c r="B278" s="29"/>
      <c r="C278" s="29"/>
      <c r="D278" s="29"/>
      <c r="E278" s="29"/>
      <c r="F278" s="29"/>
      <c r="G278" s="29"/>
      <c r="H278" s="29"/>
    </row>
    <row r="279" spans="2:8" x14ac:dyDescent="0.2">
      <c r="B279" s="29"/>
      <c r="C279" s="29"/>
      <c r="D279" s="29"/>
      <c r="E279" s="29"/>
      <c r="F279" s="29"/>
      <c r="G279" s="29"/>
      <c r="H279" s="29"/>
    </row>
    <row r="280" spans="2:8" x14ac:dyDescent="0.2">
      <c r="B280" s="29"/>
      <c r="C280" s="29"/>
      <c r="D280" s="29"/>
      <c r="E280" s="29"/>
      <c r="F280" s="29"/>
      <c r="G280" s="29"/>
      <c r="H280" s="29"/>
    </row>
    <row r="281" spans="2:8" x14ac:dyDescent="0.2">
      <c r="B281" s="29"/>
      <c r="C281" s="29"/>
      <c r="D281" s="29"/>
      <c r="E281" s="29"/>
      <c r="F281" s="29"/>
      <c r="G281" s="29"/>
      <c r="H281" s="29"/>
    </row>
    <row r="282" spans="2:8" x14ac:dyDescent="0.2">
      <c r="B282" s="29"/>
      <c r="C282" s="29"/>
      <c r="D282" s="29"/>
      <c r="E282" s="29"/>
      <c r="F282" s="29"/>
      <c r="G282" s="29"/>
      <c r="H282" s="29"/>
    </row>
    <row r="283" spans="2:8" x14ac:dyDescent="0.2">
      <c r="B283" s="29"/>
      <c r="C283" s="29"/>
      <c r="D283" s="29"/>
      <c r="E283" s="29"/>
      <c r="F283" s="29"/>
      <c r="G283" s="29"/>
      <c r="H283" s="29"/>
    </row>
    <row r="284" spans="2:8" x14ac:dyDescent="0.2">
      <c r="B284" s="29"/>
      <c r="C284" s="29"/>
      <c r="D284" s="29"/>
      <c r="E284" s="29"/>
      <c r="F284" s="29"/>
      <c r="G284" s="29"/>
      <c r="H284" s="29"/>
    </row>
    <row r="285" spans="2:8" x14ac:dyDescent="0.2">
      <c r="B285" s="29"/>
      <c r="C285" s="29"/>
      <c r="D285" s="29"/>
      <c r="E285" s="29"/>
      <c r="F285" s="29"/>
      <c r="G285" s="29"/>
      <c r="H285" s="29"/>
    </row>
    <row r="286" spans="2:8" x14ac:dyDescent="0.2">
      <c r="B286" s="29"/>
      <c r="C286" s="29"/>
      <c r="D286" s="29"/>
      <c r="E286" s="29"/>
      <c r="F286" s="29"/>
      <c r="G286" s="29"/>
      <c r="H286" s="29"/>
    </row>
    <row r="287" spans="2:8" x14ac:dyDescent="0.2">
      <c r="B287" s="29"/>
      <c r="C287" s="29"/>
      <c r="D287" s="29"/>
      <c r="E287" s="29"/>
      <c r="F287" s="29"/>
      <c r="G287" s="29"/>
      <c r="H287" s="29"/>
    </row>
    <row r="288" spans="2:8" x14ac:dyDescent="0.2">
      <c r="B288" s="29"/>
      <c r="C288" s="29"/>
      <c r="D288" s="29"/>
      <c r="E288" s="29"/>
      <c r="F288" s="29"/>
      <c r="G288" s="29"/>
      <c r="H288" s="29"/>
    </row>
    <row r="289" spans="2:8" x14ac:dyDescent="0.2">
      <c r="B289" s="29"/>
      <c r="C289" s="29"/>
      <c r="D289" s="29"/>
      <c r="E289" s="29"/>
      <c r="F289" s="29"/>
      <c r="G289" s="29"/>
      <c r="H289" s="29"/>
    </row>
    <row r="290" spans="2:8" x14ac:dyDescent="0.2">
      <c r="B290" s="29"/>
      <c r="C290" s="29"/>
      <c r="D290" s="29"/>
      <c r="E290" s="29"/>
      <c r="F290" s="29"/>
      <c r="G290" s="29"/>
      <c r="H290" s="29"/>
    </row>
    <row r="291" spans="2:8" x14ac:dyDescent="0.2">
      <c r="B291" s="29"/>
      <c r="C291" s="29"/>
      <c r="D291" s="29"/>
      <c r="E291" s="29"/>
      <c r="F291" s="29"/>
      <c r="G291" s="29"/>
      <c r="H291" s="29"/>
    </row>
    <row r="292" spans="2:8" x14ac:dyDescent="0.2">
      <c r="B292" s="29"/>
      <c r="C292" s="29"/>
      <c r="D292" s="29"/>
      <c r="E292" s="29"/>
      <c r="F292" s="29"/>
      <c r="G292" s="29"/>
      <c r="H292" s="29"/>
    </row>
    <row r="293" spans="2:8" x14ac:dyDescent="0.2">
      <c r="B293" s="29"/>
      <c r="C293" s="29"/>
      <c r="D293" s="29"/>
      <c r="E293" s="29"/>
      <c r="F293" s="29"/>
      <c r="G293" s="29"/>
      <c r="H293" s="29"/>
    </row>
    <row r="294" spans="2:8" x14ac:dyDescent="0.2">
      <c r="B294" s="29"/>
      <c r="C294" s="29"/>
      <c r="D294" s="29"/>
      <c r="E294" s="29"/>
      <c r="F294" s="29"/>
      <c r="G294" s="29"/>
      <c r="H294" s="29"/>
    </row>
    <row r="295" spans="2:8" x14ac:dyDescent="0.2">
      <c r="B295" s="29"/>
      <c r="C295" s="29"/>
      <c r="D295" s="29"/>
      <c r="E295" s="29"/>
      <c r="F295" s="29"/>
      <c r="G295" s="29"/>
      <c r="H295" s="29"/>
    </row>
    <row r="296" spans="2:8" x14ac:dyDescent="0.2">
      <c r="B296" s="29"/>
      <c r="C296" s="29"/>
      <c r="D296" s="29"/>
      <c r="E296" s="29"/>
      <c r="F296" s="29"/>
      <c r="G296" s="29"/>
      <c r="H296" s="29"/>
    </row>
    <row r="297" spans="2:8" x14ac:dyDescent="0.2">
      <c r="B297" s="29"/>
      <c r="C297" s="29"/>
      <c r="D297" s="29"/>
      <c r="E297" s="29"/>
      <c r="F297" s="29"/>
      <c r="G297" s="29"/>
      <c r="H297" s="29"/>
    </row>
    <row r="298" spans="2:8" x14ac:dyDescent="0.2">
      <c r="B298" s="29"/>
      <c r="C298" s="29"/>
      <c r="D298" s="29"/>
      <c r="E298" s="29"/>
      <c r="F298" s="29"/>
      <c r="G298" s="29"/>
      <c r="H298" s="29"/>
    </row>
    <row r="299" spans="2:8" x14ac:dyDescent="0.2">
      <c r="B299" s="29"/>
      <c r="C299" s="29"/>
      <c r="D299" s="29"/>
      <c r="E299" s="29"/>
      <c r="F299" s="29"/>
      <c r="G299" s="29"/>
      <c r="H299" s="29"/>
    </row>
    <row r="300" spans="2:8" x14ac:dyDescent="0.2">
      <c r="B300" s="29"/>
      <c r="C300" s="29"/>
      <c r="D300" s="29"/>
      <c r="E300" s="29"/>
      <c r="F300" s="29"/>
      <c r="G300" s="29"/>
      <c r="H300" s="29"/>
    </row>
    <row r="301" spans="2:8" x14ac:dyDescent="0.2">
      <c r="B301" s="29"/>
      <c r="C301" s="29"/>
      <c r="D301" s="29"/>
      <c r="E301" s="29"/>
      <c r="F301" s="29"/>
      <c r="G301" s="29"/>
      <c r="H301" s="29"/>
    </row>
    <row r="302" spans="2:8" x14ac:dyDescent="0.2">
      <c r="B302" s="29"/>
      <c r="C302" s="29"/>
      <c r="D302" s="29"/>
      <c r="E302" s="29"/>
      <c r="F302" s="29"/>
      <c r="G302" s="29"/>
      <c r="H302" s="29"/>
    </row>
    <row r="303" spans="2:8" x14ac:dyDescent="0.2">
      <c r="B303" s="29"/>
      <c r="C303" s="29"/>
      <c r="D303" s="29"/>
      <c r="E303" s="29"/>
      <c r="F303" s="29"/>
      <c r="G303" s="29"/>
      <c r="H303" s="29"/>
    </row>
    <row r="304" spans="2:8" x14ac:dyDescent="0.2">
      <c r="B304" s="29"/>
      <c r="C304" s="29"/>
      <c r="D304" s="29"/>
      <c r="E304" s="29"/>
      <c r="F304" s="29"/>
      <c r="G304" s="29"/>
      <c r="H304" s="29"/>
    </row>
    <row r="305" spans="2:8" x14ac:dyDescent="0.2">
      <c r="B305" s="29"/>
      <c r="C305" s="29"/>
      <c r="D305" s="29"/>
      <c r="E305" s="29"/>
      <c r="F305" s="29"/>
      <c r="G305" s="29"/>
      <c r="H305" s="29"/>
    </row>
    <row r="306" spans="2:8" x14ac:dyDescent="0.2">
      <c r="B306" s="29"/>
      <c r="C306" s="29"/>
      <c r="D306" s="29"/>
      <c r="E306" s="29"/>
      <c r="F306" s="29"/>
      <c r="G306" s="29"/>
      <c r="H306" s="29"/>
    </row>
    <row r="307" spans="2:8" x14ac:dyDescent="0.2">
      <c r="B307" s="29"/>
      <c r="C307" s="29"/>
      <c r="D307" s="29"/>
      <c r="E307" s="29"/>
      <c r="F307" s="29"/>
      <c r="G307" s="29"/>
      <c r="H307" s="29"/>
    </row>
    <row r="308" spans="2:8" x14ac:dyDescent="0.2">
      <c r="B308" s="29"/>
      <c r="C308" s="29"/>
      <c r="D308" s="29"/>
      <c r="E308" s="29"/>
      <c r="F308" s="29"/>
      <c r="G308" s="29"/>
      <c r="H308" s="29"/>
    </row>
    <row r="309" spans="2:8" x14ac:dyDescent="0.2">
      <c r="B309" s="29"/>
      <c r="C309" s="29"/>
      <c r="D309" s="29"/>
      <c r="E309" s="29"/>
      <c r="F309" s="29"/>
      <c r="G309" s="29"/>
      <c r="H309" s="29"/>
    </row>
    <row r="310" spans="2:8" x14ac:dyDescent="0.2">
      <c r="B310" s="29"/>
      <c r="C310" s="29"/>
      <c r="D310" s="29"/>
      <c r="E310" s="29"/>
      <c r="F310" s="29"/>
      <c r="G310" s="29"/>
      <c r="H310" s="29"/>
    </row>
    <row r="311" spans="2:8" x14ac:dyDescent="0.2">
      <c r="B311" s="29"/>
      <c r="C311" s="29"/>
      <c r="D311" s="29"/>
      <c r="E311" s="29"/>
      <c r="F311" s="29"/>
      <c r="G311" s="29"/>
      <c r="H311" s="29"/>
    </row>
    <row r="312" spans="2:8" x14ac:dyDescent="0.2">
      <c r="B312" s="29"/>
      <c r="C312" s="29"/>
      <c r="D312" s="29"/>
      <c r="E312" s="29"/>
      <c r="F312" s="29"/>
      <c r="G312" s="29"/>
      <c r="H312" s="29"/>
    </row>
    <row r="313" spans="2:8" x14ac:dyDescent="0.2">
      <c r="B313" s="29"/>
      <c r="C313" s="29"/>
      <c r="D313" s="29"/>
      <c r="E313" s="29"/>
      <c r="F313" s="29"/>
      <c r="G313" s="29"/>
      <c r="H313" s="29"/>
    </row>
    <row r="314" spans="2:8" x14ac:dyDescent="0.2">
      <c r="B314" s="29"/>
      <c r="C314" s="29"/>
      <c r="D314" s="29"/>
      <c r="E314" s="29"/>
      <c r="F314" s="29"/>
      <c r="G314" s="29"/>
      <c r="H314" s="29"/>
    </row>
    <row r="315" spans="2:8" x14ac:dyDescent="0.2">
      <c r="B315" s="29"/>
      <c r="C315" s="29"/>
      <c r="D315" s="29"/>
      <c r="E315" s="29"/>
      <c r="F315" s="29"/>
      <c r="G315" s="29"/>
      <c r="H315" s="29"/>
    </row>
    <row r="316" spans="2:8" x14ac:dyDescent="0.2">
      <c r="B316" s="29"/>
      <c r="C316" s="29"/>
      <c r="D316" s="29"/>
      <c r="E316" s="29"/>
      <c r="F316" s="29"/>
      <c r="G316" s="29"/>
      <c r="H316" s="29"/>
    </row>
    <row r="317" spans="2:8" x14ac:dyDescent="0.2">
      <c r="B317" s="29"/>
      <c r="C317" s="29"/>
      <c r="D317" s="29"/>
      <c r="E317" s="29"/>
      <c r="F317" s="29"/>
      <c r="G317" s="29"/>
      <c r="H317" s="29"/>
    </row>
    <row r="318" spans="2:8" x14ac:dyDescent="0.2">
      <c r="B318" s="29"/>
      <c r="C318" s="29"/>
      <c r="D318" s="29"/>
      <c r="E318" s="29"/>
      <c r="F318" s="29"/>
      <c r="G318" s="29"/>
      <c r="H318" s="29"/>
    </row>
    <row r="319" spans="2:8" x14ac:dyDescent="0.2">
      <c r="B319" s="29"/>
      <c r="C319" s="29"/>
      <c r="D319" s="29"/>
      <c r="E319" s="29"/>
      <c r="F319" s="29"/>
      <c r="G319" s="29"/>
      <c r="H319" s="29"/>
    </row>
    <row r="320" spans="2:8" x14ac:dyDescent="0.2">
      <c r="B320" s="29"/>
      <c r="C320" s="29"/>
      <c r="D320" s="29"/>
      <c r="E320" s="29"/>
      <c r="F320" s="29"/>
      <c r="G320" s="29"/>
      <c r="H320" s="29"/>
    </row>
    <row r="321" spans="2:8" x14ac:dyDescent="0.2">
      <c r="B321" s="29"/>
      <c r="C321" s="29"/>
      <c r="D321" s="29"/>
      <c r="E321" s="29"/>
      <c r="F321" s="29"/>
      <c r="G321" s="29"/>
      <c r="H321" s="29"/>
    </row>
    <row r="322" spans="2:8" x14ac:dyDescent="0.2">
      <c r="B322" s="29"/>
      <c r="C322" s="29"/>
      <c r="D322" s="29"/>
      <c r="E322" s="29"/>
      <c r="F322" s="29"/>
      <c r="G322" s="29"/>
      <c r="H322" s="29"/>
    </row>
    <row r="323" spans="2:8" x14ac:dyDescent="0.2">
      <c r="B323" s="29"/>
      <c r="C323" s="29"/>
      <c r="D323" s="29"/>
      <c r="E323" s="29"/>
      <c r="F323" s="29"/>
      <c r="G323" s="29"/>
      <c r="H323" s="29"/>
    </row>
    <row r="324" spans="2:8" x14ac:dyDescent="0.2">
      <c r="B324" s="29"/>
      <c r="C324" s="29"/>
      <c r="D324" s="29"/>
      <c r="E324" s="29"/>
      <c r="F324" s="29"/>
      <c r="G324" s="29"/>
      <c r="H324" s="29"/>
    </row>
    <row r="325" spans="2:8" x14ac:dyDescent="0.2">
      <c r="B325" s="29"/>
      <c r="C325" s="29"/>
      <c r="D325" s="29"/>
      <c r="E325" s="29"/>
      <c r="F325" s="29"/>
      <c r="G325" s="29"/>
      <c r="H325" s="29"/>
    </row>
    <row r="326" spans="2:8" x14ac:dyDescent="0.2">
      <c r="B326" s="29"/>
      <c r="C326" s="29"/>
      <c r="D326" s="29"/>
      <c r="E326" s="29"/>
      <c r="F326" s="29"/>
      <c r="G326" s="29"/>
      <c r="H326" s="29"/>
    </row>
    <row r="327" spans="2:8" x14ac:dyDescent="0.2">
      <c r="B327" s="29"/>
      <c r="C327" s="29"/>
      <c r="D327" s="29"/>
      <c r="E327" s="29"/>
      <c r="F327" s="29"/>
      <c r="G327" s="29"/>
      <c r="H327" s="29"/>
    </row>
    <row r="328" spans="2:8" x14ac:dyDescent="0.2">
      <c r="B328" s="29"/>
      <c r="C328" s="29"/>
      <c r="D328" s="29"/>
      <c r="E328" s="29"/>
      <c r="F328" s="29"/>
      <c r="G328" s="29"/>
      <c r="H328" s="29"/>
    </row>
    <row r="329" spans="2:8" x14ac:dyDescent="0.2">
      <c r="B329" s="29"/>
      <c r="C329" s="29"/>
      <c r="D329" s="29"/>
      <c r="E329" s="29"/>
      <c r="F329" s="29"/>
      <c r="G329" s="29"/>
      <c r="H329" s="29"/>
    </row>
    <row r="330" spans="2:8" x14ac:dyDescent="0.2">
      <c r="B330" s="29"/>
      <c r="C330" s="29"/>
      <c r="D330" s="29"/>
      <c r="E330" s="29"/>
      <c r="F330" s="29"/>
      <c r="G330" s="29"/>
      <c r="H330" s="29"/>
    </row>
    <row r="331" spans="2:8" x14ac:dyDescent="0.2">
      <c r="B331" s="29"/>
      <c r="C331" s="29"/>
      <c r="D331" s="29"/>
      <c r="E331" s="29"/>
      <c r="F331" s="29"/>
      <c r="G331" s="29"/>
      <c r="H331" s="29"/>
    </row>
    <row r="332" spans="2:8" x14ac:dyDescent="0.2">
      <c r="B332" s="29"/>
      <c r="C332" s="29"/>
      <c r="D332" s="29"/>
      <c r="E332" s="29"/>
      <c r="F332" s="29"/>
      <c r="G332" s="29"/>
      <c r="H332" s="29"/>
    </row>
    <row r="333" spans="2:8" x14ac:dyDescent="0.2">
      <c r="B333" s="29"/>
      <c r="C333" s="29"/>
      <c r="D333" s="29"/>
      <c r="E333" s="29"/>
      <c r="F333" s="29"/>
      <c r="G333" s="29"/>
      <c r="H333" s="29"/>
    </row>
    <row r="334" spans="2:8" x14ac:dyDescent="0.2">
      <c r="B334" s="29"/>
      <c r="C334" s="29"/>
      <c r="D334" s="29"/>
      <c r="E334" s="29"/>
      <c r="F334" s="29"/>
      <c r="G334" s="29"/>
      <c r="H334" s="29"/>
    </row>
    <row r="335" spans="2:8" x14ac:dyDescent="0.2">
      <c r="B335" s="29"/>
      <c r="C335" s="29"/>
      <c r="D335" s="29"/>
      <c r="E335" s="29"/>
      <c r="F335" s="29"/>
      <c r="G335" s="29"/>
      <c r="H335" s="29"/>
    </row>
    <row r="336" spans="2:8" x14ac:dyDescent="0.2">
      <c r="B336" s="29"/>
      <c r="C336" s="29"/>
      <c r="D336" s="29"/>
      <c r="E336" s="29"/>
      <c r="F336" s="29"/>
      <c r="G336" s="29"/>
      <c r="H336" s="29"/>
    </row>
    <row r="337" spans="2:8" x14ac:dyDescent="0.2">
      <c r="B337" s="29"/>
      <c r="C337" s="29"/>
      <c r="D337" s="29"/>
      <c r="E337" s="29"/>
      <c r="F337" s="29"/>
      <c r="G337" s="29"/>
      <c r="H337" s="29"/>
    </row>
    <row r="338" spans="2:8" x14ac:dyDescent="0.2">
      <c r="B338" s="29"/>
      <c r="C338" s="29"/>
      <c r="D338" s="29"/>
      <c r="E338" s="29"/>
      <c r="F338" s="29"/>
      <c r="G338" s="29"/>
      <c r="H338" s="29"/>
    </row>
    <row r="339" spans="2:8" x14ac:dyDescent="0.2">
      <c r="B339" s="29"/>
      <c r="C339" s="29"/>
      <c r="D339" s="29"/>
      <c r="E339" s="29"/>
      <c r="F339" s="29"/>
      <c r="G339" s="29"/>
      <c r="H339" s="29"/>
    </row>
    <row r="340" spans="2:8" x14ac:dyDescent="0.2">
      <c r="B340" s="29"/>
      <c r="C340" s="29"/>
      <c r="D340" s="29"/>
      <c r="E340" s="29"/>
      <c r="F340" s="29"/>
      <c r="G340" s="29"/>
      <c r="H340" s="29"/>
    </row>
    <row r="341" spans="2:8" x14ac:dyDescent="0.2">
      <c r="B341" s="29"/>
      <c r="C341" s="29"/>
      <c r="D341" s="29"/>
      <c r="E341" s="29"/>
      <c r="F341" s="29"/>
      <c r="G341" s="29"/>
      <c r="H341" s="29"/>
    </row>
    <row r="342" spans="2:8" x14ac:dyDescent="0.2">
      <c r="B342" s="29"/>
      <c r="C342" s="29"/>
      <c r="D342" s="29"/>
      <c r="E342" s="29"/>
      <c r="F342" s="29"/>
      <c r="G342" s="29"/>
      <c r="H342" s="29"/>
    </row>
    <row r="343" spans="2:8" x14ac:dyDescent="0.2">
      <c r="B343" s="29"/>
      <c r="C343" s="29"/>
      <c r="D343" s="29"/>
      <c r="E343" s="29"/>
      <c r="F343" s="29"/>
      <c r="G343" s="29"/>
      <c r="H343" s="29"/>
    </row>
    <row r="344" spans="2:8" x14ac:dyDescent="0.2">
      <c r="B344" s="29"/>
      <c r="C344" s="29"/>
      <c r="D344" s="29"/>
      <c r="E344" s="29"/>
      <c r="F344" s="29"/>
      <c r="G344" s="29"/>
      <c r="H344" s="29"/>
    </row>
    <row r="345" spans="2:8" x14ac:dyDescent="0.2">
      <c r="B345" s="29"/>
      <c r="C345" s="29"/>
      <c r="D345" s="29"/>
      <c r="E345" s="29"/>
      <c r="F345" s="29"/>
      <c r="G345" s="29"/>
      <c r="H345" s="29"/>
    </row>
    <row r="346" spans="2:8" x14ac:dyDescent="0.2">
      <c r="B346" s="29"/>
      <c r="C346" s="29"/>
      <c r="D346" s="29"/>
      <c r="E346" s="29"/>
      <c r="F346" s="29"/>
      <c r="G346" s="29"/>
      <c r="H346" s="29"/>
    </row>
    <row r="347" spans="2:8" x14ac:dyDescent="0.2">
      <c r="B347" s="29"/>
      <c r="C347" s="29"/>
      <c r="D347" s="29"/>
      <c r="E347" s="29"/>
      <c r="F347" s="29"/>
      <c r="G347" s="29"/>
      <c r="H347" s="29"/>
    </row>
    <row r="348" spans="2:8" x14ac:dyDescent="0.2">
      <c r="B348" s="29"/>
      <c r="C348" s="29"/>
      <c r="D348" s="29"/>
      <c r="E348" s="29"/>
      <c r="F348" s="29"/>
      <c r="G348" s="29"/>
      <c r="H348" s="29"/>
    </row>
    <row r="349" spans="2:8" x14ac:dyDescent="0.2">
      <c r="B349" s="29"/>
      <c r="C349" s="29"/>
      <c r="D349" s="29"/>
      <c r="E349" s="29"/>
      <c r="F349" s="29"/>
      <c r="G349" s="29"/>
      <c r="H349" s="29"/>
    </row>
    <row r="350" spans="2:8" x14ac:dyDescent="0.2">
      <c r="B350" s="29"/>
      <c r="C350" s="29"/>
      <c r="D350" s="29"/>
      <c r="E350" s="29"/>
      <c r="F350" s="29"/>
      <c r="G350" s="29"/>
      <c r="H350" s="29"/>
    </row>
    <row r="351" spans="2:8" x14ac:dyDescent="0.2">
      <c r="B351" s="29"/>
      <c r="C351" s="29"/>
      <c r="D351" s="29"/>
      <c r="E351" s="29"/>
      <c r="F351" s="29"/>
      <c r="G351" s="29"/>
      <c r="H351" s="29"/>
    </row>
    <row r="352" spans="2:8" x14ac:dyDescent="0.2">
      <c r="B352" s="29"/>
      <c r="C352" s="29"/>
      <c r="D352" s="29"/>
      <c r="E352" s="29"/>
      <c r="F352" s="29"/>
      <c r="G352" s="29"/>
      <c r="H352" s="29"/>
    </row>
    <row r="353" spans="2:8" x14ac:dyDescent="0.2">
      <c r="B353" s="29"/>
      <c r="C353" s="29"/>
      <c r="D353" s="29"/>
      <c r="E353" s="29"/>
      <c r="F353" s="29"/>
      <c r="G353" s="29"/>
      <c r="H353" s="29"/>
    </row>
    <row r="354" spans="2:8" x14ac:dyDescent="0.2">
      <c r="B354" s="29"/>
      <c r="C354" s="29"/>
      <c r="D354" s="29"/>
      <c r="E354" s="29"/>
      <c r="F354" s="29"/>
      <c r="G354" s="29"/>
      <c r="H354" s="29"/>
    </row>
    <row r="355" spans="2:8" x14ac:dyDescent="0.2">
      <c r="B355" s="29"/>
      <c r="C355" s="29"/>
      <c r="D355" s="29"/>
      <c r="E355" s="29"/>
      <c r="F355" s="29"/>
      <c r="G355" s="29"/>
      <c r="H355" s="29"/>
    </row>
    <row r="356" spans="2:8" x14ac:dyDescent="0.2">
      <c r="B356" s="29"/>
      <c r="C356" s="29"/>
      <c r="D356" s="29"/>
      <c r="E356" s="29"/>
      <c r="F356" s="29"/>
      <c r="G356" s="29"/>
      <c r="H356" s="29"/>
    </row>
    <row r="357" spans="2:8" x14ac:dyDescent="0.2">
      <c r="B357" s="29"/>
      <c r="C357" s="29"/>
      <c r="D357" s="29"/>
      <c r="E357" s="29"/>
      <c r="F357" s="29"/>
      <c r="G357" s="29"/>
      <c r="H357" s="29"/>
    </row>
    <row r="358" spans="2:8" x14ac:dyDescent="0.2">
      <c r="B358" s="29"/>
      <c r="C358" s="29"/>
      <c r="D358" s="29"/>
      <c r="E358" s="29"/>
      <c r="F358" s="29"/>
      <c r="G358" s="29"/>
      <c r="H358" s="29"/>
    </row>
    <row r="359" spans="2:8" x14ac:dyDescent="0.2">
      <c r="B359" s="29"/>
      <c r="C359" s="29"/>
      <c r="D359" s="29"/>
      <c r="E359" s="29"/>
      <c r="F359" s="29"/>
      <c r="G359" s="29"/>
      <c r="H359" s="29"/>
    </row>
    <row r="360" spans="2:8" x14ac:dyDescent="0.2">
      <c r="B360" s="29"/>
      <c r="C360" s="29"/>
      <c r="D360" s="29"/>
      <c r="E360" s="29"/>
      <c r="F360" s="29"/>
      <c r="G360" s="29"/>
      <c r="H360" s="29"/>
    </row>
    <row r="361" spans="2:8" x14ac:dyDescent="0.2">
      <c r="B361" s="29"/>
      <c r="C361" s="29"/>
      <c r="D361" s="29"/>
      <c r="E361" s="29"/>
      <c r="F361" s="29"/>
      <c r="G361" s="29"/>
      <c r="H361" s="29"/>
    </row>
    <row r="362" spans="2:8" x14ac:dyDescent="0.2">
      <c r="B362" s="29"/>
      <c r="C362" s="29"/>
      <c r="D362" s="29"/>
      <c r="E362" s="29"/>
      <c r="F362" s="29"/>
      <c r="G362" s="29"/>
      <c r="H362" s="29"/>
    </row>
    <row r="363" spans="2:8" x14ac:dyDescent="0.2">
      <c r="B363" s="29"/>
      <c r="C363" s="29"/>
      <c r="D363" s="29"/>
      <c r="E363" s="29"/>
      <c r="F363" s="29"/>
      <c r="G363" s="29"/>
      <c r="H363" s="29"/>
    </row>
    <row r="364" spans="2:8" x14ac:dyDescent="0.2">
      <c r="B364" s="29"/>
      <c r="C364" s="29"/>
      <c r="D364" s="29"/>
      <c r="E364" s="29"/>
      <c r="F364" s="29"/>
      <c r="G364" s="29"/>
      <c r="H364" s="29"/>
    </row>
    <row r="365" spans="2:8" x14ac:dyDescent="0.2">
      <c r="B365" s="29"/>
      <c r="C365" s="29"/>
      <c r="D365" s="29"/>
      <c r="E365" s="29"/>
      <c r="F365" s="29"/>
      <c r="G365" s="29"/>
      <c r="H365" s="29"/>
    </row>
    <row r="366" spans="2:8" x14ac:dyDescent="0.2">
      <c r="B366" s="29"/>
      <c r="C366" s="29"/>
      <c r="D366" s="29"/>
      <c r="E366" s="29"/>
      <c r="F366" s="29"/>
      <c r="G366" s="29"/>
      <c r="H366" s="29"/>
    </row>
    <row r="367" spans="2:8" x14ac:dyDescent="0.2">
      <c r="B367" s="29"/>
      <c r="C367" s="29"/>
      <c r="D367" s="29"/>
      <c r="E367" s="29"/>
      <c r="F367" s="29"/>
      <c r="G367" s="29"/>
      <c r="H367" s="29"/>
    </row>
    <row r="368" spans="2:8" x14ac:dyDescent="0.2">
      <c r="B368" s="29"/>
      <c r="C368" s="29"/>
      <c r="D368" s="29"/>
      <c r="E368" s="29"/>
      <c r="F368" s="29"/>
      <c r="G368" s="29"/>
      <c r="H368" s="29"/>
    </row>
    <row r="369" spans="2:8" x14ac:dyDescent="0.2">
      <c r="B369" s="29"/>
      <c r="C369" s="29"/>
      <c r="D369" s="29"/>
      <c r="E369" s="29"/>
      <c r="F369" s="29"/>
      <c r="G369" s="29"/>
      <c r="H369" s="29"/>
    </row>
    <row r="370" spans="2:8" x14ac:dyDescent="0.2">
      <c r="B370" s="29"/>
      <c r="C370" s="29"/>
      <c r="D370" s="29"/>
      <c r="E370" s="29"/>
      <c r="F370" s="29"/>
      <c r="G370" s="29"/>
      <c r="H370" s="29"/>
    </row>
    <row r="371" spans="2:8" x14ac:dyDescent="0.2">
      <c r="B371" s="29"/>
      <c r="C371" s="29"/>
      <c r="D371" s="29"/>
      <c r="E371" s="29"/>
      <c r="F371" s="29"/>
      <c r="G371" s="29"/>
      <c r="H371" s="29"/>
    </row>
    <row r="372" spans="2:8" x14ac:dyDescent="0.2">
      <c r="B372" s="29"/>
      <c r="C372" s="29"/>
      <c r="D372" s="29"/>
      <c r="E372" s="29"/>
      <c r="F372" s="29"/>
      <c r="G372" s="29"/>
      <c r="H372" s="29"/>
    </row>
    <row r="373" spans="2:8" x14ac:dyDescent="0.2">
      <c r="B373" s="29"/>
      <c r="C373" s="29"/>
      <c r="D373" s="29"/>
      <c r="E373" s="29"/>
      <c r="F373" s="29"/>
      <c r="G373" s="29"/>
      <c r="H373" s="29"/>
    </row>
    <row r="374" spans="2:8" x14ac:dyDescent="0.2">
      <c r="B374" s="29"/>
      <c r="C374" s="29"/>
      <c r="D374" s="29"/>
      <c r="E374" s="29"/>
      <c r="F374" s="29"/>
      <c r="G374" s="29"/>
      <c r="H374" s="29"/>
    </row>
    <row r="375" spans="2:8" x14ac:dyDescent="0.2">
      <c r="B375" s="29"/>
      <c r="C375" s="29"/>
      <c r="D375" s="29"/>
      <c r="E375" s="29"/>
      <c r="F375" s="29"/>
      <c r="G375" s="29"/>
      <c r="H375" s="29"/>
    </row>
    <row r="376" spans="2:8" x14ac:dyDescent="0.2">
      <c r="B376" s="29"/>
      <c r="C376" s="29"/>
      <c r="D376" s="29"/>
      <c r="E376" s="29"/>
      <c r="F376" s="29"/>
      <c r="G376" s="29"/>
      <c r="H376" s="29"/>
    </row>
    <row r="377" spans="2:8" x14ac:dyDescent="0.2">
      <c r="B377" s="29"/>
      <c r="C377" s="29"/>
      <c r="D377" s="29"/>
      <c r="E377" s="29"/>
      <c r="F377" s="29"/>
      <c r="G377" s="29"/>
      <c r="H377" s="29"/>
    </row>
    <row r="378" spans="2:8" x14ac:dyDescent="0.2">
      <c r="B378" s="29"/>
      <c r="C378" s="29"/>
      <c r="D378" s="29"/>
      <c r="E378" s="29"/>
      <c r="F378" s="29"/>
      <c r="G378" s="29"/>
      <c r="H378" s="29"/>
    </row>
    <row r="379" spans="2:8" x14ac:dyDescent="0.2">
      <c r="B379" s="29"/>
      <c r="C379" s="29"/>
      <c r="D379" s="29"/>
      <c r="E379" s="29"/>
      <c r="F379" s="29"/>
      <c r="G379" s="29"/>
      <c r="H379" s="29"/>
    </row>
    <row r="380" spans="2:8" x14ac:dyDescent="0.2">
      <c r="B380" s="29"/>
      <c r="C380" s="29"/>
      <c r="D380" s="29"/>
      <c r="E380" s="29"/>
      <c r="F380" s="29"/>
      <c r="G380" s="29"/>
      <c r="H380" s="29"/>
    </row>
    <row r="381" spans="2:8" x14ac:dyDescent="0.2">
      <c r="B381" s="29"/>
      <c r="C381" s="29"/>
      <c r="D381" s="29"/>
      <c r="E381" s="29"/>
      <c r="F381" s="29"/>
      <c r="G381" s="29"/>
      <c r="H381" s="29"/>
    </row>
    <row r="382" spans="2:8" x14ac:dyDescent="0.2">
      <c r="B382" s="29"/>
      <c r="C382" s="29"/>
      <c r="D382" s="29"/>
      <c r="E382" s="29"/>
      <c r="F382" s="29"/>
      <c r="G382" s="29"/>
      <c r="H382" s="29"/>
    </row>
    <row r="383" spans="2:8" x14ac:dyDescent="0.2">
      <c r="B383" s="29"/>
      <c r="C383" s="29"/>
      <c r="D383" s="29"/>
      <c r="E383" s="29"/>
      <c r="F383" s="29"/>
      <c r="G383" s="29"/>
      <c r="H383" s="29"/>
    </row>
    <row r="384" spans="2:8" x14ac:dyDescent="0.2">
      <c r="B384" s="29"/>
      <c r="C384" s="29"/>
      <c r="D384" s="29"/>
      <c r="E384" s="29"/>
      <c r="F384" s="29"/>
      <c r="G384" s="29"/>
      <c r="H384" s="29"/>
    </row>
    <row r="385" spans="2:8" x14ac:dyDescent="0.2">
      <c r="B385" s="29"/>
      <c r="C385" s="29"/>
      <c r="D385" s="29"/>
      <c r="E385" s="29"/>
      <c r="F385" s="29"/>
      <c r="G385" s="29"/>
      <c r="H385" s="29"/>
    </row>
    <row r="386" spans="2:8" x14ac:dyDescent="0.2">
      <c r="B386" s="29"/>
      <c r="C386" s="29"/>
      <c r="D386" s="29"/>
      <c r="E386" s="29"/>
      <c r="F386" s="29"/>
      <c r="G386" s="29"/>
      <c r="H386" s="29"/>
    </row>
    <row r="387" spans="2:8" x14ac:dyDescent="0.2">
      <c r="B387" s="29"/>
      <c r="C387" s="29"/>
      <c r="D387" s="29"/>
      <c r="E387" s="29"/>
      <c r="F387" s="29"/>
      <c r="G387" s="29"/>
      <c r="H387" s="29"/>
    </row>
    <row r="388" spans="2:8" x14ac:dyDescent="0.2">
      <c r="B388" s="29"/>
      <c r="C388" s="29"/>
      <c r="D388" s="29"/>
      <c r="E388" s="29"/>
      <c r="F388" s="29"/>
      <c r="G388" s="29"/>
      <c r="H388" s="29"/>
    </row>
    <row r="389" spans="2:8" x14ac:dyDescent="0.2">
      <c r="B389" s="29"/>
      <c r="C389" s="29"/>
      <c r="D389" s="29"/>
      <c r="E389" s="29"/>
      <c r="F389" s="29"/>
      <c r="G389" s="29"/>
      <c r="H389" s="29"/>
    </row>
    <row r="390" spans="2:8" x14ac:dyDescent="0.2">
      <c r="B390" s="29"/>
      <c r="C390" s="29"/>
      <c r="D390" s="29"/>
      <c r="E390" s="29"/>
      <c r="F390" s="29"/>
      <c r="G390" s="29"/>
      <c r="H390" s="29"/>
    </row>
    <row r="391" spans="2:8" x14ac:dyDescent="0.2">
      <c r="B391" s="29"/>
      <c r="C391" s="29"/>
      <c r="D391" s="29"/>
      <c r="E391" s="29"/>
      <c r="F391" s="29"/>
      <c r="G391" s="29"/>
      <c r="H391" s="29"/>
    </row>
    <row r="392" spans="2:8" x14ac:dyDescent="0.2">
      <c r="B392" s="29"/>
      <c r="C392" s="29"/>
      <c r="D392" s="29"/>
      <c r="E392" s="29"/>
      <c r="F392" s="29"/>
      <c r="G392" s="29"/>
      <c r="H392" s="29"/>
    </row>
    <row r="393" spans="2:8" x14ac:dyDescent="0.2">
      <c r="B393" s="29"/>
      <c r="C393" s="29"/>
      <c r="D393" s="29"/>
      <c r="E393" s="29"/>
      <c r="F393" s="29"/>
      <c r="G393" s="29"/>
      <c r="H393" s="29"/>
    </row>
    <row r="394" spans="2:8" x14ac:dyDescent="0.2">
      <c r="B394" s="29"/>
      <c r="C394" s="29"/>
      <c r="D394" s="29"/>
      <c r="E394" s="29"/>
      <c r="F394" s="29"/>
      <c r="G394" s="29"/>
      <c r="H394" s="29"/>
    </row>
    <row r="395" spans="2:8" x14ac:dyDescent="0.2">
      <c r="B395" s="29"/>
      <c r="C395" s="29"/>
      <c r="D395" s="29"/>
      <c r="E395" s="29"/>
      <c r="F395" s="29"/>
      <c r="G395" s="29"/>
      <c r="H395" s="29"/>
    </row>
    <row r="396" spans="2:8" x14ac:dyDescent="0.2">
      <c r="B396" s="29"/>
      <c r="C396" s="29"/>
      <c r="D396" s="29"/>
      <c r="E396" s="29"/>
      <c r="F396" s="29"/>
      <c r="G396" s="29"/>
      <c r="H396" s="29"/>
    </row>
    <row r="397" spans="2:8" x14ac:dyDescent="0.2">
      <c r="B397" s="29"/>
      <c r="C397" s="29"/>
      <c r="D397" s="29"/>
      <c r="E397" s="29"/>
      <c r="F397" s="29"/>
      <c r="G397" s="29"/>
      <c r="H397" s="29"/>
    </row>
    <row r="398" spans="2:8" x14ac:dyDescent="0.2">
      <c r="B398" s="29"/>
      <c r="C398" s="29"/>
      <c r="D398" s="29"/>
      <c r="E398" s="29"/>
      <c r="F398" s="29"/>
      <c r="G398" s="29"/>
      <c r="H398" s="29"/>
    </row>
    <row r="399" spans="2:8" x14ac:dyDescent="0.2">
      <c r="B399" s="29"/>
      <c r="C399" s="29"/>
      <c r="D399" s="29"/>
      <c r="E399" s="29"/>
      <c r="F399" s="29"/>
      <c r="G399" s="29"/>
      <c r="H399" s="29"/>
    </row>
    <row r="400" spans="2:8" x14ac:dyDescent="0.2">
      <c r="B400" s="29"/>
      <c r="C400" s="29"/>
      <c r="D400" s="29"/>
      <c r="E400" s="29"/>
      <c r="F400" s="29"/>
      <c r="G400" s="29"/>
      <c r="H400" s="29"/>
    </row>
    <row r="401" spans="2:8" x14ac:dyDescent="0.2">
      <c r="B401" s="29"/>
      <c r="C401" s="29"/>
      <c r="D401" s="29"/>
      <c r="E401" s="29"/>
      <c r="F401" s="29"/>
      <c r="G401" s="29"/>
      <c r="H401" s="29"/>
    </row>
    <row r="402" spans="2:8" x14ac:dyDescent="0.2">
      <c r="B402" s="29"/>
      <c r="C402" s="29"/>
      <c r="D402" s="29"/>
      <c r="E402" s="29"/>
      <c r="F402" s="29"/>
      <c r="G402" s="29"/>
      <c r="H402" s="29"/>
    </row>
    <row r="403" spans="2:8" x14ac:dyDescent="0.2">
      <c r="B403" s="29"/>
      <c r="C403" s="29"/>
      <c r="D403" s="29"/>
      <c r="E403" s="29"/>
      <c r="F403" s="29"/>
      <c r="G403" s="29"/>
      <c r="H403" s="29"/>
    </row>
    <row r="404" spans="2:8" x14ac:dyDescent="0.2">
      <c r="B404" s="29"/>
      <c r="C404" s="29"/>
      <c r="D404" s="29"/>
      <c r="E404" s="29"/>
      <c r="F404" s="29"/>
      <c r="G404" s="29"/>
      <c r="H404" s="29"/>
    </row>
    <row r="405" spans="2:8" x14ac:dyDescent="0.2">
      <c r="B405" s="29"/>
      <c r="C405" s="29"/>
      <c r="D405" s="29"/>
      <c r="E405" s="29"/>
      <c r="F405" s="29"/>
      <c r="G405" s="29"/>
      <c r="H405" s="29"/>
    </row>
    <row r="406" spans="2:8" x14ac:dyDescent="0.2">
      <c r="B406" s="29"/>
      <c r="C406" s="29"/>
      <c r="D406" s="29"/>
      <c r="E406" s="29"/>
      <c r="F406" s="29"/>
      <c r="G406" s="29"/>
      <c r="H406" s="29"/>
    </row>
    <row r="407" spans="2:8" x14ac:dyDescent="0.2">
      <c r="B407" s="29"/>
      <c r="C407" s="29"/>
      <c r="D407" s="29"/>
      <c r="E407" s="29"/>
      <c r="F407" s="29"/>
      <c r="G407" s="29"/>
      <c r="H407" s="29"/>
    </row>
    <row r="408" spans="2:8" x14ac:dyDescent="0.2">
      <c r="B408" s="29"/>
      <c r="C408" s="29"/>
      <c r="D408" s="29"/>
      <c r="E408" s="29"/>
      <c r="F408" s="29"/>
      <c r="G408" s="29"/>
      <c r="H408" s="29"/>
    </row>
    <row r="409" spans="2:8" x14ac:dyDescent="0.2">
      <c r="B409" s="29"/>
      <c r="C409" s="29"/>
      <c r="D409" s="29"/>
      <c r="E409" s="29"/>
      <c r="F409" s="29"/>
      <c r="G409" s="29"/>
      <c r="H409" s="29"/>
    </row>
    <row r="410" spans="2:8" x14ac:dyDescent="0.2">
      <c r="B410" s="29"/>
      <c r="C410" s="29"/>
      <c r="D410" s="29"/>
      <c r="E410" s="29"/>
      <c r="F410" s="29"/>
      <c r="G410" s="29"/>
      <c r="H410" s="29"/>
    </row>
    <row r="411" spans="2:8" x14ac:dyDescent="0.2">
      <c r="B411" s="29"/>
      <c r="C411" s="29"/>
      <c r="D411" s="29"/>
      <c r="E411" s="29"/>
      <c r="F411" s="29"/>
      <c r="G411" s="29"/>
      <c r="H411" s="29"/>
    </row>
    <row r="412" spans="2:8" x14ac:dyDescent="0.2">
      <c r="B412" s="29"/>
      <c r="C412" s="29"/>
      <c r="D412" s="29"/>
      <c r="E412" s="29"/>
      <c r="F412" s="29"/>
      <c r="G412" s="29"/>
      <c r="H412" s="29"/>
    </row>
    <row r="413" spans="2:8" x14ac:dyDescent="0.2">
      <c r="B413" s="29"/>
      <c r="C413" s="29"/>
      <c r="D413" s="29"/>
      <c r="E413" s="29"/>
      <c r="F413" s="29"/>
      <c r="G413" s="29"/>
      <c r="H413" s="29"/>
    </row>
    <row r="414" spans="2:8" x14ac:dyDescent="0.2">
      <c r="B414" s="29"/>
      <c r="C414" s="29"/>
      <c r="D414" s="29"/>
      <c r="E414" s="29"/>
      <c r="F414" s="29"/>
      <c r="G414" s="29"/>
      <c r="H414" s="29"/>
    </row>
    <row r="415" spans="2:8" x14ac:dyDescent="0.2">
      <c r="B415" s="29"/>
      <c r="C415" s="29"/>
      <c r="D415" s="29"/>
      <c r="E415" s="29"/>
      <c r="F415" s="29"/>
      <c r="G415" s="29"/>
      <c r="H415" s="29"/>
    </row>
    <row r="416" spans="2:8" x14ac:dyDescent="0.2">
      <c r="B416" s="29"/>
      <c r="C416" s="29"/>
      <c r="D416" s="29"/>
      <c r="E416" s="29"/>
      <c r="F416" s="29"/>
      <c r="G416" s="29"/>
      <c r="H416" s="29"/>
    </row>
    <row r="417" spans="2:8" x14ac:dyDescent="0.2">
      <c r="B417" s="29"/>
      <c r="C417" s="29"/>
      <c r="D417" s="29"/>
      <c r="E417" s="29"/>
      <c r="F417" s="29"/>
      <c r="G417" s="29"/>
      <c r="H417" s="29"/>
    </row>
    <row r="418" spans="2:8" x14ac:dyDescent="0.2">
      <c r="B418" s="29"/>
      <c r="C418" s="29"/>
      <c r="D418" s="29"/>
      <c r="E418" s="29"/>
      <c r="F418" s="29"/>
      <c r="G418" s="29"/>
      <c r="H418" s="29"/>
    </row>
    <row r="419" spans="2:8" x14ac:dyDescent="0.2">
      <c r="B419" s="29"/>
      <c r="C419" s="29"/>
      <c r="D419" s="29"/>
      <c r="E419" s="29"/>
      <c r="F419" s="29"/>
      <c r="G419" s="29"/>
      <c r="H419" s="29"/>
    </row>
    <row r="420" spans="2:8" x14ac:dyDescent="0.2">
      <c r="B420" s="29"/>
      <c r="C420" s="29"/>
      <c r="D420" s="29"/>
      <c r="E420" s="29"/>
      <c r="F420" s="29"/>
      <c r="G420" s="29"/>
      <c r="H420" s="29"/>
    </row>
    <row r="421" spans="2:8" x14ac:dyDescent="0.2">
      <c r="B421" s="29"/>
      <c r="C421" s="29"/>
      <c r="D421" s="29"/>
      <c r="E421" s="29"/>
      <c r="F421" s="29"/>
      <c r="G421" s="29"/>
      <c r="H421" s="29"/>
    </row>
    <row r="422" spans="2:8" x14ac:dyDescent="0.2">
      <c r="B422" s="29"/>
      <c r="C422" s="29"/>
      <c r="D422" s="29"/>
      <c r="E422" s="29"/>
      <c r="F422" s="29"/>
      <c r="G422" s="29"/>
      <c r="H422" s="29"/>
    </row>
    <row r="423" spans="2:8" x14ac:dyDescent="0.2">
      <c r="B423" s="29"/>
      <c r="C423" s="29"/>
      <c r="D423" s="29"/>
      <c r="E423" s="29"/>
      <c r="F423" s="29"/>
      <c r="G423" s="29"/>
      <c r="H423" s="29"/>
    </row>
    <row r="424" spans="2:8" x14ac:dyDescent="0.2">
      <c r="B424" s="29"/>
      <c r="C424" s="29"/>
      <c r="D424" s="29"/>
      <c r="E424" s="29"/>
      <c r="F424" s="29"/>
      <c r="G424" s="29"/>
      <c r="H424" s="29"/>
    </row>
    <row r="425" spans="2:8" x14ac:dyDescent="0.2">
      <c r="B425" s="29"/>
      <c r="C425" s="29"/>
      <c r="D425" s="29"/>
      <c r="E425" s="29"/>
      <c r="F425" s="29"/>
      <c r="G425" s="29"/>
      <c r="H425" s="29"/>
    </row>
    <row r="426" spans="2:8" x14ac:dyDescent="0.2">
      <c r="B426" s="29"/>
      <c r="C426" s="29"/>
      <c r="D426" s="29"/>
      <c r="E426" s="29"/>
      <c r="F426" s="29"/>
      <c r="G426" s="29"/>
      <c r="H426" s="29"/>
    </row>
    <row r="427" spans="2:8" x14ac:dyDescent="0.2">
      <c r="B427" s="29"/>
      <c r="C427" s="29"/>
      <c r="D427" s="29"/>
      <c r="E427" s="29"/>
      <c r="F427" s="29"/>
      <c r="G427" s="29"/>
      <c r="H427" s="29"/>
    </row>
    <row r="428" spans="2:8" x14ac:dyDescent="0.2">
      <c r="B428" s="29"/>
      <c r="C428" s="29"/>
      <c r="D428" s="29"/>
      <c r="E428" s="29"/>
      <c r="F428" s="29"/>
      <c r="G428" s="29"/>
      <c r="H428" s="29"/>
    </row>
    <row r="429" spans="2:8" x14ac:dyDescent="0.2">
      <c r="B429" s="29"/>
      <c r="C429" s="29"/>
      <c r="D429" s="29"/>
      <c r="E429" s="29"/>
      <c r="F429" s="29"/>
      <c r="G429" s="29"/>
      <c r="H429" s="29"/>
    </row>
    <row r="430" spans="2:8" x14ac:dyDescent="0.2">
      <c r="B430" s="29"/>
      <c r="C430" s="29"/>
      <c r="D430" s="29"/>
      <c r="E430" s="29"/>
      <c r="F430" s="29"/>
      <c r="G430" s="29"/>
      <c r="H430" s="29"/>
    </row>
    <row r="431" spans="2:8" x14ac:dyDescent="0.2">
      <c r="B431" s="29"/>
      <c r="C431" s="29"/>
      <c r="D431" s="29"/>
      <c r="E431" s="29"/>
      <c r="F431" s="29"/>
      <c r="G431" s="29"/>
      <c r="H431" s="29"/>
    </row>
    <row r="432" spans="2:8" x14ac:dyDescent="0.2">
      <c r="B432" s="29"/>
      <c r="C432" s="29"/>
      <c r="D432" s="29"/>
      <c r="E432" s="29"/>
      <c r="F432" s="29"/>
      <c r="G432" s="29"/>
      <c r="H432" s="29"/>
    </row>
    <row r="433" spans="2:8" x14ac:dyDescent="0.2">
      <c r="B433" s="29"/>
      <c r="C433" s="29"/>
      <c r="D433" s="29"/>
      <c r="E433" s="29"/>
      <c r="F433" s="29"/>
      <c r="G433" s="29"/>
      <c r="H433" s="29"/>
    </row>
    <row r="434" spans="2:8" x14ac:dyDescent="0.2">
      <c r="B434" s="29"/>
      <c r="C434" s="29"/>
      <c r="D434" s="29"/>
      <c r="E434" s="29"/>
      <c r="F434" s="29"/>
      <c r="G434" s="29"/>
      <c r="H434" s="29"/>
    </row>
    <row r="435" spans="2:8" x14ac:dyDescent="0.2">
      <c r="B435" s="29"/>
      <c r="C435" s="29"/>
      <c r="D435" s="29"/>
      <c r="E435" s="29"/>
      <c r="F435" s="29"/>
      <c r="G435" s="29"/>
      <c r="H435" s="29"/>
    </row>
    <row r="436" spans="2:8" x14ac:dyDescent="0.2">
      <c r="B436" s="29"/>
      <c r="C436" s="29"/>
      <c r="D436" s="29"/>
      <c r="E436" s="29"/>
      <c r="F436" s="29"/>
      <c r="G436" s="29"/>
      <c r="H436" s="29"/>
    </row>
    <row r="437" spans="2:8" x14ac:dyDescent="0.2">
      <c r="B437" s="29"/>
      <c r="C437" s="29"/>
      <c r="D437" s="29"/>
      <c r="E437" s="29"/>
      <c r="F437" s="29"/>
      <c r="G437" s="29"/>
      <c r="H437" s="29"/>
    </row>
    <row r="438" spans="2:8" x14ac:dyDescent="0.2">
      <c r="B438" s="29"/>
      <c r="C438" s="29"/>
      <c r="D438" s="29"/>
      <c r="E438" s="29"/>
      <c r="F438" s="29"/>
      <c r="G438" s="29"/>
      <c r="H438" s="29"/>
    </row>
    <row r="439" spans="2:8" x14ac:dyDescent="0.2">
      <c r="B439" s="29"/>
      <c r="C439" s="29"/>
      <c r="D439" s="29"/>
      <c r="E439" s="29"/>
      <c r="F439" s="29"/>
      <c r="G439" s="29"/>
      <c r="H439" s="29"/>
    </row>
    <row r="440" spans="2:8" x14ac:dyDescent="0.2">
      <c r="B440" s="29"/>
      <c r="C440" s="29"/>
      <c r="D440" s="29"/>
      <c r="E440" s="29"/>
      <c r="F440" s="29"/>
      <c r="G440" s="29"/>
      <c r="H440" s="29"/>
    </row>
    <row r="441" spans="2:8" x14ac:dyDescent="0.2">
      <c r="B441" s="29"/>
      <c r="C441" s="29"/>
      <c r="D441" s="29"/>
      <c r="E441" s="29"/>
      <c r="F441" s="29"/>
      <c r="G441" s="29"/>
      <c r="H441" s="29"/>
    </row>
    <row r="442" spans="2:8" x14ac:dyDescent="0.2">
      <c r="B442" s="29"/>
      <c r="C442" s="29"/>
      <c r="D442" s="29"/>
      <c r="E442" s="29"/>
      <c r="F442" s="29"/>
      <c r="G442" s="29"/>
      <c r="H442" s="29"/>
    </row>
    <row r="443" spans="2:8" x14ac:dyDescent="0.2">
      <c r="B443" s="29"/>
      <c r="C443" s="29"/>
      <c r="D443" s="29"/>
      <c r="E443" s="29"/>
      <c r="F443" s="29"/>
      <c r="G443" s="29"/>
      <c r="H443" s="29"/>
    </row>
    <row r="444" spans="2:8" x14ac:dyDescent="0.2">
      <c r="B444" s="29"/>
      <c r="C444" s="29"/>
      <c r="D444" s="29"/>
      <c r="E444" s="29"/>
      <c r="F444" s="29"/>
      <c r="G444" s="29"/>
      <c r="H444" s="29"/>
    </row>
    <row r="445" spans="2:8" x14ac:dyDescent="0.2">
      <c r="B445" s="29"/>
      <c r="C445" s="29"/>
      <c r="D445" s="29"/>
      <c r="E445" s="29"/>
      <c r="F445" s="29"/>
      <c r="G445" s="29"/>
      <c r="H445" s="29"/>
    </row>
    <row r="446" spans="2:8" x14ac:dyDescent="0.2">
      <c r="B446" s="29"/>
      <c r="C446" s="29"/>
      <c r="D446" s="29"/>
      <c r="E446" s="29"/>
      <c r="F446" s="29"/>
      <c r="G446" s="29"/>
      <c r="H446" s="29"/>
    </row>
    <row r="447" spans="2:8" x14ac:dyDescent="0.2">
      <c r="B447" s="29"/>
      <c r="C447" s="29"/>
      <c r="D447" s="29"/>
      <c r="E447" s="29"/>
      <c r="F447" s="29"/>
      <c r="G447" s="29"/>
      <c r="H447" s="29"/>
    </row>
    <row r="448" spans="2:8" x14ac:dyDescent="0.2">
      <c r="B448" s="29"/>
      <c r="C448" s="29"/>
      <c r="D448" s="29"/>
      <c r="E448" s="29"/>
      <c r="F448" s="29"/>
      <c r="G448" s="29"/>
      <c r="H448" s="29"/>
    </row>
    <row r="449" spans="2:8" x14ac:dyDescent="0.2">
      <c r="B449" s="29"/>
      <c r="C449" s="29"/>
      <c r="D449" s="29"/>
      <c r="E449" s="29"/>
      <c r="F449" s="29"/>
      <c r="G449" s="29"/>
      <c r="H449" s="29"/>
    </row>
    <row r="450" spans="2:8" x14ac:dyDescent="0.2">
      <c r="B450" s="29"/>
      <c r="C450" s="29"/>
      <c r="D450" s="29"/>
      <c r="E450" s="29"/>
      <c r="F450" s="29"/>
      <c r="G450" s="29"/>
      <c r="H450" s="29"/>
    </row>
    <row r="451" spans="2:8" x14ac:dyDescent="0.2">
      <c r="B451" s="29"/>
      <c r="C451" s="29"/>
      <c r="D451" s="29"/>
      <c r="E451" s="29"/>
      <c r="F451" s="29"/>
      <c r="G451" s="29"/>
      <c r="H451" s="29"/>
    </row>
    <row r="452" spans="2:8" x14ac:dyDescent="0.2">
      <c r="B452" s="29"/>
      <c r="C452" s="29"/>
      <c r="D452" s="29"/>
      <c r="E452" s="29"/>
      <c r="F452" s="29"/>
      <c r="G452" s="29"/>
      <c r="H452" s="29"/>
    </row>
    <row r="453" spans="2:8" x14ac:dyDescent="0.2">
      <c r="B453" s="29"/>
      <c r="C453" s="29"/>
      <c r="D453" s="29"/>
      <c r="E453" s="29"/>
      <c r="F453" s="29"/>
      <c r="G453" s="29"/>
      <c r="H453" s="29"/>
    </row>
    <row r="454" spans="2:8" x14ac:dyDescent="0.2">
      <c r="B454" s="29"/>
      <c r="C454" s="29"/>
      <c r="D454" s="29"/>
      <c r="E454" s="29"/>
      <c r="F454" s="29"/>
      <c r="G454" s="29"/>
      <c r="H454" s="29"/>
    </row>
    <row r="455" spans="2:8" x14ac:dyDescent="0.2">
      <c r="B455" s="29"/>
      <c r="C455" s="29"/>
      <c r="D455" s="29"/>
      <c r="E455" s="29"/>
      <c r="F455" s="29"/>
      <c r="G455" s="29"/>
      <c r="H455" s="29"/>
    </row>
    <row r="456" spans="2:8" x14ac:dyDescent="0.2">
      <c r="B456" s="29"/>
      <c r="C456" s="29"/>
      <c r="D456" s="29"/>
      <c r="E456" s="29"/>
      <c r="F456" s="29"/>
      <c r="G456" s="29"/>
      <c r="H456" s="29"/>
    </row>
    <row r="457" spans="2:8" x14ac:dyDescent="0.2">
      <c r="B457" s="29"/>
      <c r="C457" s="29"/>
      <c r="D457" s="29"/>
      <c r="E457" s="29"/>
      <c r="F457" s="29"/>
      <c r="G457" s="29"/>
      <c r="H457" s="29"/>
    </row>
    <row r="458" spans="2:8" x14ac:dyDescent="0.2">
      <c r="B458" s="29"/>
      <c r="C458" s="29"/>
      <c r="D458" s="29"/>
      <c r="E458" s="29"/>
      <c r="F458" s="29"/>
      <c r="G458" s="29"/>
      <c r="H458" s="29"/>
    </row>
    <row r="459" spans="2:8" x14ac:dyDescent="0.2">
      <c r="B459" s="29"/>
      <c r="C459" s="29"/>
      <c r="D459" s="29"/>
      <c r="E459" s="29"/>
      <c r="F459" s="29"/>
      <c r="G459" s="29"/>
      <c r="H459" s="29"/>
    </row>
    <row r="460" spans="2:8" x14ac:dyDescent="0.2">
      <c r="B460" s="29"/>
      <c r="C460" s="29"/>
      <c r="D460" s="29"/>
      <c r="E460" s="29"/>
      <c r="F460" s="29"/>
      <c r="G460" s="29"/>
      <c r="H460" s="29"/>
    </row>
    <row r="461" spans="2:8" x14ac:dyDescent="0.2">
      <c r="B461" s="29"/>
      <c r="C461" s="29"/>
      <c r="D461" s="29"/>
      <c r="E461" s="29"/>
      <c r="F461" s="29"/>
      <c r="G461" s="29"/>
      <c r="H461" s="29"/>
    </row>
    <row r="462" spans="2:8" x14ac:dyDescent="0.2">
      <c r="B462" s="29"/>
      <c r="C462" s="29"/>
      <c r="D462" s="29"/>
      <c r="E462" s="29"/>
      <c r="F462" s="29"/>
      <c r="G462" s="29"/>
      <c r="H462" s="29"/>
    </row>
    <row r="463" spans="2:8" x14ac:dyDescent="0.2">
      <c r="B463" s="29"/>
      <c r="C463" s="29"/>
      <c r="D463" s="29"/>
      <c r="E463" s="29"/>
      <c r="F463" s="29"/>
      <c r="G463" s="29"/>
      <c r="H463" s="29"/>
    </row>
    <row r="464" spans="2:8" x14ac:dyDescent="0.2">
      <c r="B464" s="29"/>
      <c r="C464" s="29"/>
      <c r="D464" s="29"/>
      <c r="E464" s="29"/>
      <c r="F464" s="29"/>
      <c r="G464" s="29"/>
      <c r="H464" s="29"/>
    </row>
    <row r="465" spans="2:8" x14ac:dyDescent="0.2">
      <c r="B465" s="29"/>
      <c r="C465" s="29"/>
      <c r="D465" s="29"/>
      <c r="E465" s="29"/>
      <c r="F465" s="29"/>
      <c r="G465" s="29"/>
      <c r="H465" s="29"/>
    </row>
    <row r="466" spans="2:8" x14ac:dyDescent="0.2">
      <c r="B466" s="29"/>
      <c r="C466" s="29"/>
      <c r="D466" s="29"/>
      <c r="E466" s="29"/>
      <c r="F466" s="29"/>
      <c r="G466" s="29"/>
      <c r="H466" s="29"/>
    </row>
    <row r="467" spans="2:8" x14ac:dyDescent="0.2">
      <c r="B467" s="29"/>
      <c r="C467" s="29"/>
      <c r="D467" s="29"/>
      <c r="E467" s="29"/>
      <c r="F467" s="29"/>
      <c r="G467" s="29"/>
      <c r="H467" s="29"/>
    </row>
    <row r="468" spans="2:8" x14ac:dyDescent="0.2">
      <c r="B468" s="29"/>
      <c r="C468" s="29"/>
      <c r="D468" s="29"/>
      <c r="E468" s="29"/>
      <c r="F468" s="29"/>
      <c r="G468" s="29"/>
      <c r="H468" s="29"/>
    </row>
    <row r="469" spans="2:8" x14ac:dyDescent="0.2">
      <c r="B469" s="29"/>
      <c r="C469" s="29"/>
      <c r="D469" s="29"/>
      <c r="E469" s="29"/>
      <c r="F469" s="29"/>
      <c r="G469" s="29"/>
      <c r="H469" s="29"/>
    </row>
    <row r="470" spans="2:8" x14ac:dyDescent="0.2">
      <c r="B470" s="29"/>
      <c r="C470" s="29"/>
      <c r="D470" s="29"/>
      <c r="E470" s="29"/>
      <c r="F470" s="29"/>
      <c r="G470" s="29"/>
      <c r="H470" s="29"/>
    </row>
    <row r="471" spans="2:8" x14ac:dyDescent="0.2">
      <c r="B471" s="29"/>
      <c r="C471" s="29"/>
      <c r="D471" s="29"/>
      <c r="E471" s="29"/>
      <c r="F471" s="29"/>
      <c r="G471" s="29"/>
      <c r="H471" s="29"/>
    </row>
    <row r="472" spans="2:8" x14ac:dyDescent="0.2">
      <c r="B472" s="29"/>
      <c r="C472" s="29"/>
      <c r="D472" s="29"/>
      <c r="E472" s="29"/>
      <c r="F472" s="29"/>
      <c r="G472" s="29"/>
      <c r="H472" s="29"/>
    </row>
    <row r="473" spans="2:8" x14ac:dyDescent="0.2">
      <c r="B473" s="29"/>
      <c r="C473" s="29"/>
      <c r="D473" s="29"/>
      <c r="E473" s="29"/>
      <c r="F473" s="29"/>
      <c r="G473" s="29"/>
      <c r="H473" s="29"/>
    </row>
    <row r="474" spans="2:8" x14ac:dyDescent="0.2">
      <c r="B474" s="29"/>
      <c r="C474" s="29"/>
      <c r="D474" s="29"/>
      <c r="E474" s="29"/>
      <c r="F474" s="29"/>
      <c r="G474" s="29"/>
      <c r="H474" s="29"/>
    </row>
    <row r="475" spans="2:8" x14ac:dyDescent="0.2">
      <c r="B475" s="29"/>
      <c r="C475" s="29"/>
      <c r="D475" s="29"/>
      <c r="E475" s="29"/>
      <c r="F475" s="29"/>
      <c r="G475" s="29"/>
      <c r="H475" s="29"/>
    </row>
    <row r="476" spans="2:8" x14ac:dyDescent="0.2">
      <c r="B476" s="29"/>
      <c r="C476" s="29"/>
      <c r="D476" s="29"/>
      <c r="E476" s="29"/>
      <c r="F476" s="29"/>
      <c r="G476" s="29"/>
      <c r="H476" s="29"/>
    </row>
    <row r="477" spans="2:8" x14ac:dyDescent="0.2">
      <c r="B477" s="29"/>
      <c r="C477" s="29"/>
      <c r="D477" s="29"/>
      <c r="E477" s="29"/>
      <c r="F477" s="29"/>
      <c r="G477" s="29"/>
      <c r="H477" s="29"/>
    </row>
    <row r="478" spans="2:8" x14ac:dyDescent="0.2">
      <c r="B478" s="29"/>
      <c r="C478" s="29"/>
      <c r="D478" s="29"/>
      <c r="E478" s="29"/>
      <c r="F478" s="29"/>
      <c r="G478" s="29"/>
      <c r="H478" s="29"/>
    </row>
    <row r="479" spans="2:8" x14ac:dyDescent="0.2">
      <c r="B479" s="29"/>
      <c r="C479" s="29"/>
      <c r="D479" s="29"/>
      <c r="E479" s="29"/>
      <c r="F479" s="29"/>
      <c r="G479" s="29"/>
      <c r="H479" s="29"/>
    </row>
    <row r="480" spans="2:8" x14ac:dyDescent="0.2">
      <c r="B480" s="29"/>
      <c r="C480" s="29"/>
      <c r="D480" s="29"/>
      <c r="E480" s="29"/>
      <c r="F480" s="29"/>
      <c r="G480" s="29"/>
      <c r="H480" s="29"/>
    </row>
    <row r="481" spans="2:8" x14ac:dyDescent="0.2">
      <c r="B481" s="29"/>
      <c r="C481" s="29"/>
      <c r="D481" s="29"/>
      <c r="E481" s="29"/>
      <c r="F481" s="29"/>
      <c r="G481" s="29"/>
      <c r="H481" s="29"/>
    </row>
    <row r="482" spans="2:8" x14ac:dyDescent="0.2">
      <c r="B482" s="29"/>
      <c r="C482" s="29"/>
      <c r="D482" s="29"/>
      <c r="E482" s="29"/>
      <c r="F482" s="29"/>
      <c r="G482" s="29"/>
      <c r="H482" s="29"/>
    </row>
    <row r="483" spans="2:8" x14ac:dyDescent="0.2">
      <c r="B483" s="29"/>
      <c r="C483" s="29"/>
      <c r="D483" s="29"/>
      <c r="E483" s="29"/>
      <c r="F483" s="29"/>
      <c r="G483" s="29"/>
      <c r="H483" s="29"/>
    </row>
    <row r="484" spans="2:8" x14ac:dyDescent="0.2">
      <c r="B484" s="29"/>
      <c r="C484" s="29"/>
      <c r="D484" s="29"/>
      <c r="E484" s="29"/>
      <c r="F484" s="29"/>
      <c r="G484" s="29"/>
      <c r="H484" s="29"/>
    </row>
    <row r="485" spans="2:8" x14ac:dyDescent="0.2">
      <c r="B485" s="29"/>
      <c r="C485" s="29"/>
      <c r="D485" s="29"/>
      <c r="E485" s="29"/>
      <c r="F485" s="29"/>
      <c r="G485" s="29"/>
      <c r="H485" s="29"/>
    </row>
    <row r="486" spans="2:8" x14ac:dyDescent="0.2">
      <c r="B486" s="29"/>
      <c r="C486" s="29"/>
      <c r="D486" s="29"/>
      <c r="E486" s="29"/>
      <c r="F486" s="29"/>
      <c r="G486" s="29"/>
      <c r="H486" s="29"/>
    </row>
    <row r="487" spans="2:8" x14ac:dyDescent="0.2">
      <c r="B487" s="29"/>
      <c r="C487" s="29"/>
      <c r="D487" s="29"/>
      <c r="E487" s="29"/>
      <c r="F487" s="29"/>
      <c r="G487" s="29"/>
      <c r="H487" s="29"/>
    </row>
    <row r="488" spans="2:8" x14ac:dyDescent="0.2">
      <c r="B488" s="29"/>
      <c r="C488" s="29"/>
      <c r="D488" s="29"/>
      <c r="E488" s="29"/>
      <c r="F488" s="29"/>
      <c r="G488" s="29"/>
      <c r="H488" s="29"/>
    </row>
    <row r="489" spans="2:8" x14ac:dyDescent="0.2">
      <c r="B489" s="29"/>
      <c r="C489" s="29"/>
      <c r="D489" s="29"/>
      <c r="E489" s="29"/>
      <c r="F489" s="29"/>
      <c r="G489" s="29"/>
      <c r="H489" s="29"/>
    </row>
    <row r="490" spans="2:8" x14ac:dyDescent="0.2">
      <c r="B490" s="29"/>
      <c r="C490" s="29"/>
      <c r="D490" s="29"/>
      <c r="E490" s="29"/>
      <c r="F490" s="29"/>
      <c r="G490" s="29"/>
      <c r="H490" s="29"/>
    </row>
    <row r="491" spans="2:8" x14ac:dyDescent="0.2">
      <c r="B491" s="29"/>
      <c r="C491" s="29"/>
      <c r="D491" s="29"/>
      <c r="E491" s="29"/>
      <c r="F491" s="29"/>
      <c r="G491" s="29"/>
      <c r="H491" s="29"/>
    </row>
    <row r="492" spans="2:8" x14ac:dyDescent="0.2">
      <c r="B492" s="29"/>
      <c r="C492" s="29"/>
      <c r="D492" s="29"/>
      <c r="E492" s="29"/>
      <c r="F492" s="29"/>
      <c r="G492" s="29"/>
      <c r="H492" s="29"/>
    </row>
    <row r="493" spans="2:8" x14ac:dyDescent="0.2">
      <c r="B493" s="29"/>
      <c r="C493" s="29"/>
      <c r="D493" s="29"/>
      <c r="E493" s="29"/>
      <c r="F493" s="29"/>
      <c r="G493" s="29"/>
      <c r="H493" s="29"/>
    </row>
    <row r="494" spans="2:8" x14ac:dyDescent="0.2">
      <c r="B494" s="29"/>
      <c r="C494" s="29"/>
      <c r="D494" s="29"/>
      <c r="E494" s="29"/>
      <c r="F494" s="29"/>
      <c r="G494" s="29"/>
      <c r="H494" s="29"/>
    </row>
    <row r="495" spans="2:8" x14ac:dyDescent="0.2">
      <c r="B495" s="29"/>
      <c r="C495" s="29"/>
      <c r="D495" s="29"/>
      <c r="E495" s="29"/>
      <c r="F495" s="29"/>
      <c r="G495" s="29"/>
      <c r="H495" s="29"/>
    </row>
    <row r="496" spans="2:8" x14ac:dyDescent="0.2">
      <c r="B496" s="29"/>
      <c r="C496" s="29"/>
      <c r="D496" s="29"/>
      <c r="E496" s="29"/>
      <c r="F496" s="29"/>
      <c r="G496" s="29"/>
      <c r="H496" s="29"/>
    </row>
    <row r="497" spans="2:8" x14ac:dyDescent="0.2">
      <c r="B497" s="29"/>
      <c r="C497" s="29"/>
      <c r="D497" s="29"/>
      <c r="E497" s="29"/>
      <c r="F497" s="29"/>
      <c r="G497" s="29"/>
      <c r="H497" s="29"/>
    </row>
    <row r="498" spans="2:8" x14ac:dyDescent="0.2">
      <c r="B498" s="29"/>
      <c r="C498" s="29"/>
      <c r="D498" s="29"/>
      <c r="E498" s="29"/>
      <c r="F498" s="29"/>
      <c r="G498" s="29"/>
      <c r="H498" s="29"/>
    </row>
    <row r="499" spans="2:8" x14ac:dyDescent="0.2">
      <c r="B499" s="29"/>
      <c r="C499" s="29"/>
      <c r="D499" s="29"/>
      <c r="E499" s="29"/>
      <c r="F499" s="29"/>
      <c r="G499" s="29"/>
      <c r="H499" s="29"/>
    </row>
    <row r="500" spans="2:8" x14ac:dyDescent="0.2">
      <c r="B500" s="29"/>
      <c r="C500" s="29"/>
      <c r="D500" s="29"/>
      <c r="E500" s="29"/>
      <c r="F500" s="29"/>
      <c r="G500" s="29"/>
      <c r="H500" s="29"/>
    </row>
    <row r="501" spans="2:8" x14ac:dyDescent="0.2">
      <c r="B501" s="29"/>
      <c r="C501" s="29"/>
      <c r="D501" s="29"/>
      <c r="E501" s="29"/>
      <c r="F501" s="29"/>
      <c r="G501" s="29"/>
      <c r="H501" s="29"/>
    </row>
    <row r="502" spans="2:8" x14ac:dyDescent="0.2">
      <c r="B502" s="29"/>
      <c r="C502" s="29"/>
      <c r="D502" s="29"/>
      <c r="E502" s="29"/>
      <c r="F502" s="29"/>
      <c r="G502" s="29"/>
      <c r="H502" s="29"/>
    </row>
    <row r="503" spans="2:8" x14ac:dyDescent="0.2">
      <c r="B503" s="29"/>
      <c r="C503" s="29"/>
      <c r="D503" s="29"/>
      <c r="E503" s="29"/>
      <c r="F503" s="29"/>
      <c r="G503" s="29"/>
      <c r="H503" s="29"/>
    </row>
    <row r="504" spans="2:8" x14ac:dyDescent="0.2">
      <c r="B504" s="29"/>
      <c r="C504" s="29"/>
      <c r="D504" s="29"/>
      <c r="E504" s="29"/>
      <c r="F504" s="29"/>
      <c r="G504" s="29"/>
      <c r="H504" s="29"/>
    </row>
    <row r="505" spans="2:8" x14ac:dyDescent="0.2">
      <c r="B505" s="29"/>
      <c r="C505" s="29"/>
      <c r="D505" s="29"/>
      <c r="E505" s="29"/>
      <c r="F505" s="29"/>
      <c r="G505" s="29"/>
      <c r="H505" s="29"/>
    </row>
    <row r="506" spans="2:8" x14ac:dyDescent="0.2">
      <c r="B506" s="29"/>
      <c r="C506" s="29"/>
      <c r="D506" s="29"/>
      <c r="E506" s="29"/>
      <c r="F506" s="29"/>
      <c r="G506" s="29"/>
      <c r="H506" s="29"/>
    </row>
    <row r="507" spans="2:8" x14ac:dyDescent="0.2">
      <c r="B507" s="29"/>
      <c r="C507" s="29"/>
      <c r="D507" s="29"/>
      <c r="E507" s="29"/>
      <c r="F507" s="29"/>
      <c r="G507" s="29"/>
      <c r="H507" s="29"/>
    </row>
    <row r="508" spans="2:8" x14ac:dyDescent="0.2">
      <c r="B508" s="29"/>
      <c r="C508" s="29"/>
      <c r="D508" s="29"/>
      <c r="E508" s="29"/>
      <c r="F508" s="29"/>
      <c r="G508" s="29"/>
      <c r="H508" s="29"/>
    </row>
    <row r="509" spans="2:8" x14ac:dyDescent="0.2">
      <c r="B509" s="29"/>
      <c r="C509" s="29"/>
      <c r="D509" s="29"/>
      <c r="E509" s="29"/>
      <c r="F509" s="29"/>
      <c r="G509" s="29"/>
      <c r="H509" s="29"/>
    </row>
    <row r="510" spans="2:8" x14ac:dyDescent="0.2">
      <c r="B510" s="29"/>
      <c r="C510" s="29"/>
      <c r="D510" s="29"/>
      <c r="E510" s="29"/>
      <c r="F510" s="29"/>
      <c r="G510" s="29"/>
      <c r="H510" s="29"/>
    </row>
  </sheetData>
  <phoneticPr fontId="1"/>
  <printOptions headings="1" gridLines="1"/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:H510"/>
  <sheetViews>
    <sheetView zoomScale="200" zoomScaleNormal="200" workbookViewId="0">
      <selection activeCell="F5" sqref="F5"/>
    </sheetView>
  </sheetViews>
  <sheetFormatPr baseColWidth="10" defaultColWidth="10.83203125" defaultRowHeight="11" x14ac:dyDescent="0.15"/>
  <cols>
    <col min="1" max="1" width="11" style="9" customWidth="1"/>
    <col min="2" max="2" width="13.1640625" style="9" customWidth="1"/>
    <col min="3" max="8" width="11" style="9" customWidth="1"/>
    <col min="9" max="9" width="2.33203125" style="8" customWidth="1"/>
    <col min="10" max="10" width="22" style="8" bestFit="1" customWidth="1"/>
    <col min="11" max="16384" width="10.83203125" style="8"/>
  </cols>
  <sheetData>
    <row r="1" spans="1:8" x14ac:dyDescent="0.15">
      <c r="E1" s="124" t="s">
        <v>65</v>
      </c>
      <c r="F1" s="130"/>
    </row>
    <row r="2" spans="1:8" x14ac:dyDescent="0.15">
      <c r="B2" s="13" t="s">
        <v>47</v>
      </c>
      <c r="C2" s="30">
        <v>15</v>
      </c>
      <c r="D2" s="31" t="s">
        <v>45</v>
      </c>
      <c r="E2" s="43" t="s">
        <v>112</v>
      </c>
      <c r="F2" s="130"/>
    </row>
    <row r="3" spans="1:8" x14ac:dyDescent="0.15">
      <c r="B3" s="13" t="s">
        <v>32</v>
      </c>
      <c r="C3" s="30">
        <v>10</v>
      </c>
      <c r="D3" s="31" t="s">
        <v>45</v>
      </c>
      <c r="E3" s="43" t="s">
        <v>63</v>
      </c>
      <c r="F3" s="130"/>
    </row>
    <row r="4" spans="1:8" ht="12" thickBot="1" x14ac:dyDescent="0.2"/>
    <row r="5" spans="1:8" x14ac:dyDescent="0.15">
      <c r="C5" s="13" t="s">
        <v>33</v>
      </c>
      <c r="D5" s="38">
        <f ca="1">AVERAGE(G11:G110)</f>
        <v>3.5151947728388091</v>
      </c>
      <c r="E5" s="31" t="s">
        <v>45</v>
      </c>
    </row>
    <row r="6" spans="1:8" ht="12" thickBot="1" x14ac:dyDescent="0.2">
      <c r="C6" s="13" t="s">
        <v>34</v>
      </c>
      <c r="D6" s="44">
        <f ca="1">AVERAGE(H11:H110)</f>
        <v>11.784312357618253</v>
      </c>
      <c r="E6" s="31" t="s">
        <v>45</v>
      </c>
    </row>
    <row r="8" spans="1:8" x14ac:dyDescent="0.15">
      <c r="B8" s="32"/>
      <c r="C8" s="9" t="s">
        <v>28</v>
      </c>
      <c r="D8" s="9" t="s">
        <v>28</v>
      </c>
      <c r="F8" s="33" t="s">
        <v>28</v>
      </c>
      <c r="G8" s="9" t="s">
        <v>28</v>
      </c>
      <c r="H8" s="9" t="s">
        <v>28</v>
      </c>
    </row>
    <row r="9" spans="1:8" x14ac:dyDescent="0.15">
      <c r="A9" s="9" t="s">
        <v>35</v>
      </c>
      <c r="B9" s="32" t="s">
        <v>36</v>
      </c>
      <c r="C9" s="9" t="s">
        <v>37</v>
      </c>
      <c r="D9" s="9" t="s">
        <v>27</v>
      </c>
      <c r="E9" s="9" t="s">
        <v>27</v>
      </c>
      <c r="F9" s="33" t="s">
        <v>27</v>
      </c>
      <c r="G9" s="9" t="s">
        <v>38</v>
      </c>
      <c r="H9" s="9" t="s">
        <v>38</v>
      </c>
    </row>
    <row r="10" spans="1:8" ht="12" thickBot="1" x14ac:dyDescent="0.2">
      <c r="A10" s="12" t="s">
        <v>39</v>
      </c>
      <c r="B10" s="34" t="s">
        <v>28</v>
      </c>
      <c r="C10" s="12" t="s">
        <v>39</v>
      </c>
      <c r="D10" s="12" t="s">
        <v>40</v>
      </c>
      <c r="E10" s="12" t="s">
        <v>28</v>
      </c>
      <c r="F10" s="35" t="s">
        <v>41</v>
      </c>
      <c r="G10" s="12" t="s">
        <v>42</v>
      </c>
      <c r="H10" s="12" t="s">
        <v>43</v>
      </c>
    </row>
    <row r="11" spans="1:8" x14ac:dyDescent="0.15">
      <c r="A11" s="9">
        <v>1</v>
      </c>
      <c r="B11" s="40">
        <f t="shared" ref="B11:B42" si="0">$C$2</f>
        <v>15</v>
      </c>
      <c r="C11" s="41">
        <f>B11</f>
        <v>15</v>
      </c>
      <c r="D11" s="41">
        <f>C11</f>
        <v>15</v>
      </c>
      <c r="E11" s="41">
        <f t="shared" ref="E11:E42" ca="1" si="1">-$C$3*LN(RAND())</f>
        <v>6.1745729864288199</v>
      </c>
      <c r="F11" s="42">
        <f t="shared" ref="F11:F42" ca="1" si="2">D11+E11</f>
        <v>21.174572986428821</v>
      </c>
      <c r="G11" s="41">
        <f t="shared" ref="G11:G42" si="3">D11-C11</f>
        <v>0</v>
      </c>
      <c r="H11" s="41">
        <f t="shared" ref="H11:H42" ca="1" si="4">F11-C11</f>
        <v>6.1745729864288208</v>
      </c>
    </row>
    <row r="12" spans="1:8" x14ac:dyDescent="0.15">
      <c r="A12" s="9">
        <v>2</v>
      </c>
      <c r="B12" s="40">
        <f t="shared" si="0"/>
        <v>15</v>
      </c>
      <c r="C12" s="41">
        <f t="shared" ref="C12:C43" si="5">C11+B12</f>
        <v>30</v>
      </c>
      <c r="D12" s="41">
        <f t="shared" ref="D12:D43" ca="1" si="6">MAX(F11,C12)</f>
        <v>30</v>
      </c>
      <c r="E12" s="41">
        <f t="shared" ca="1" si="1"/>
        <v>0.74915318468064296</v>
      </c>
      <c r="F12" s="42">
        <f t="shared" ca="1" si="2"/>
        <v>30.749153184680644</v>
      </c>
      <c r="G12" s="41">
        <f t="shared" ca="1" si="3"/>
        <v>0</v>
      </c>
      <c r="H12" s="41">
        <f t="shared" ca="1" si="4"/>
        <v>0.74915318468064385</v>
      </c>
    </row>
    <row r="13" spans="1:8" x14ac:dyDescent="0.15">
      <c r="A13" s="9">
        <v>3</v>
      </c>
      <c r="B13" s="40">
        <f t="shared" si="0"/>
        <v>15</v>
      </c>
      <c r="C13" s="41">
        <f t="shared" si="5"/>
        <v>45</v>
      </c>
      <c r="D13" s="41">
        <f t="shared" ca="1" si="6"/>
        <v>45</v>
      </c>
      <c r="E13" s="41">
        <f t="shared" ca="1" si="1"/>
        <v>4.7175035141599908</v>
      </c>
      <c r="F13" s="42">
        <f t="shared" ca="1" si="2"/>
        <v>49.717503514159993</v>
      </c>
      <c r="G13" s="41">
        <f t="shared" ca="1" si="3"/>
        <v>0</v>
      </c>
      <c r="H13" s="41">
        <f t="shared" ca="1" si="4"/>
        <v>4.7175035141599935</v>
      </c>
    </row>
    <row r="14" spans="1:8" x14ac:dyDescent="0.15">
      <c r="A14" s="9">
        <v>4</v>
      </c>
      <c r="B14" s="40">
        <f t="shared" si="0"/>
        <v>15</v>
      </c>
      <c r="C14" s="41">
        <f t="shared" si="5"/>
        <v>60</v>
      </c>
      <c r="D14" s="41">
        <f t="shared" ca="1" si="6"/>
        <v>60</v>
      </c>
      <c r="E14" s="41">
        <f t="shared" ca="1" si="1"/>
        <v>2.3192158280249568</v>
      </c>
      <c r="F14" s="42">
        <f t="shared" ca="1" si="2"/>
        <v>62.319215828024959</v>
      </c>
      <c r="G14" s="41">
        <f t="shared" ca="1" si="3"/>
        <v>0</v>
      </c>
      <c r="H14" s="41">
        <f t="shared" ca="1" si="4"/>
        <v>2.3192158280249586</v>
      </c>
    </row>
    <row r="15" spans="1:8" x14ac:dyDescent="0.15">
      <c r="A15" s="9">
        <v>5</v>
      </c>
      <c r="B15" s="40">
        <f t="shared" si="0"/>
        <v>15</v>
      </c>
      <c r="C15" s="41">
        <f t="shared" si="5"/>
        <v>75</v>
      </c>
      <c r="D15" s="41">
        <f t="shared" ca="1" si="6"/>
        <v>75</v>
      </c>
      <c r="E15" s="41">
        <f t="shared" ca="1" si="1"/>
        <v>5.9903951980204662</v>
      </c>
      <c r="F15" s="42">
        <f t="shared" ca="1" si="2"/>
        <v>80.990395198020465</v>
      </c>
      <c r="G15" s="41">
        <f t="shared" ca="1" si="3"/>
        <v>0</v>
      </c>
      <c r="H15" s="41">
        <f t="shared" ca="1" si="4"/>
        <v>5.9903951980204653</v>
      </c>
    </row>
    <row r="16" spans="1:8" x14ac:dyDescent="0.15">
      <c r="A16" s="9">
        <v>6</v>
      </c>
      <c r="B16" s="40">
        <f t="shared" si="0"/>
        <v>15</v>
      </c>
      <c r="C16" s="41">
        <f t="shared" si="5"/>
        <v>90</v>
      </c>
      <c r="D16" s="41">
        <f t="shared" ca="1" si="6"/>
        <v>90</v>
      </c>
      <c r="E16" s="41">
        <f t="shared" ca="1" si="1"/>
        <v>0.55599356080981499</v>
      </c>
      <c r="F16" s="42">
        <f t="shared" ca="1" si="2"/>
        <v>90.55599356080981</v>
      </c>
      <c r="G16" s="41">
        <f t="shared" ca="1" si="3"/>
        <v>0</v>
      </c>
      <c r="H16" s="41">
        <f t="shared" ca="1" si="4"/>
        <v>0.55599356080981011</v>
      </c>
    </row>
    <row r="17" spans="1:8" x14ac:dyDescent="0.15">
      <c r="A17" s="9">
        <v>7</v>
      </c>
      <c r="B17" s="40">
        <f t="shared" si="0"/>
        <v>15</v>
      </c>
      <c r="C17" s="41">
        <f t="shared" si="5"/>
        <v>105</v>
      </c>
      <c r="D17" s="41">
        <f t="shared" ca="1" si="6"/>
        <v>105</v>
      </c>
      <c r="E17" s="41">
        <f t="shared" ca="1" si="1"/>
        <v>18.420949448667791</v>
      </c>
      <c r="F17" s="42">
        <f t="shared" ca="1" si="2"/>
        <v>123.42094944866778</v>
      </c>
      <c r="G17" s="41">
        <f t="shared" ca="1" si="3"/>
        <v>0</v>
      </c>
      <c r="H17" s="41">
        <f t="shared" ca="1" si="4"/>
        <v>18.420949448667784</v>
      </c>
    </row>
    <row r="18" spans="1:8" x14ac:dyDescent="0.15">
      <c r="A18" s="9">
        <v>8</v>
      </c>
      <c r="B18" s="40">
        <f t="shared" si="0"/>
        <v>15</v>
      </c>
      <c r="C18" s="41">
        <f t="shared" si="5"/>
        <v>120</v>
      </c>
      <c r="D18" s="41">
        <f t="shared" ca="1" si="6"/>
        <v>123.42094944866778</v>
      </c>
      <c r="E18" s="41">
        <f t="shared" ca="1" si="1"/>
        <v>2.6221990318624071</v>
      </c>
      <c r="F18" s="42">
        <f t="shared" ca="1" si="2"/>
        <v>126.04314848053019</v>
      </c>
      <c r="G18" s="41">
        <f t="shared" ca="1" si="3"/>
        <v>3.4209494486677841</v>
      </c>
      <c r="H18" s="41">
        <f t="shared" ca="1" si="4"/>
        <v>6.043148480530192</v>
      </c>
    </row>
    <row r="19" spans="1:8" x14ac:dyDescent="0.15">
      <c r="A19" s="9">
        <v>9</v>
      </c>
      <c r="B19" s="40">
        <f t="shared" si="0"/>
        <v>15</v>
      </c>
      <c r="C19" s="41">
        <f t="shared" si="5"/>
        <v>135</v>
      </c>
      <c r="D19" s="41">
        <f t="shared" ca="1" si="6"/>
        <v>135</v>
      </c>
      <c r="E19" s="41">
        <f t="shared" ca="1" si="1"/>
        <v>8.7780959805063397</v>
      </c>
      <c r="F19" s="42">
        <f t="shared" ca="1" si="2"/>
        <v>143.77809598050635</v>
      </c>
      <c r="G19" s="41">
        <f t="shared" ca="1" si="3"/>
        <v>0</v>
      </c>
      <c r="H19" s="41">
        <f t="shared" ca="1" si="4"/>
        <v>8.7780959805063503</v>
      </c>
    </row>
    <row r="20" spans="1:8" x14ac:dyDescent="0.15">
      <c r="A20" s="9">
        <v>10</v>
      </c>
      <c r="B20" s="40">
        <f t="shared" si="0"/>
        <v>15</v>
      </c>
      <c r="C20" s="41">
        <f t="shared" si="5"/>
        <v>150</v>
      </c>
      <c r="D20" s="41">
        <f t="shared" ca="1" si="6"/>
        <v>150</v>
      </c>
      <c r="E20" s="41">
        <f t="shared" ca="1" si="1"/>
        <v>34.286998755369382</v>
      </c>
      <c r="F20" s="42">
        <f t="shared" ca="1" si="2"/>
        <v>184.28699875536938</v>
      </c>
      <c r="G20" s="41">
        <f t="shared" ca="1" si="3"/>
        <v>0</v>
      </c>
      <c r="H20" s="41">
        <f t="shared" ca="1" si="4"/>
        <v>34.286998755369382</v>
      </c>
    </row>
    <row r="21" spans="1:8" x14ac:dyDescent="0.15">
      <c r="A21" s="9">
        <v>11</v>
      </c>
      <c r="B21" s="40">
        <f t="shared" si="0"/>
        <v>15</v>
      </c>
      <c r="C21" s="41">
        <f t="shared" si="5"/>
        <v>165</v>
      </c>
      <c r="D21" s="41">
        <f t="shared" ca="1" si="6"/>
        <v>184.28699875536938</v>
      </c>
      <c r="E21" s="41">
        <f t="shared" ca="1" si="1"/>
        <v>40.341739328312336</v>
      </c>
      <c r="F21" s="42">
        <f t="shared" ca="1" si="2"/>
        <v>224.62873808368172</v>
      </c>
      <c r="G21" s="41">
        <f t="shared" ca="1" si="3"/>
        <v>19.286998755369382</v>
      </c>
      <c r="H21" s="41">
        <f t="shared" ca="1" si="4"/>
        <v>59.628738083681725</v>
      </c>
    </row>
    <row r="22" spans="1:8" x14ac:dyDescent="0.15">
      <c r="A22" s="9">
        <v>12</v>
      </c>
      <c r="B22" s="40">
        <f t="shared" si="0"/>
        <v>15</v>
      </c>
      <c r="C22" s="41">
        <f t="shared" si="5"/>
        <v>180</v>
      </c>
      <c r="D22" s="41">
        <f t="shared" ca="1" si="6"/>
        <v>224.62873808368172</v>
      </c>
      <c r="E22" s="41">
        <f t="shared" ca="1" si="1"/>
        <v>9.3561753527348195</v>
      </c>
      <c r="F22" s="42">
        <f t="shared" ca="1" si="2"/>
        <v>233.98491343641655</v>
      </c>
      <c r="G22" s="41">
        <f t="shared" ca="1" si="3"/>
        <v>44.628738083681725</v>
      </c>
      <c r="H22" s="41">
        <f t="shared" ca="1" si="4"/>
        <v>53.984913436416548</v>
      </c>
    </row>
    <row r="23" spans="1:8" x14ac:dyDescent="0.15">
      <c r="A23" s="9">
        <v>13</v>
      </c>
      <c r="B23" s="40">
        <f t="shared" si="0"/>
        <v>15</v>
      </c>
      <c r="C23" s="41">
        <f t="shared" si="5"/>
        <v>195</v>
      </c>
      <c r="D23" s="41">
        <f t="shared" ca="1" si="6"/>
        <v>233.98491343641655</v>
      </c>
      <c r="E23" s="41">
        <f t="shared" ca="1" si="1"/>
        <v>2.5856133143753568</v>
      </c>
      <c r="F23" s="42">
        <f t="shared" ca="1" si="2"/>
        <v>236.57052675079191</v>
      </c>
      <c r="G23" s="41">
        <f t="shared" ca="1" si="3"/>
        <v>38.984913436416548</v>
      </c>
      <c r="H23" s="41">
        <f t="shared" ca="1" si="4"/>
        <v>41.570526750791913</v>
      </c>
    </row>
    <row r="24" spans="1:8" x14ac:dyDescent="0.15">
      <c r="A24" s="9">
        <v>14</v>
      </c>
      <c r="B24" s="40">
        <f t="shared" si="0"/>
        <v>15</v>
      </c>
      <c r="C24" s="41">
        <f t="shared" si="5"/>
        <v>210</v>
      </c>
      <c r="D24" s="41">
        <f t="shared" ca="1" si="6"/>
        <v>236.57052675079191</v>
      </c>
      <c r="E24" s="41">
        <f t="shared" ca="1" si="1"/>
        <v>7.6554470689430874</v>
      </c>
      <c r="F24" s="42">
        <f t="shared" ca="1" si="2"/>
        <v>244.225973819735</v>
      </c>
      <c r="G24" s="41">
        <f t="shared" ca="1" si="3"/>
        <v>26.570526750791913</v>
      </c>
      <c r="H24" s="41">
        <f t="shared" ca="1" si="4"/>
        <v>34.225973819735003</v>
      </c>
    </row>
    <row r="25" spans="1:8" x14ac:dyDescent="0.15">
      <c r="A25" s="9">
        <v>15</v>
      </c>
      <c r="B25" s="40">
        <f t="shared" si="0"/>
        <v>15</v>
      </c>
      <c r="C25" s="41">
        <f t="shared" si="5"/>
        <v>225</v>
      </c>
      <c r="D25" s="41">
        <f t="shared" ca="1" si="6"/>
        <v>244.225973819735</v>
      </c>
      <c r="E25" s="41">
        <f t="shared" ca="1" si="1"/>
        <v>8.257199002944569</v>
      </c>
      <c r="F25" s="42">
        <f t="shared" ca="1" si="2"/>
        <v>252.48317282267956</v>
      </c>
      <c r="G25" s="41">
        <f t="shared" ca="1" si="3"/>
        <v>19.225973819735003</v>
      </c>
      <c r="H25" s="41">
        <f t="shared" ca="1" si="4"/>
        <v>27.483172822679563</v>
      </c>
    </row>
    <row r="26" spans="1:8" x14ac:dyDescent="0.15">
      <c r="A26" s="9">
        <v>16</v>
      </c>
      <c r="B26" s="40">
        <f t="shared" si="0"/>
        <v>15</v>
      </c>
      <c r="C26" s="41">
        <f t="shared" si="5"/>
        <v>240</v>
      </c>
      <c r="D26" s="41">
        <f t="shared" ca="1" si="6"/>
        <v>252.48317282267956</v>
      </c>
      <c r="E26" s="41">
        <f t="shared" ca="1" si="1"/>
        <v>0.70608009660466708</v>
      </c>
      <c r="F26" s="42">
        <f t="shared" ca="1" si="2"/>
        <v>253.18925291928423</v>
      </c>
      <c r="G26" s="41">
        <f t="shared" ca="1" si="3"/>
        <v>12.483172822679563</v>
      </c>
      <c r="H26" s="41">
        <f t="shared" ca="1" si="4"/>
        <v>13.189252919284229</v>
      </c>
    </row>
    <row r="27" spans="1:8" x14ac:dyDescent="0.15">
      <c r="A27" s="9">
        <v>17</v>
      </c>
      <c r="B27" s="40">
        <f t="shared" si="0"/>
        <v>15</v>
      </c>
      <c r="C27" s="41">
        <f t="shared" si="5"/>
        <v>255</v>
      </c>
      <c r="D27" s="41">
        <f t="shared" ca="1" si="6"/>
        <v>255</v>
      </c>
      <c r="E27" s="41">
        <f t="shared" ca="1" si="1"/>
        <v>1.040691177072963</v>
      </c>
      <c r="F27" s="42">
        <f t="shared" ca="1" si="2"/>
        <v>256.04069117707297</v>
      </c>
      <c r="G27" s="41">
        <f t="shared" ca="1" si="3"/>
        <v>0</v>
      </c>
      <c r="H27" s="41">
        <f t="shared" ca="1" si="4"/>
        <v>1.0406911770729721</v>
      </c>
    </row>
    <row r="28" spans="1:8" x14ac:dyDescent="0.15">
      <c r="A28" s="9">
        <v>18</v>
      </c>
      <c r="B28" s="40">
        <f t="shared" si="0"/>
        <v>15</v>
      </c>
      <c r="C28" s="41">
        <f t="shared" si="5"/>
        <v>270</v>
      </c>
      <c r="D28" s="41">
        <f t="shared" ca="1" si="6"/>
        <v>270</v>
      </c>
      <c r="E28" s="41">
        <f t="shared" ca="1" si="1"/>
        <v>4.3232464682894083</v>
      </c>
      <c r="F28" s="42">
        <f t="shared" ca="1" si="2"/>
        <v>274.32324646828943</v>
      </c>
      <c r="G28" s="41">
        <f t="shared" ca="1" si="3"/>
        <v>0</v>
      </c>
      <c r="H28" s="41">
        <f t="shared" ca="1" si="4"/>
        <v>4.323246468289426</v>
      </c>
    </row>
    <row r="29" spans="1:8" x14ac:dyDescent="0.15">
      <c r="A29" s="9">
        <v>19</v>
      </c>
      <c r="B29" s="40">
        <f t="shared" si="0"/>
        <v>15</v>
      </c>
      <c r="C29" s="41">
        <f t="shared" si="5"/>
        <v>285</v>
      </c>
      <c r="D29" s="41">
        <f t="shared" ca="1" si="6"/>
        <v>285</v>
      </c>
      <c r="E29" s="41">
        <f t="shared" ca="1" si="1"/>
        <v>22.949651511135066</v>
      </c>
      <c r="F29" s="42">
        <f t="shared" ca="1" si="2"/>
        <v>307.94965151113507</v>
      </c>
      <c r="G29" s="41">
        <f t="shared" ca="1" si="3"/>
        <v>0</v>
      </c>
      <c r="H29" s="41">
        <f t="shared" ca="1" si="4"/>
        <v>22.949651511135073</v>
      </c>
    </row>
    <row r="30" spans="1:8" x14ac:dyDescent="0.15">
      <c r="A30" s="9">
        <v>20</v>
      </c>
      <c r="B30" s="40">
        <f t="shared" si="0"/>
        <v>15</v>
      </c>
      <c r="C30" s="41">
        <f t="shared" si="5"/>
        <v>300</v>
      </c>
      <c r="D30" s="41">
        <f t="shared" ca="1" si="6"/>
        <v>307.94965151113507</v>
      </c>
      <c r="E30" s="41">
        <f t="shared" ca="1" si="1"/>
        <v>22.326006365872615</v>
      </c>
      <c r="F30" s="42">
        <f t="shared" ca="1" si="2"/>
        <v>330.27565787700769</v>
      </c>
      <c r="G30" s="41">
        <f t="shared" ca="1" si="3"/>
        <v>7.9496515111350732</v>
      </c>
      <c r="H30" s="41">
        <f t="shared" ca="1" si="4"/>
        <v>30.275657877007689</v>
      </c>
    </row>
    <row r="31" spans="1:8" x14ac:dyDescent="0.15">
      <c r="A31" s="9">
        <v>21</v>
      </c>
      <c r="B31" s="40">
        <f t="shared" si="0"/>
        <v>15</v>
      </c>
      <c r="C31" s="41">
        <f t="shared" si="5"/>
        <v>315</v>
      </c>
      <c r="D31" s="41">
        <f t="shared" ca="1" si="6"/>
        <v>330.27565787700769</v>
      </c>
      <c r="E31" s="41">
        <f t="shared" ca="1" si="1"/>
        <v>6.1492416369426683</v>
      </c>
      <c r="F31" s="42">
        <f t="shared" ca="1" si="2"/>
        <v>336.42489951395038</v>
      </c>
      <c r="G31" s="41">
        <f t="shared" ca="1" si="3"/>
        <v>15.275657877007689</v>
      </c>
      <c r="H31" s="41">
        <f t="shared" ca="1" si="4"/>
        <v>21.424899513950379</v>
      </c>
    </row>
    <row r="32" spans="1:8" x14ac:dyDescent="0.15">
      <c r="A32" s="9">
        <v>22</v>
      </c>
      <c r="B32" s="40">
        <f t="shared" si="0"/>
        <v>15</v>
      </c>
      <c r="C32" s="41">
        <f t="shared" si="5"/>
        <v>330</v>
      </c>
      <c r="D32" s="41">
        <f t="shared" ca="1" si="6"/>
        <v>336.42489951395038</v>
      </c>
      <c r="E32" s="41">
        <f t="shared" ca="1" si="1"/>
        <v>1.7893668869800177</v>
      </c>
      <c r="F32" s="42">
        <f t="shared" ca="1" si="2"/>
        <v>338.2142664009304</v>
      </c>
      <c r="G32" s="41">
        <f t="shared" ca="1" si="3"/>
        <v>6.4248995139503791</v>
      </c>
      <c r="H32" s="41">
        <f t="shared" ca="1" si="4"/>
        <v>8.2142664009303985</v>
      </c>
    </row>
    <row r="33" spans="1:8" x14ac:dyDescent="0.15">
      <c r="A33" s="9">
        <v>23</v>
      </c>
      <c r="B33" s="40">
        <f t="shared" si="0"/>
        <v>15</v>
      </c>
      <c r="C33" s="41">
        <f t="shared" si="5"/>
        <v>345</v>
      </c>
      <c r="D33" s="41">
        <f t="shared" ca="1" si="6"/>
        <v>345</v>
      </c>
      <c r="E33" s="41">
        <f t="shared" ca="1" si="1"/>
        <v>11.928993585970474</v>
      </c>
      <c r="F33" s="42">
        <f t="shared" ca="1" si="2"/>
        <v>356.92899358597049</v>
      </c>
      <c r="G33" s="41">
        <f t="shared" ca="1" si="3"/>
        <v>0</v>
      </c>
      <c r="H33" s="41">
        <f t="shared" ca="1" si="4"/>
        <v>11.928993585970488</v>
      </c>
    </row>
    <row r="34" spans="1:8" x14ac:dyDescent="0.15">
      <c r="A34" s="9">
        <v>24</v>
      </c>
      <c r="B34" s="40">
        <f t="shared" si="0"/>
        <v>15</v>
      </c>
      <c r="C34" s="41">
        <f t="shared" si="5"/>
        <v>360</v>
      </c>
      <c r="D34" s="41">
        <f t="shared" ca="1" si="6"/>
        <v>360</v>
      </c>
      <c r="E34" s="41">
        <f t="shared" ca="1" si="1"/>
        <v>4.148073840462855</v>
      </c>
      <c r="F34" s="42">
        <f t="shared" ca="1" si="2"/>
        <v>364.14807384046287</v>
      </c>
      <c r="G34" s="41">
        <f t="shared" ca="1" si="3"/>
        <v>0</v>
      </c>
      <c r="H34" s="41">
        <f t="shared" ca="1" si="4"/>
        <v>4.148073840462871</v>
      </c>
    </row>
    <row r="35" spans="1:8" x14ac:dyDescent="0.15">
      <c r="A35" s="9">
        <v>25</v>
      </c>
      <c r="B35" s="40">
        <f t="shared" si="0"/>
        <v>15</v>
      </c>
      <c r="C35" s="41">
        <f t="shared" si="5"/>
        <v>375</v>
      </c>
      <c r="D35" s="41">
        <f t="shared" ca="1" si="6"/>
        <v>375</v>
      </c>
      <c r="E35" s="41">
        <f t="shared" ca="1" si="1"/>
        <v>12.444821883805597</v>
      </c>
      <c r="F35" s="42">
        <f t="shared" ca="1" si="2"/>
        <v>387.44482188380562</v>
      </c>
      <c r="G35" s="41">
        <f t="shared" ca="1" si="3"/>
        <v>0</v>
      </c>
      <c r="H35" s="41">
        <f t="shared" ca="1" si="4"/>
        <v>12.444821883805616</v>
      </c>
    </row>
    <row r="36" spans="1:8" x14ac:dyDescent="0.15">
      <c r="A36" s="9">
        <v>26</v>
      </c>
      <c r="B36" s="40">
        <f t="shared" si="0"/>
        <v>15</v>
      </c>
      <c r="C36" s="41">
        <f t="shared" si="5"/>
        <v>390</v>
      </c>
      <c r="D36" s="41">
        <f t="shared" ca="1" si="6"/>
        <v>390</v>
      </c>
      <c r="E36" s="41">
        <f t="shared" ca="1" si="1"/>
        <v>4.1085139882778412</v>
      </c>
      <c r="F36" s="42">
        <f t="shared" ca="1" si="2"/>
        <v>394.10851398827782</v>
      </c>
      <c r="G36" s="41">
        <f t="shared" ca="1" si="3"/>
        <v>0</v>
      </c>
      <c r="H36" s="41">
        <f t="shared" ca="1" si="4"/>
        <v>4.1085139882778208</v>
      </c>
    </row>
    <row r="37" spans="1:8" x14ac:dyDescent="0.15">
      <c r="A37" s="9">
        <v>27</v>
      </c>
      <c r="B37" s="40">
        <f t="shared" si="0"/>
        <v>15</v>
      </c>
      <c r="C37" s="41">
        <f t="shared" si="5"/>
        <v>405</v>
      </c>
      <c r="D37" s="41">
        <f t="shared" ca="1" si="6"/>
        <v>405</v>
      </c>
      <c r="E37" s="41">
        <f t="shared" ca="1" si="1"/>
        <v>2.1045540200458408</v>
      </c>
      <c r="F37" s="42">
        <f t="shared" ca="1" si="2"/>
        <v>407.10455402004584</v>
      </c>
      <c r="G37" s="41">
        <f t="shared" ca="1" si="3"/>
        <v>0</v>
      </c>
      <c r="H37" s="41">
        <f t="shared" ca="1" si="4"/>
        <v>2.104554020045839</v>
      </c>
    </row>
    <row r="38" spans="1:8" x14ac:dyDescent="0.15">
      <c r="A38" s="9">
        <v>28</v>
      </c>
      <c r="B38" s="40">
        <f t="shared" si="0"/>
        <v>15</v>
      </c>
      <c r="C38" s="41">
        <f t="shared" si="5"/>
        <v>420</v>
      </c>
      <c r="D38" s="41">
        <f t="shared" ca="1" si="6"/>
        <v>420</v>
      </c>
      <c r="E38" s="41">
        <f t="shared" ca="1" si="1"/>
        <v>0.86387641371999513</v>
      </c>
      <c r="F38" s="42">
        <f t="shared" ca="1" si="2"/>
        <v>420.86387641371999</v>
      </c>
      <c r="G38" s="41">
        <f t="shared" ca="1" si="3"/>
        <v>0</v>
      </c>
      <c r="H38" s="41">
        <f t="shared" ca="1" si="4"/>
        <v>0.8638764137199928</v>
      </c>
    </row>
    <row r="39" spans="1:8" x14ac:dyDescent="0.15">
      <c r="A39" s="9">
        <v>29</v>
      </c>
      <c r="B39" s="40">
        <f t="shared" si="0"/>
        <v>15</v>
      </c>
      <c r="C39" s="41">
        <f t="shared" si="5"/>
        <v>435</v>
      </c>
      <c r="D39" s="41">
        <f t="shared" ca="1" si="6"/>
        <v>435</v>
      </c>
      <c r="E39" s="41">
        <f t="shared" ca="1" si="1"/>
        <v>4.4352536176315303</v>
      </c>
      <c r="F39" s="42">
        <f t="shared" ca="1" si="2"/>
        <v>439.43525361763153</v>
      </c>
      <c r="G39" s="41">
        <f t="shared" ca="1" si="3"/>
        <v>0</v>
      </c>
      <c r="H39" s="41">
        <f t="shared" ca="1" si="4"/>
        <v>4.4352536176315311</v>
      </c>
    </row>
    <row r="40" spans="1:8" x14ac:dyDescent="0.15">
      <c r="A40" s="9">
        <v>30</v>
      </c>
      <c r="B40" s="40">
        <f t="shared" si="0"/>
        <v>15</v>
      </c>
      <c r="C40" s="41">
        <f t="shared" si="5"/>
        <v>450</v>
      </c>
      <c r="D40" s="41">
        <f t="shared" ca="1" si="6"/>
        <v>450</v>
      </c>
      <c r="E40" s="41">
        <f t="shared" ca="1" si="1"/>
        <v>9.2791235703599941</v>
      </c>
      <c r="F40" s="42">
        <f t="shared" ca="1" si="2"/>
        <v>459.27912357036001</v>
      </c>
      <c r="G40" s="41">
        <f t="shared" ca="1" si="3"/>
        <v>0</v>
      </c>
      <c r="H40" s="41">
        <f t="shared" ca="1" si="4"/>
        <v>9.2791235703600137</v>
      </c>
    </row>
    <row r="41" spans="1:8" x14ac:dyDescent="0.15">
      <c r="A41" s="9">
        <v>31</v>
      </c>
      <c r="B41" s="40">
        <f t="shared" si="0"/>
        <v>15</v>
      </c>
      <c r="C41" s="41">
        <f t="shared" si="5"/>
        <v>465</v>
      </c>
      <c r="D41" s="41">
        <f t="shared" ca="1" si="6"/>
        <v>465</v>
      </c>
      <c r="E41" s="41">
        <f t="shared" ca="1" si="1"/>
        <v>9.856937773502727</v>
      </c>
      <c r="F41" s="42">
        <f t="shared" ca="1" si="2"/>
        <v>474.85693777350275</v>
      </c>
      <c r="G41" s="41">
        <f t="shared" ca="1" si="3"/>
        <v>0</v>
      </c>
      <c r="H41" s="41">
        <f t="shared" ca="1" si="4"/>
        <v>9.8569377735027501</v>
      </c>
    </row>
    <row r="42" spans="1:8" x14ac:dyDescent="0.15">
      <c r="A42" s="9">
        <v>32</v>
      </c>
      <c r="B42" s="40">
        <f t="shared" si="0"/>
        <v>15</v>
      </c>
      <c r="C42" s="41">
        <f t="shared" si="5"/>
        <v>480</v>
      </c>
      <c r="D42" s="41">
        <f t="shared" ca="1" si="6"/>
        <v>480</v>
      </c>
      <c r="E42" s="41">
        <f t="shared" ca="1" si="1"/>
        <v>0.8724287046610546</v>
      </c>
      <c r="F42" s="42">
        <f t="shared" ca="1" si="2"/>
        <v>480.87242870466105</v>
      </c>
      <c r="G42" s="41">
        <f t="shared" ca="1" si="3"/>
        <v>0</v>
      </c>
      <c r="H42" s="41">
        <f t="shared" ca="1" si="4"/>
        <v>0.87242870466104705</v>
      </c>
    </row>
    <row r="43" spans="1:8" x14ac:dyDescent="0.15">
      <c r="A43" s="9">
        <v>33</v>
      </c>
      <c r="B43" s="40">
        <f t="shared" ref="B43:B74" si="7">$C$2</f>
        <v>15</v>
      </c>
      <c r="C43" s="41">
        <f t="shared" si="5"/>
        <v>495</v>
      </c>
      <c r="D43" s="41">
        <f t="shared" ca="1" si="6"/>
        <v>495</v>
      </c>
      <c r="E43" s="41">
        <f t="shared" ref="E43:E74" ca="1" si="8">-$C$3*LN(RAND())</f>
        <v>5.7811025029636482</v>
      </c>
      <c r="F43" s="42">
        <f t="shared" ref="F43:F74" ca="1" si="9">D43+E43</f>
        <v>500.78110250296368</v>
      </c>
      <c r="G43" s="41">
        <f t="shared" ref="G43:G74" ca="1" si="10">D43-C43</f>
        <v>0</v>
      </c>
      <c r="H43" s="41">
        <f t="shared" ref="H43:H74" ca="1" si="11">F43-C43</f>
        <v>5.7811025029636767</v>
      </c>
    </row>
    <row r="44" spans="1:8" x14ac:dyDescent="0.15">
      <c r="A44" s="9">
        <v>34</v>
      </c>
      <c r="B44" s="40">
        <f t="shared" si="7"/>
        <v>15</v>
      </c>
      <c r="C44" s="41">
        <f t="shared" ref="C44:C75" si="12">C43+B44</f>
        <v>510</v>
      </c>
      <c r="D44" s="41">
        <f t="shared" ref="D44:D75" ca="1" si="13">MAX(F43,C44)</f>
        <v>510</v>
      </c>
      <c r="E44" s="41">
        <f t="shared" ca="1" si="8"/>
        <v>0.45924072310456726</v>
      </c>
      <c r="F44" s="42">
        <f t="shared" ca="1" si="9"/>
        <v>510.45924072310459</v>
      </c>
      <c r="G44" s="41">
        <f t="shared" ca="1" si="10"/>
        <v>0</v>
      </c>
      <c r="H44" s="41">
        <f t="shared" ca="1" si="11"/>
        <v>0.45924072310458541</v>
      </c>
    </row>
    <row r="45" spans="1:8" x14ac:dyDescent="0.15">
      <c r="A45" s="9">
        <v>35</v>
      </c>
      <c r="B45" s="40">
        <f t="shared" si="7"/>
        <v>15</v>
      </c>
      <c r="C45" s="41">
        <f t="shared" si="12"/>
        <v>525</v>
      </c>
      <c r="D45" s="41">
        <f t="shared" ca="1" si="13"/>
        <v>525</v>
      </c>
      <c r="E45" s="41">
        <f t="shared" ca="1" si="8"/>
        <v>13.430410695202315</v>
      </c>
      <c r="F45" s="42">
        <f t="shared" ca="1" si="9"/>
        <v>538.43041069520234</v>
      </c>
      <c r="G45" s="41">
        <f t="shared" ca="1" si="10"/>
        <v>0</v>
      </c>
      <c r="H45" s="41">
        <f t="shared" ca="1" si="11"/>
        <v>13.43041069520234</v>
      </c>
    </row>
    <row r="46" spans="1:8" x14ac:dyDescent="0.15">
      <c r="A46" s="9">
        <v>36</v>
      </c>
      <c r="B46" s="40">
        <f t="shared" si="7"/>
        <v>15</v>
      </c>
      <c r="C46" s="41">
        <f t="shared" si="12"/>
        <v>540</v>
      </c>
      <c r="D46" s="41">
        <f t="shared" ca="1" si="13"/>
        <v>540</v>
      </c>
      <c r="E46" s="41">
        <f t="shared" ca="1" si="8"/>
        <v>1.4827208169100401</v>
      </c>
      <c r="F46" s="42">
        <f t="shared" ca="1" si="9"/>
        <v>541.48272081691005</v>
      </c>
      <c r="G46" s="41">
        <f t="shared" ca="1" si="10"/>
        <v>0</v>
      </c>
      <c r="H46" s="41">
        <f t="shared" ca="1" si="11"/>
        <v>1.4827208169100459</v>
      </c>
    </row>
    <row r="47" spans="1:8" x14ac:dyDescent="0.15">
      <c r="A47" s="9">
        <v>37</v>
      </c>
      <c r="B47" s="40">
        <f t="shared" si="7"/>
        <v>15</v>
      </c>
      <c r="C47" s="41">
        <f t="shared" si="12"/>
        <v>555</v>
      </c>
      <c r="D47" s="41">
        <f t="shared" ca="1" si="13"/>
        <v>555</v>
      </c>
      <c r="E47" s="41">
        <f t="shared" ca="1" si="8"/>
        <v>1.3634108616760918</v>
      </c>
      <c r="F47" s="42">
        <f t="shared" ca="1" si="9"/>
        <v>556.36341086167613</v>
      </c>
      <c r="G47" s="41">
        <f t="shared" ca="1" si="10"/>
        <v>0</v>
      </c>
      <c r="H47" s="41">
        <f t="shared" ca="1" si="11"/>
        <v>1.3634108616761296</v>
      </c>
    </row>
    <row r="48" spans="1:8" x14ac:dyDescent="0.15">
      <c r="A48" s="9">
        <v>38</v>
      </c>
      <c r="B48" s="40">
        <f t="shared" si="7"/>
        <v>15</v>
      </c>
      <c r="C48" s="41">
        <f t="shared" si="12"/>
        <v>570</v>
      </c>
      <c r="D48" s="41">
        <f t="shared" ca="1" si="13"/>
        <v>570</v>
      </c>
      <c r="E48" s="41">
        <f t="shared" ca="1" si="8"/>
        <v>1.706336277880389</v>
      </c>
      <c r="F48" s="42">
        <f t="shared" ca="1" si="9"/>
        <v>571.70633627788038</v>
      </c>
      <c r="G48" s="41">
        <f t="shared" ca="1" si="10"/>
        <v>0</v>
      </c>
      <c r="H48" s="41">
        <f t="shared" ca="1" si="11"/>
        <v>1.7063362778803821</v>
      </c>
    </row>
    <row r="49" spans="1:8" x14ac:dyDescent="0.15">
      <c r="A49" s="9">
        <v>39</v>
      </c>
      <c r="B49" s="40">
        <f t="shared" si="7"/>
        <v>15</v>
      </c>
      <c r="C49" s="41">
        <f t="shared" si="12"/>
        <v>585</v>
      </c>
      <c r="D49" s="41">
        <f t="shared" ca="1" si="13"/>
        <v>585</v>
      </c>
      <c r="E49" s="41">
        <f t="shared" ca="1" si="8"/>
        <v>3.9146607777871916</v>
      </c>
      <c r="F49" s="42">
        <f t="shared" ca="1" si="9"/>
        <v>588.91466077778716</v>
      </c>
      <c r="G49" s="41">
        <f t="shared" ca="1" si="10"/>
        <v>0</v>
      </c>
      <c r="H49" s="41">
        <f t="shared" ca="1" si="11"/>
        <v>3.9146607777871623</v>
      </c>
    </row>
    <row r="50" spans="1:8" x14ac:dyDescent="0.15">
      <c r="A50" s="9">
        <v>40</v>
      </c>
      <c r="B50" s="40">
        <f t="shared" si="7"/>
        <v>15</v>
      </c>
      <c r="C50" s="41">
        <f t="shared" si="12"/>
        <v>600</v>
      </c>
      <c r="D50" s="41">
        <f t="shared" ca="1" si="13"/>
        <v>600</v>
      </c>
      <c r="E50" s="41">
        <f t="shared" ca="1" si="8"/>
        <v>0.29711429621563878</v>
      </c>
      <c r="F50" s="42">
        <f t="shared" ca="1" si="9"/>
        <v>600.29711429621568</v>
      </c>
      <c r="G50" s="41">
        <f t="shared" ca="1" si="10"/>
        <v>0</v>
      </c>
      <c r="H50" s="41">
        <f t="shared" ca="1" si="11"/>
        <v>0.29711429621568186</v>
      </c>
    </row>
    <row r="51" spans="1:8" x14ac:dyDescent="0.15">
      <c r="A51" s="9">
        <v>41</v>
      </c>
      <c r="B51" s="40">
        <f t="shared" si="7"/>
        <v>15</v>
      </c>
      <c r="C51" s="41">
        <f t="shared" si="12"/>
        <v>615</v>
      </c>
      <c r="D51" s="41">
        <f t="shared" ca="1" si="13"/>
        <v>615</v>
      </c>
      <c r="E51" s="41">
        <f t="shared" ca="1" si="8"/>
        <v>9.3016663314093826</v>
      </c>
      <c r="F51" s="42">
        <f t="shared" ca="1" si="9"/>
        <v>624.30166633140936</v>
      </c>
      <c r="G51" s="41">
        <f t="shared" ca="1" si="10"/>
        <v>0</v>
      </c>
      <c r="H51" s="41">
        <f t="shared" ca="1" si="11"/>
        <v>9.3016663314093648</v>
      </c>
    </row>
    <row r="52" spans="1:8" x14ac:dyDescent="0.15">
      <c r="A52" s="9">
        <v>42</v>
      </c>
      <c r="B52" s="40">
        <f t="shared" si="7"/>
        <v>15</v>
      </c>
      <c r="C52" s="41">
        <f t="shared" si="12"/>
        <v>630</v>
      </c>
      <c r="D52" s="41">
        <f t="shared" ca="1" si="13"/>
        <v>630</v>
      </c>
      <c r="E52" s="41">
        <f t="shared" ca="1" si="8"/>
        <v>5.3365163726746898</v>
      </c>
      <c r="F52" s="42">
        <f t="shared" ca="1" si="9"/>
        <v>635.33651637267474</v>
      </c>
      <c r="G52" s="41">
        <f t="shared" ca="1" si="10"/>
        <v>0</v>
      </c>
      <c r="H52" s="41">
        <f t="shared" ca="1" si="11"/>
        <v>5.3365163726747369</v>
      </c>
    </row>
    <row r="53" spans="1:8" x14ac:dyDescent="0.15">
      <c r="A53" s="9">
        <v>43</v>
      </c>
      <c r="B53" s="40">
        <f t="shared" si="7"/>
        <v>15</v>
      </c>
      <c r="C53" s="41">
        <f t="shared" si="12"/>
        <v>645</v>
      </c>
      <c r="D53" s="41">
        <f t="shared" ca="1" si="13"/>
        <v>645</v>
      </c>
      <c r="E53" s="41">
        <f t="shared" ca="1" si="8"/>
        <v>4.4228305478084327</v>
      </c>
      <c r="F53" s="42">
        <f t="shared" ca="1" si="9"/>
        <v>649.42283054780842</v>
      </c>
      <c r="G53" s="41">
        <f t="shared" ca="1" si="10"/>
        <v>0</v>
      </c>
      <c r="H53" s="41">
        <f t="shared" ca="1" si="11"/>
        <v>4.4228305478084167</v>
      </c>
    </row>
    <row r="54" spans="1:8" x14ac:dyDescent="0.15">
      <c r="A54" s="9">
        <v>44</v>
      </c>
      <c r="B54" s="40">
        <f t="shared" si="7"/>
        <v>15</v>
      </c>
      <c r="C54" s="41">
        <f t="shared" si="12"/>
        <v>660</v>
      </c>
      <c r="D54" s="41">
        <f t="shared" ca="1" si="13"/>
        <v>660</v>
      </c>
      <c r="E54" s="41">
        <f t="shared" ca="1" si="8"/>
        <v>24.831598375669994</v>
      </c>
      <c r="F54" s="42">
        <f t="shared" ca="1" si="9"/>
        <v>684.83159837566996</v>
      </c>
      <c r="G54" s="41">
        <f t="shared" ca="1" si="10"/>
        <v>0</v>
      </c>
      <c r="H54" s="41">
        <f t="shared" ca="1" si="11"/>
        <v>24.831598375669955</v>
      </c>
    </row>
    <row r="55" spans="1:8" x14ac:dyDescent="0.15">
      <c r="A55" s="9">
        <v>45</v>
      </c>
      <c r="B55" s="40">
        <f t="shared" si="7"/>
        <v>15</v>
      </c>
      <c r="C55" s="41">
        <f t="shared" si="12"/>
        <v>675</v>
      </c>
      <c r="D55" s="41">
        <f t="shared" ca="1" si="13"/>
        <v>684.83159837566996</v>
      </c>
      <c r="E55" s="41">
        <f t="shared" ca="1" si="8"/>
        <v>13.849219887793204</v>
      </c>
      <c r="F55" s="42">
        <f t="shared" ca="1" si="9"/>
        <v>698.68081826346315</v>
      </c>
      <c r="G55" s="41">
        <f t="shared" ca="1" si="10"/>
        <v>9.8315983756699552</v>
      </c>
      <c r="H55" s="41">
        <f t="shared" ca="1" si="11"/>
        <v>23.680818263463152</v>
      </c>
    </row>
    <row r="56" spans="1:8" x14ac:dyDescent="0.15">
      <c r="A56" s="9">
        <v>46</v>
      </c>
      <c r="B56" s="40">
        <f t="shared" si="7"/>
        <v>15</v>
      </c>
      <c r="C56" s="41">
        <f t="shared" si="12"/>
        <v>690</v>
      </c>
      <c r="D56" s="41">
        <f t="shared" ca="1" si="13"/>
        <v>698.68081826346315</v>
      </c>
      <c r="E56" s="41">
        <f t="shared" ca="1" si="8"/>
        <v>16.994487793904078</v>
      </c>
      <c r="F56" s="42">
        <f t="shared" ca="1" si="9"/>
        <v>715.67530605736727</v>
      </c>
      <c r="G56" s="41">
        <f t="shared" ca="1" si="10"/>
        <v>8.6808182634631521</v>
      </c>
      <c r="H56" s="41">
        <f t="shared" ca="1" si="11"/>
        <v>25.675306057367266</v>
      </c>
    </row>
    <row r="57" spans="1:8" x14ac:dyDescent="0.15">
      <c r="A57" s="9">
        <v>47</v>
      </c>
      <c r="B57" s="40">
        <f t="shared" si="7"/>
        <v>15</v>
      </c>
      <c r="C57" s="41">
        <f t="shared" si="12"/>
        <v>705</v>
      </c>
      <c r="D57" s="41">
        <f t="shared" ca="1" si="13"/>
        <v>715.67530605736727</v>
      </c>
      <c r="E57" s="41">
        <f t="shared" ca="1" si="8"/>
        <v>13.282145638388112</v>
      </c>
      <c r="F57" s="42">
        <f t="shared" ca="1" si="9"/>
        <v>728.95745169575537</v>
      </c>
      <c r="G57" s="41">
        <f t="shared" ca="1" si="10"/>
        <v>10.675306057367266</v>
      </c>
      <c r="H57" s="41">
        <f t="shared" ca="1" si="11"/>
        <v>23.957451695755367</v>
      </c>
    </row>
    <row r="58" spans="1:8" x14ac:dyDescent="0.15">
      <c r="A58" s="9">
        <v>48</v>
      </c>
      <c r="B58" s="40">
        <f t="shared" si="7"/>
        <v>15</v>
      </c>
      <c r="C58" s="41">
        <f t="shared" si="12"/>
        <v>720</v>
      </c>
      <c r="D58" s="41">
        <f t="shared" ca="1" si="13"/>
        <v>728.95745169575537</v>
      </c>
      <c r="E58" s="41">
        <f t="shared" ca="1" si="8"/>
        <v>5.3966518135806183</v>
      </c>
      <c r="F58" s="42">
        <f t="shared" ca="1" si="9"/>
        <v>734.35410350933603</v>
      </c>
      <c r="G58" s="41">
        <f t="shared" ca="1" si="10"/>
        <v>8.9574516957553669</v>
      </c>
      <c r="H58" s="41">
        <f t="shared" ca="1" si="11"/>
        <v>14.354103509336028</v>
      </c>
    </row>
    <row r="59" spans="1:8" x14ac:dyDescent="0.15">
      <c r="A59" s="9">
        <v>49</v>
      </c>
      <c r="B59" s="40">
        <f t="shared" si="7"/>
        <v>15</v>
      </c>
      <c r="C59" s="41">
        <f t="shared" si="12"/>
        <v>735</v>
      </c>
      <c r="D59" s="41">
        <f t="shared" ca="1" si="13"/>
        <v>735</v>
      </c>
      <c r="E59" s="41">
        <f t="shared" ca="1" si="8"/>
        <v>7.7606944926738155</v>
      </c>
      <c r="F59" s="42">
        <f t="shared" ca="1" si="9"/>
        <v>742.76069449267379</v>
      </c>
      <c r="G59" s="41">
        <f t="shared" ca="1" si="10"/>
        <v>0</v>
      </c>
      <c r="H59" s="41">
        <f t="shared" ca="1" si="11"/>
        <v>7.7606944926737924</v>
      </c>
    </row>
    <row r="60" spans="1:8" x14ac:dyDescent="0.15">
      <c r="A60" s="9">
        <v>50</v>
      </c>
      <c r="B60" s="40">
        <f t="shared" si="7"/>
        <v>15</v>
      </c>
      <c r="C60" s="41">
        <f t="shared" si="12"/>
        <v>750</v>
      </c>
      <c r="D60" s="41">
        <f t="shared" ca="1" si="13"/>
        <v>750</v>
      </c>
      <c r="E60" s="41">
        <f t="shared" ca="1" si="8"/>
        <v>4.5738807298103072</v>
      </c>
      <c r="F60" s="42">
        <f t="shared" ca="1" si="9"/>
        <v>754.5738807298103</v>
      </c>
      <c r="G60" s="41">
        <f t="shared" ca="1" si="10"/>
        <v>0</v>
      </c>
      <c r="H60" s="41">
        <f t="shared" ca="1" si="11"/>
        <v>4.5738807298102984</v>
      </c>
    </row>
    <row r="61" spans="1:8" x14ac:dyDescent="0.15">
      <c r="A61" s="9">
        <v>51</v>
      </c>
      <c r="B61" s="40">
        <f t="shared" si="7"/>
        <v>15</v>
      </c>
      <c r="C61" s="41">
        <f t="shared" si="12"/>
        <v>765</v>
      </c>
      <c r="D61" s="41">
        <f t="shared" ca="1" si="13"/>
        <v>765</v>
      </c>
      <c r="E61" s="41">
        <f t="shared" ca="1" si="8"/>
        <v>11.849865748770466</v>
      </c>
      <c r="F61" s="42">
        <f t="shared" ca="1" si="9"/>
        <v>776.84986574877041</v>
      </c>
      <c r="G61" s="41">
        <f t="shared" ca="1" si="10"/>
        <v>0</v>
      </c>
      <c r="H61" s="41">
        <f t="shared" ca="1" si="11"/>
        <v>11.849865748770412</v>
      </c>
    </row>
    <row r="62" spans="1:8" x14ac:dyDescent="0.15">
      <c r="A62" s="9">
        <v>52</v>
      </c>
      <c r="B62" s="40">
        <f t="shared" si="7"/>
        <v>15</v>
      </c>
      <c r="C62" s="41">
        <f t="shared" si="12"/>
        <v>780</v>
      </c>
      <c r="D62" s="41">
        <f t="shared" ca="1" si="13"/>
        <v>780</v>
      </c>
      <c r="E62" s="41">
        <f t="shared" ca="1" si="8"/>
        <v>7.0597352561858662</v>
      </c>
      <c r="F62" s="42">
        <f t="shared" ca="1" si="9"/>
        <v>787.05973525618583</v>
      </c>
      <c r="G62" s="41">
        <f t="shared" ca="1" si="10"/>
        <v>0</v>
      </c>
      <c r="H62" s="41">
        <f t="shared" ca="1" si="11"/>
        <v>7.0597352561858315</v>
      </c>
    </row>
    <row r="63" spans="1:8" x14ac:dyDescent="0.15">
      <c r="A63" s="9">
        <v>53</v>
      </c>
      <c r="B63" s="40">
        <f t="shared" si="7"/>
        <v>15</v>
      </c>
      <c r="C63" s="41">
        <f t="shared" si="12"/>
        <v>795</v>
      </c>
      <c r="D63" s="41">
        <f t="shared" ca="1" si="13"/>
        <v>795</v>
      </c>
      <c r="E63" s="41">
        <f t="shared" ca="1" si="8"/>
        <v>22.893780164102711</v>
      </c>
      <c r="F63" s="42">
        <f t="shared" ca="1" si="9"/>
        <v>817.89378016410274</v>
      </c>
      <c r="G63" s="41">
        <f t="shared" ca="1" si="10"/>
        <v>0</v>
      </c>
      <c r="H63" s="41">
        <f t="shared" ca="1" si="11"/>
        <v>22.893780164102736</v>
      </c>
    </row>
    <row r="64" spans="1:8" x14ac:dyDescent="0.15">
      <c r="A64" s="9">
        <v>54</v>
      </c>
      <c r="B64" s="40">
        <f t="shared" si="7"/>
        <v>15</v>
      </c>
      <c r="C64" s="41">
        <f t="shared" si="12"/>
        <v>810</v>
      </c>
      <c r="D64" s="41">
        <f t="shared" ca="1" si="13"/>
        <v>817.89378016410274</v>
      </c>
      <c r="E64" s="41">
        <f t="shared" ca="1" si="8"/>
        <v>11.63543550095801</v>
      </c>
      <c r="F64" s="42">
        <f t="shared" ca="1" si="9"/>
        <v>829.52921566506075</v>
      </c>
      <c r="G64" s="41">
        <f t="shared" ca="1" si="10"/>
        <v>7.8937801641027363</v>
      </c>
      <c r="H64" s="41">
        <f t="shared" ca="1" si="11"/>
        <v>19.529215665060747</v>
      </c>
    </row>
    <row r="65" spans="1:8" x14ac:dyDescent="0.15">
      <c r="A65" s="9">
        <v>55</v>
      </c>
      <c r="B65" s="40">
        <f t="shared" si="7"/>
        <v>15</v>
      </c>
      <c r="C65" s="41">
        <f t="shared" si="12"/>
        <v>825</v>
      </c>
      <c r="D65" s="41">
        <f t="shared" ca="1" si="13"/>
        <v>829.52921566506075</v>
      </c>
      <c r="E65" s="41">
        <f t="shared" ca="1" si="8"/>
        <v>14.691821035133781</v>
      </c>
      <c r="F65" s="42">
        <f t="shared" ca="1" si="9"/>
        <v>844.22103670019453</v>
      </c>
      <c r="G65" s="41">
        <f t="shared" ca="1" si="10"/>
        <v>4.5292156650607467</v>
      </c>
      <c r="H65" s="41">
        <f t="shared" ca="1" si="11"/>
        <v>19.221036700194531</v>
      </c>
    </row>
    <row r="66" spans="1:8" x14ac:dyDescent="0.15">
      <c r="A66" s="9">
        <v>56</v>
      </c>
      <c r="B66" s="40">
        <f t="shared" si="7"/>
        <v>15</v>
      </c>
      <c r="C66" s="41">
        <f t="shared" si="12"/>
        <v>840</v>
      </c>
      <c r="D66" s="41">
        <f t="shared" ca="1" si="13"/>
        <v>844.22103670019453</v>
      </c>
      <c r="E66" s="41">
        <f t="shared" ca="1" si="8"/>
        <v>0.31999471758456377</v>
      </c>
      <c r="F66" s="42">
        <f t="shared" ca="1" si="9"/>
        <v>844.5410314177791</v>
      </c>
      <c r="G66" s="41">
        <f t="shared" ca="1" si="10"/>
        <v>4.2210367001945315</v>
      </c>
      <c r="H66" s="41">
        <f t="shared" ca="1" si="11"/>
        <v>4.5410314177790951</v>
      </c>
    </row>
    <row r="67" spans="1:8" x14ac:dyDescent="0.15">
      <c r="A67" s="9">
        <v>57</v>
      </c>
      <c r="B67" s="40">
        <f t="shared" si="7"/>
        <v>15</v>
      </c>
      <c r="C67" s="41">
        <f t="shared" si="12"/>
        <v>855</v>
      </c>
      <c r="D67" s="41">
        <f t="shared" ca="1" si="13"/>
        <v>855</v>
      </c>
      <c r="E67" s="41">
        <f t="shared" ca="1" si="8"/>
        <v>4.5104951420226609</v>
      </c>
      <c r="F67" s="42">
        <f t="shared" ca="1" si="9"/>
        <v>859.51049514202271</v>
      </c>
      <c r="G67" s="41">
        <f t="shared" ca="1" si="10"/>
        <v>0</v>
      </c>
      <c r="H67" s="41">
        <f t="shared" ca="1" si="11"/>
        <v>4.5104951420227053</v>
      </c>
    </row>
    <row r="68" spans="1:8" x14ac:dyDescent="0.15">
      <c r="A68" s="9">
        <v>58</v>
      </c>
      <c r="B68" s="40">
        <f t="shared" si="7"/>
        <v>15</v>
      </c>
      <c r="C68" s="41">
        <f t="shared" si="12"/>
        <v>870</v>
      </c>
      <c r="D68" s="41">
        <f t="shared" ca="1" si="13"/>
        <v>870</v>
      </c>
      <c r="E68" s="41">
        <f t="shared" ca="1" si="8"/>
        <v>14.722408992191539</v>
      </c>
      <c r="F68" s="42">
        <f t="shared" ca="1" si="9"/>
        <v>884.7224089921915</v>
      </c>
      <c r="G68" s="41">
        <f t="shared" ca="1" si="10"/>
        <v>0</v>
      </c>
      <c r="H68" s="41">
        <f t="shared" ca="1" si="11"/>
        <v>14.722408992191504</v>
      </c>
    </row>
    <row r="69" spans="1:8" x14ac:dyDescent="0.15">
      <c r="A69" s="9">
        <v>59</v>
      </c>
      <c r="B69" s="40">
        <f t="shared" si="7"/>
        <v>15</v>
      </c>
      <c r="C69" s="41">
        <f t="shared" si="12"/>
        <v>885</v>
      </c>
      <c r="D69" s="41">
        <f t="shared" ca="1" si="13"/>
        <v>885</v>
      </c>
      <c r="E69" s="41">
        <f t="shared" ca="1" si="8"/>
        <v>6.2295446316263758</v>
      </c>
      <c r="F69" s="42">
        <f t="shared" ca="1" si="9"/>
        <v>891.22954463162637</v>
      </c>
      <c r="G69" s="41">
        <f t="shared" ca="1" si="10"/>
        <v>0</v>
      </c>
      <c r="H69" s="41">
        <f t="shared" ca="1" si="11"/>
        <v>6.2295446316263678</v>
      </c>
    </row>
    <row r="70" spans="1:8" x14ac:dyDescent="0.15">
      <c r="A70" s="9">
        <v>60</v>
      </c>
      <c r="B70" s="40">
        <f t="shared" si="7"/>
        <v>15</v>
      </c>
      <c r="C70" s="41">
        <f t="shared" si="12"/>
        <v>900</v>
      </c>
      <c r="D70" s="41">
        <f t="shared" ca="1" si="13"/>
        <v>900</v>
      </c>
      <c r="E70" s="41">
        <f t="shared" ca="1" si="8"/>
        <v>1.2045588878443523</v>
      </c>
      <c r="F70" s="42">
        <f t="shared" ca="1" si="9"/>
        <v>901.20455888784431</v>
      </c>
      <c r="G70" s="41">
        <f t="shared" ca="1" si="10"/>
        <v>0</v>
      </c>
      <c r="H70" s="41">
        <f t="shared" ca="1" si="11"/>
        <v>1.2045588878443141</v>
      </c>
    </row>
    <row r="71" spans="1:8" x14ac:dyDescent="0.15">
      <c r="A71" s="9">
        <v>61</v>
      </c>
      <c r="B71" s="40">
        <f t="shared" si="7"/>
        <v>15</v>
      </c>
      <c r="C71" s="41">
        <f t="shared" si="12"/>
        <v>915</v>
      </c>
      <c r="D71" s="41">
        <f t="shared" ca="1" si="13"/>
        <v>915</v>
      </c>
      <c r="E71" s="41">
        <f t="shared" ca="1" si="8"/>
        <v>2.7457524632849495</v>
      </c>
      <c r="F71" s="42">
        <f t="shared" ca="1" si="9"/>
        <v>917.74575246328493</v>
      </c>
      <c r="G71" s="41">
        <f t="shared" ca="1" si="10"/>
        <v>0</v>
      </c>
      <c r="H71" s="41">
        <f t="shared" ca="1" si="11"/>
        <v>2.7457524632849299</v>
      </c>
    </row>
    <row r="72" spans="1:8" x14ac:dyDescent="0.15">
      <c r="A72" s="9">
        <v>62</v>
      </c>
      <c r="B72" s="40">
        <f t="shared" si="7"/>
        <v>15</v>
      </c>
      <c r="C72" s="41">
        <f t="shared" si="12"/>
        <v>930</v>
      </c>
      <c r="D72" s="41">
        <f t="shared" ca="1" si="13"/>
        <v>930</v>
      </c>
      <c r="E72" s="41">
        <f t="shared" ca="1" si="8"/>
        <v>1.5114296794879076</v>
      </c>
      <c r="F72" s="42">
        <f t="shared" ca="1" si="9"/>
        <v>931.51142967948795</v>
      </c>
      <c r="G72" s="41">
        <f t="shared" ca="1" si="10"/>
        <v>0</v>
      </c>
      <c r="H72" s="41">
        <f t="shared" ca="1" si="11"/>
        <v>1.5114296794879465</v>
      </c>
    </row>
    <row r="73" spans="1:8" x14ac:dyDescent="0.15">
      <c r="A73" s="9">
        <v>63</v>
      </c>
      <c r="B73" s="40">
        <f t="shared" si="7"/>
        <v>15</v>
      </c>
      <c r="C73" s="41">
        <f t="shared" si="12"/>
        <v>945</v>
      </c>
      <c r="D73" s="41">
        <f t="shared" ca="1" si="13"/>
        <v>945</v>
      </c>
      <c r="E73" s="41">
        <f t="shared" ca="1" si="8"/>
        <v>5.5903003640275806</v>
      </c>
      <c r="F73" s="42">
        <f t="shared" ca="1" si="9"/>
        <v>950.5903003640276</v>
      </c>
      <c r="G73" s="41">
        <f t="shared" ca="1" si="10"/>
        <v>0</v>
      </c>
      <c r="H73" s="41">
        <f t="shared" ca="1" si="11"/>
        <v>5.5903003640275983</v>
      </c>
    </row>
    <row r="74" spans="1:8" x14ac:dyDescent="0.15">
      <c r="A74" s="9">
        <v>64</v>
      </c>
      <c r="B74" s="40">
        <f t="shared" si="7"/>
        <v>15</v>
      </c>
      <c r="C74" s="41">
        <f t="shared" si="12"/>
        <v>960</v>
      </c>
      <c r="D74" s="41">
        <f t="shared" ca="1" si="13"/>
        <v>960</v>
      </c>
      <c r="E74" s="41">
        <f t="shared" ca="1" si="8"/>
        <v>9.6211711567338511</v>
      </c>
      <c r="F74" s="42">
        <f t="shared" ca="1" si="9"/>
        <v>969.62117115673391</v>
      </c>
      <c r="G74" s="41">
        <f t="shared" ca="1" si="10"/>
        <v>0</v>
      </c>
      <c r="H74" s="41">
        <f t="shared" ca="1" si="11"/>
        <v>9.621171156733908</v>
      </c>
    </row>
    <row r="75" spans="1:8" x14ac:dyDescent="0.15">
      <c r="A75" s="9">
        <v>65</v>
      </c>
      <c r="B75" s="40">
        <f t="shared" ref="B75:B110" si="14">$C$2</f>
        <v>15</v>
      </c>
      <c r="C75" s="41">
        <f t="shared" si="12"/>
        <v>975</v>
      </c>
      <c r="D75" s="41">
        <f t="shared" ca="1" si="13"/>
        <v>975</v>
      </c>
      <c r="E75" s="41">
        <f t="shared" ref="E75:E110" ca="1" si="15">-$C$3*LN(RAND())</f>
        <v>2.7996258860752739</v>
      </c>
      <c r="F75" s="42">
        <f t="shared" ref="F75:F106" ca="1" si="16">D75+E75</f>
        <v>977.79962588607532</v>
      </c>
      <c r="G75" s="41">
        <f t="shared" ref="G75:G110" ca="1" si="17">D75-C75</f>
        <v>0</v>
      </c>
      <c r="H75" s="41">
        <f t="shared" ref="H75:H110" ca="1" si="18">F75-C75</f>
        <v>2.7996258860753187</v>
      </c>
    </row>
    <row r="76" spans="1:8" x14ac:dyDescent="0.15">
      <c r="A76" s="9">
        <v>66</v>
      </c>
      <c r="B76" s="40">
        <f t="shared" si="14"/>
        <v>15</v>
      </c>
      <c r="C76" s="41">
        <f t="shared" ref="C76:C107" si="19">C75+B76</f>
        <v>990</v>
      </c>
      <c r="D76" s="41">
        <f t="shared" ref="D76:D107" ca="1" si="20">MAX(F75,C76)</f>
        <v>990</v>
      </c>
      <c r="E76" s="41">
        <f t="shared" ca="1" si="15"/>
        <v>9.7858302507615758</v>
      </c>
      <c r="F76" s="42">
        <f t="shared" ca="1" si="16"/>
        <v>999.78583025076159</v>
      </c>
      <c r="G76" s="41">
        <f t="shared" ca="1" si="17"/>
        <v>0</v>
      </c>
      <c r="H76" s="41">
        <f t="shared" ca="1" si="18"/>
        <v>9.7858302507615917</v>
      </c>
    </row>
    <row r="77" spans="1:8" x14ac:dyDescent="0.15">
      <c r="A77" s="9">
        <v>67</v>
      </c>
      <c r="B77" s="40">
        <f t="shared" si="14"/>
        <v>15</v>
      </c>
      <c r="C77" s="41">
        <f t="shared" si="19"/>
        <v>1005</v>
      </c>
      <c r="D77" s="41">
        <f t="shared" ca="1" si="20"/>
        <v>1005</v>
      </c>
      <c r="E77" s="41">
        <f t="shared" ca="1" si="15"/>
        <v>3.2387277735833764</v>
      </c>
      <c r="F77" s="42">
        <f t="shared" ca="1" si="16"/>
        <v>1008.2387277735834</v>
      </c>
      <c r="G77" s="41">
        <f t="shared" ca="1" si="17"/>
        <v>0</v>
      </c>
      <c r="H77" s="41">
        <f t="shared" ca="1" si="18"/>
        <v>3.2387277735833777</v>
      </c>
    </row>
    <row r="78" spans="1:8" x14ac:dyDescent="0.15">
      <c r="A78" s="9">
        <v>68</v>
      </c>
      <c r="B78" s="40">
        <f t="shared" si="14"/>
        <v>15</v>
      </c>
      <c r="C78" s="41">
        <f t="shared" si="19"/>
        <v>1020</v>
      </c>
      <c r="D78" s="41">
        <f t="shared" ca="1" si="20"/>
        <v>1020</v>
      </c>
      <c r="E78" s="41">
        <f t="shared" ca="1" si="15"/>
        <v>2.0205721205397946</v>
      </c>
      <c r="F78" s="42">
        <f t="shared" ca="1" si="16"/>
        <v>1022.0205721205398</v>
      </c>
      <c r="G78" s="41">
        <f t="shared" ca="1" si="17"/>
        <v>0</v>
      </c>
      <c r="H78" s="41">
        <f t="shared" ca="1" si="18"/>
        <v>2.0205721205397822</v>
      </c>
    </row>
    <row r="79" spans="1:8" x14ac:dyDescent="0.15">
      <c r="A79" s="9">
        <v>69</v>
      </c>
      <c r="B79" s="40">
        <f t="shared" si="14"/>
        <v>15</v>
      </c>
      <c r="C79" s="41">
        <f t="shared" si="19"/>
        <v>1035</v>
      </c>
      <c r="D79" s="41">
        <f t="shared" ca="1" si="20"/>
        <v>1035</v>
      </c>
      <c r="E79" s="41">
        <f t="shared" ca="1" si="15"/>
        <v>1.9788187923806464</v>
      </c>
      <c r="F79" s="42">
        <f t="shared" ca="1" si="16"/>
        <v>1036.9788187923807</v>
      </c>
      <c r="G79" s="41">
        <f t="shared" ca="1" si="17"/>
        <v>0</v>
      </c>
      <c r="H79" s="41">
        <f t="shared" ca="1" si="18"/>
        <v>1.9788187923807072</v>
      </c>
    </row>
    <row r="80" spans="1:8" x14ac:dyDescent="0.15">
      <c r="A80" s="9">
        <v>70</v>
      </c>
      <c r="B80" s="40">
        <f t="shared" si="14"/>
        <v>15</v>
      </c>
      <c r="C80" s="41">
        <f t="shared" si="19"/>
        <v>1050</v>
      </c>
      <c r="D80" s="41">
        <f t="shared" ca="1" si="20"/>
        <v>1050</v>
      </c>
      <c r="E80" s="41">
        <f t="shared" ca="1" si="15"/>
        <v>11.097656189117025</v>
      </c>
      <c r="F80" s="42">
        <f t="shared" ca="1" si="16"/>
        <v>1061.0976561891171</v>
      </c>
      <c r="G80" s="41">
        <f t="shared" ca="1" si="17"/>
        <v>0</v>
      </c>
      <c r="H80" s="41">
        <f t="shared" ca="1" si="18"/>
        <v>11.09765618911706</v>
      </c>
    </row>
    <row r="81" spans="1:8" x14ac:dyDescent="0.15">
      <c r="A81" s="9">
        <v>71</v>
      </c>
      <c r="B81" s="40">
        <f t="shared" si="14"/>
        <v>15</v>
      </c>
      <c r="C81" s="41">
        <f t="shared" si="19"/>
        <v>1065</v>
      </c>
      <c r="D81" s="41">
        <f t="shared" ca="1" si="20"/>
        <v>1065</v>
      </c>
      <c r="E81" s="41">
        <f t="shared" ca="1" si="15"/>
        <v>10.706002374787293</v>
      </c>
      <c r="F81" s="42">
        <f t="shared" ca="1" si="16"/>
        <v>1075.7060023747872</v>
      </c>
      <c r="G81" s="41">
        <f t="shared" ca="1" si="17"/>
        <v>0</v>
      </c>
      <c r="H81" s="41">
        <f t="shared" ca="1" si="18"/>
        <v>10.706002374787204</v>
      </c>
    </row>
    <row r="82" spans="1:8" x14ac:dyDescent="0.15">
      <c r="A82" s="9">
        <v>72</v>
      </c>
      <c r="B82" s="40">
        <f t="shared" si="14"/>
        <v>15</v>
      </c>
      <c r="C82" s="41">
        <f t="shared" si="19"/>
        <v>1080</v>
      </c>
      <c r="D82" s="41">
        <f t="shared" ca="1" si="20"/>
        <v>1080</v>
      </c>
      <c r="E82" s="41">
        <f t="shared" ca="1" si="15"/>
        <v>18.603721145162133</v>
      </c>
      <c r="F82" s="42">
        <f t="shared" ca="1" si="16"/>
        <v>1098.6037211451621</v>
      </c>
      <c r="G82" s="41">
        <f t="shared" ca="1" si="17"/>
        <v>0</v>
      </c>
      <c r="H82" s="41">
        <f t="shared" ca="1" si="18"/>
        <v>18.603721145162126</v>
      </c>
    </row>
    <row r="83" spans="1:8" x14ac:dyDescent="0.15">
      <c r="A83" s="9">
        <v>73</v>
      </c>
      <c r="B83" s="40">
        <f t="shared" si="14"/>
        <v>15</v>
      </c>
      <c r="C83" s="41">
        <f t="shared" si="19"/>
        <v>1095</v>
      </c>
      <c r="D83" s="41">
        <f t="shared" ca="1" si="20"/>
        <v>1098.6037211451621</v>
      </c>
      <c r="E83" s="41">
        <f t="shared" ca="1" si="15"/>
        <v>2.2598132624754701</v>
      </c>
      <c r="F83" s="42">
        <f t="shared" ca="1" si="16"/>
        <v>1100.8635344076376</v>
      </c>
      <c r="G83" s="41">
        <f t="shared" ca="1" si="17"/>
        <v>3.603721145162126</v>
      </c>
      <c r="H83" s="41">
        <f t="shared" ca="1" si="18"/>
        <v>5.8635344076376441</v>
      </c>
    </row>
    <row r="84" spans="1:8" x14ac:dyDescent="0.15">
      <c r="A84" s="9">
        <v>74</v>
      </c>
      <c r="B84" s="40">
        <f t="shared" si="14"/>
        <v>15</v>
      </c>
      <c r="C84" s="41">
        <f t="shared" si="19"/>
        <v>1110</v>
      </c>
      <c r="D84" s="41">
        <f t="shared" ca="1" si="20"/>
        <v>1110</v>
      </c>
      <c r="E84" s="41">
        <f t="shared" ca="1" si="15"/>
        <v>3.5025031336138643E-2</v>
      </c>
      <c r="F84" s="42">
        <f t="shared" ca="1" si="16"/>
        <v>1110.0350250313361</v>
      </c>
      <c r="G84" s="41">
        <f t="shared" ca="1" si="17"/>
        <v>0</v>
      </c>
      <c r="H84" s="41">
        <f t="shared" ca="1" si="18"/>
        <v>3.5025031336090251E-2</v>
      </c>
    </row>
    <row r="85" spans="1:8" x14ac:dyDescent="0.15">
      <c r="A85" s="9">
        <v>75</v>
      </c>
      <c r="B85" s="40">
        <f t="shared" si="14"/>
        <v>15</v>
      </c>
      <c r="C85" s="41">
        <f t="shared" si="19"/>
        <v>1125</v>
      </c>
      <c r="D85" s="41">
        <f t="shared" ca="1" si="20"/>
        <v>1125</v>
      </c>
      <c r="E85" s="41">
        <f t="shared" ca="1" si="15"/>
        <v>11.763538573465874</v>
      </c>
      <c r="F85" s="42">
        <f t="shared" ca="1" si="16"/>
        <v>1136.7635385734659</v>
      </c>
      <c r="G85" s="41">
        <f t="shared" ca="1" si="17"/>
        <v>0</v>
      </c>
      <c r="H85" s="41">
        <f t="shared" ca="1" si="18"/>
        <v>11.763538573465894</v>
      </c>
    </row>
    <row r="86" spans="1:8" x14ac:dyDescent="0.15">
      <c r="A86" s="9">
        <v>76</v>
      </c>
      <c r="B86" s="40">
        <f t="shared" si="14"/>
        <v>15</v>
      </c>
      <c r="C86" s="41">
        <f t="shared" si="19"/>
        <v>1140</v>
      </c>
      <c r="D86" s="41">
        <f t="shared" ca="1" si="20"/>
        <v>1140</v>
      </c>
      <c r="E86" s="41">
        <f t="shared" ca="1" si="15"/>
        <v>6.1752681481001117</v>
      </c>
      <c r="F86" s="42">
        <f t="shared" ca="1" si="16"/>
        <v>1146.1752681481</v>
      </c>
      <c r="G86" s="41">
        <f t="shared" ca="1" si="17"/>
        <v>0</v>
      </c>
      <c r="H86" s="41">
        <f t="shared" ca="1" si="18"/>
        <v>6.1752681481000309</v>
      </c>
    </row>
    <row r="87" spans="1:8" x14ac:dyDescent="0.15">
      <c r="A87" s="9">
        <v>77</v>
      </c>
      <c r="B87" s="40">
        <f t="shared" si="14"/>
        <v>15</v>
      </c>
      <c r="C87" s="41">
        <f t="shared" si="19"/>
        <v>1155</v>
      </c>
      <c r="D87" s="41">
        <f t="shared" ca="1" si="20"/>
        <v>1155</v>
      </c>
      <c r="E87" s="41">
        <f t="shared" ca="1" si="15"/>
        <v>10.561587558609187</v>
      </c>
      <c r="F87" s="42">
        <f t="shared" ca="1" si="16"/>
        <v>1165.5615875586093</v>
      </c>
      <c r="G87" s="41">
        <f t="shared" ca="1" si="17"/>
        <v>0</v>
      </c>
      <c r="H87" s="41">
        <f t="shared" ca="1" si="18"/>
        <v>10.56158755860929</v>
      </c>
    </row>
    <row r="88" spans="1:8" x14ac:dyDescent="0.15">
      <c r="A88" s="9">
        <v>78</v>
      </c>
      <c r="B88" s="40">
        <f t="shared" si="14"/>
        <v>15</v>
      </c>
      <c r="C88" s="41">
        <f t="shared" si="19"/>
        <v>1170</v>
      </c>
      <c r="D88" s="41">
        <f t="shared" ca="1" si="20"/>
        <v>1170</v>
      </c>
      <c r="E88" s="41">
        <f t="shared" ca="1" si="15"/>
        <v>18.504576058456749</v>
      </c>
      <c r="F88" s="42">
        <f t="shared" ca="1" si="16"/>
        <v>1188.5045760584567</v>
      </c>
      <c r="G88" s="41">
        <f t="shared" ca="1" si="17"/>
        <v>0</v>
      </c>
      <c r="H88" s="41">
        <f t="shared" ca="1" si="18"/>
        <v>18.504576058456678</v>
      </c>
    </row>
    <row r="89" spans="1:8" x14ac:dyDescent="0.15">
      <c r="A89" s="9">
        <v>79</v>
      </c>
      <c r="B89" s="40">
        <f t="shared" si="14"/>
        <v>15</v>
      </c>
      <c r="C89" s="41">
        <f t="shared" si="19"/>
        <v>1185</v>
      </c>
      <c r="D89" s="41">
        <f t="shared" ca="1" si="20"/>
        <v>1188.5045760584567</v>
      </c>
      <c r="E89" s="41">
        <f t="shared" ca="1" si="15"/>
        <v>0.63510919948975286</v>
      </c>
      <c r="F89" s="42">
        <f t="shared" ca="1" si="16"/>
        <v>1189.1396852579464</v>
      </c>
      <c r="G89" s="41">
        <f t="shared" ca="1" si="17"/>
        <v>3.5045760584566779</v>
      </c>
      <c r="H89" s="41">
        <f t="shared" ca="1" si="18"/>
        <v>4.1396852579464394</v>
      </c>
    </row>
    <row r="90" spans="1:8" x14ac:dyDescent="0.15">
      <c r="A90" s="9">
        <v>80</v>
      </c>
      <c r="B90" s="40">
        <f t="shared" si="14"/>
        <v>15</v>
      </c>
      <c r="C90" s="41">
        <f t="shared" si="19"/>
        <v>1200</v>
      </c>
      <c r="D90" s="41">
        <f t="shared" ca="1" si="20"/>
        <v>1200</v>
      </c>
      <c r="E90" s="41">
        <f t="shared" ca="1" si="15"/>
        <v>0.80101565470388769</v>
      </c>
      <c r="F90" s="42">
        <f t="shared" ca="1" si="16"/>
        <v>1200.8010156547039</v>
      </c>
      <c r="G90" s="41">
        <f t="shared" ca="1" si="17"/>
        <v>0</v>
      </c>
      <c r="H90" s="41">
        <f t="shared" ca="1" si="18"/>
        <v>0.80101565470386049</v>
      </c>
    </row>
    <row r="91" spans="1:8" x14ac:dyDescent="0.15">
      <c r="A91" s="9">
        <v>81</v>
      </c>
      <c r="B91" s="40">
        <f t="shared" si="14"/>
        <v>15</v>
      </c>
      <c r="C91" s="41">
        <f t="shared" si="19"/>
        <v>1215</v>
      </c>
      <c r="D91" s="41">
        <f t="shared" ca="1" si="20"/>
        <v>1215</v>
      </c>
      <c r="E91" s="41">
        <f t="shared" ca="1" si="15"/>
        <v>11.558294310891014</v>
      </c>
      <c r="F91" s="42">
        <f t="shared" ca="1" si="16"/>
        <v>1226.5582943108909</v>
      </c>
      <c r="G91" s="41">
        <f t="shared" ca="1" si="17"/>
        <v>0</v>
      </c>
      <c r="H91" s="41">
        <f t="shared" ca="1" si="18"/>
        <v>11.558294310890915</v>
      </c>
    </row>
    <row r="92" spans="1:8" x14ac:dyDescent="0.15">
      <c r="A92" s="9">
        <v>82</v>
      </c>
      <c r="B92" s="40">
        <f t="shared" si="14"/>
        <v>15</v>
      </c>
      <c r="C92" s="41">
        <f t="shared" si="19"/>
        <v>1230</v>
      </c>
      <c r="D92" s="41">
        <f t="shared" ca="1" si="20"/>
        <v>1230</v>
      </c>
      <c r="E92" s="41">
        <f t="shared" ca="1" si="15"/>
        <v>8.9911846512688758</v>
      </c>
      <c r="F92" s="42">
        <f t="shared" ca="1" si="16"/>
        <v>1238.9911846512689</v>
      </c>
      <c r="G92" s="41">
        <f t="shared" ca="1" si="17"/>
        <v>0</v>
      </c>
      <c r="H92" s="41">
        <f t="shared" ca="1" si="18"/>
        <v>8.9911846512688953</v>
      </c>
    </row>
    <row r="93" spans="1:8" x14ac:dyDescent="0.15">
      <c r="A93" s="9">
        <v>83</v>
      </c>
      <c r="B93" s="40">
        <f t="shared" si="14"/>
        <v>15</v>
      </c>
      <c r="C93" s="41">
        <f t="shared" si="19"/>
        <v>1245</v>
      </c>
      <c r="D93" s="41">
        <f t="shared" ca="1" si="20"/>
        <v>1245</v>
      </c>
      <c r="E93" s="41">
        <f t="shared" ca="1" si="15"/>
        <v>52.250603950849381</v>
      </c>
      <c r="F93" s="42">
        <f t="shared" ca="1" si="16"/>
        <v>1297.2506039508494</v>
      </c>
      <c r="G93" s="41">
        <f t="shared" ca="1" si="17"/>
        <v>0</v>
      </c>
      <c r="H93" s="41">
        <f t="shared" ca="1" si="18"/>
        <v>52.250603950849381</v>
      </c>
    </row>
    <row r="94" spans="1:8" x14ac:dyDescent="0.15">
      <c r="A94" s="9">
        <v>84</v>
      </c>
      <c r="B94" s="40">
        <f t="shared" si="14"/>
        <v>15</v>
      </c>
      <c r="C94" s="41">
        <f t="shared" si="19"/>
        <v>1260</v>
      </c>
      <c r="D94" s="41">
        <f t="shared" ca="1" si="20"/>
        <v>1297.2506039508494</v>
      </c>
      <c r="E94" s="41">
        <f t="shared" ca="1" si="15"/>
        <v>0.73956144546228342</v>
      </c>
      <c r="F94" s="42">
        <f t="shared" ca="1" si="16"/>
        <v>1297.9901653963116</v>
      </c>
      <c r="G94" s="41">
        <f t="shared" ca="1" si="17"/>
        <v>37.250603950849381</v>
      </c>
      <c r="H94" s="41">
        <f t="shared" ca="1" si="18"/>
        <v>37.990165396311568</v>
      </c>
    </row>
    <row r="95" spans="1:8" x14ac:dyDescent="0.15">
      <c r="A95" s="9">
        <v>85</v>
      </c>
      <c r="B95" s="40">
        <f t="shared" si="14"/>
        <v>15</v>
      </c>
      <c r="C95" s="41">
        <f t="shared" si="19"/>
        <v>1275</v>
      </c>
      <c r="D95" s="41">
        <f t="shared" ca="1" si="20"/>
        <v>1297.9901653963116</v>
      </c>
      <c r="E95" s="41">
        <f t="shared" ca="1" si="15"/>
        <v>0.98449922079171537</v>
      </c>
      <c r="F95" s="42">
        <f t="shared" ca="1" si="16"/>
        <v>1298.9746646171034</v>
      </c>
      <c r="G95" s="41">
        <f t="shared" ca="1" si="17"/>
        <v>22.990165396311568</v>
      </c>
      <c r="H95" s="41">
        <f t="shared" ca="1" si="18"/>
        <v>23.974664617103372</v>
      </c>
    </row>
    <row r="96" spans="1:8" x14ac:dyDescent="0.15">
      <c r="A96" s="9">
        <v>86</v>
      </c>
      <c r="B96" s="40">
        <f t="shared" si="14"/>
        <v>15</v>
      </c>
      <c r="C96" s="41">
        <f t="shared" si="19"/>
        <v>1290</v>
      </c>
      <c r="D96" s="41">
        <f t="shared" ca="1" si="20"/>
        <v>1298.9746646171034</v>
      </c>
      <c r="E96" s="41">
        <f t="shared" ca="1" si="15"/>
        <v>20.748862885898873</v>
      </c>
      <c r="F96" s="42">
        <f t="shared" ca="1" si="16"/>
        <v>1319.7235275030023</v>
      </c>
      <c r="G96" s="41">
        <f t="shared" ca="1" si="17"/>
        <v>8.9746646171033717</v>
      </c>
      <c r="H96" s="41">
        <f t="shared" ca="1" si="18"/>
        <v>29.723527503002288</v>
      </c>
    </row>
    <row r="97" spans="1:8" x14ac:dyDescent="0.15">
      <c r="A97" s="9">
        <v>87</v>
      </c>
      <c r="B97" s="40">
        <f t="shared" si="14"/>
        <v>15</v>
      </c>
      <c r="C97" s="41">
        <f t="shared" si="19"/>
        <v>1305</v>
      </c>
      <c r="D97" s="41">
        <f t="shared" ca="1" si="20"/>
        <v>1319.7235275030023</v>
      </c>
      <c r="E97" s="41">
        <f t="shared" ca="1" si="15"/>
        <v>6.86494639790891</v>
      </c>
      <c r="F97" s="42">
        <f t="shared" ca="1" si="16"/>
        <v>1326.5884739009111</v>
      </c>
      <c r="G97" s="41">
        <f t="shared" ca="1" si="17"/>
        <v>14.723527503002288</v>
      </c>
      <c r="H97" s="41">
        <f t="shared" ca="1" si="18"/>
        <v>21.58847390091114</v>
      </c>
    </row>
    <row r="98" spans="1:8" x14ac:dyDescent="0.15">
      <c r="A98" s="9">
        <v>88</v>
      </c>
      <c r="B98" s="40">
        <f t="shared" si="14"/>
        <v>15</v>
      </c>
      <c r="C98" s="41">
        <f t="shared" si="19"/>
        <v>1320</v>
      </c>
      <c r="D98" s="41">
        <f t="shared" ca="1" si="20"/>
        <v>1326.5884739009111</v>
      </c>
      <c r="E98" s="41">
        <f t="shared" ca="1" si="15"/>
        <v>2.1356654395355661</v>
      </c>
      <c r="F98" s="42">
        <f t="shared" ca="1" si="16"/>
        <v>1328.7241393404468</v>
      </c>
      <c r="G98" s="41">
        <f t="shared" ca="1" si="17"/>
        <v>6.5884739009111399</v>
      </c>
      <c r="H98" s="41">
        <f t="shared" ca="1" si="18"/>
        <v>8.7241393404467544</v>
      </c>
    </row>
    <row r="99" spans="1:8" x14ac:dyDescent="0.15">
      <c r="A99" s="9">
        <v>89</v>
      </c>
      <c r="B99" s="40">
        <f t="shared" si="14"/>
        <v>15</v>
      </c>
      <c r="C99" s="41">
        <f t="shared" si="19"/>
        <v>1335</v>
      </c>
      <c r="D99" s="41">
        <f t="shared" ca="1" si="20"/>
        <v>1335</v>
      </c>
      <c r="E99" s="41">
        <f t="shared" ca="1" si="15"/>
        <v>16.27280683924592</v>
      </c>
      <c r="F99" s="42">
        <f t="shared" ca="1" si="16"/>
        <v>1351.272806839246</v>
      </c>
      <c r="G99" s="41">
        <f t="shared" ca="1" si="17"/>
        <v>0</v>
      </c>
      <c r="H99" s="41">
        <f t="shared" ca="1" si="18"/>
        <v>16.272806839245959</v>
      </c>
    </row>
    <row r="100" spans="1:8" x14ac:dyDescent="0.15">
      <c r="A100" s="9">
        <v>90</v>
      </c>
      <c r="B100" s="40">
        <f t="shared" si="14"/>
        <v>15</v>
      </c>
      <c r="C100" s="41">
        <f t="shared" si="19"/>
        <v>1350</v>
      </c>
      <c r="D100" s="41">
        <f t="shared" ca="1" si="20"/>
        <v>1351.272806839246</v>
      </c>
      <c r="E100" s="41">
        <f t="shared" ca="1" si="15"/>
        <v>7.6831981331134269</v>
      </c>
      <c r="F100" s="42">
        <f t="shared" ca="1" si="16"/>
        <v>1358.9560049723593</v>
      </c>
      <c r="G100" s="41">
        <f t="shared" ca="1" si="17"/>
        <v>1.2728068392459591</v>
      </c>
      <c r="H100" s="41">
        <f t="shared" ca="1" si="18"/>
        <v>8.9560049723593238</v>
      </c>
    </row>
    <row r="101" spans="1:8" x14ac:dyDescent="0.15">
      <c r="A101" s="9">
        <v>91</v>
      </c>
      <c r="B101" s="40">
        <f t="shared" si="14"/>
        <v>15</v>
      </c>
      <c r="C101" s="41">
        <f t="shared" si="19"/>
        <v>1365</v>
      </c>
      <c r="D101" s="41">
        <f t="shared" ca="1" si="20"/>
        <v>1365</v>
      </c>
      <c r="E101" s="41">
        <f t="shared" ca="1" si="15"/>
        <v>0.16847371184418161</v>
      </c>
      <c r="F101" s="42">
        <f t="shared" ca="1" si="16"/>
        <v>1365.1684737118442</v>
      </c>
      <c r="G101" s="41">
        <f t="shared" ca="1" si="17"/>
        <v>0</v>
      </c>
      <c r="H101" s="41">
        <f t="shared" ca="1" si="18"/>
        <v>0.1684737118441717</v>
      </c>
    </row>
    <row r="102" spans="1:8" x14ac:dyDescent="0.15">
      <c r="A102" s="9">
        <v>92</v>
      </c>
      <c r="B102" s="40">
        <f t="shared" si="14"/>
        <v>15</v>
      </c>
      <c r="C102" s="41">
        <f t="shared" si="19"/>
        <v>1380</v>
      </c>
      <c r="D102" s="41">
        <f t="shared" ca="1" si="20"/>
        <v>1380</v>
      </c>
      <c r="E102" s="41">
        <f t="shared" ca="1" si="15"/>
        <v>4.1671182163613629</v>
      </c>
      <c r="F102" s="42">
        <f t="shared" ca="1" si="16"/>
        <v>1384.1671182163614</v>
      </c>
      <c r="G102" s="41">
        <f t="shared" ca="1" si="17"/>
        <v>0</v>
      </c>
      <c r="H102" s="41">
        <f t="shared" ca="1" si="18"/>
        <v>4.1671182163613594</v>
      </c>
    </row>
    <row r="103" spans="1:8" x14ac:dyDescent="0.15">
      <c r="A103" s="9">
        <v>93</v>
      </c>
      <c r="B103" s="40">
        <f t="shared" si="14"/>
        <v>15</v>
      </c>
      <c r="C103" s="41">
        <f t="shared" si="19"/>
        <v>1395</v>
      </c>
      <c r="D103" s="41">
        <f t="shared" ca="1" si="20"/>
        <v>1395</v>
      </c>
      <c r="E103" s="41">
        <f t="shared" ca="1" si="15"/>
        <v>8.8435248427036619</v>
      </c>
      <c r="F103" s="42">
        <f t="shared" ca="1" si="16"/>
        <v>1403.8435248427036</v>
      </c>
      <c r="G103" s="41">
        <f t="shared" ca="1" si="17"/>
        <v>0</v>
      </c>
      <c r="H103" s="41">
        <f t="shared" ca="1" si="18"/>
        <v>8.8435248427035731</v>
      </c>
    </row>
    <row r="104" spans="1:8" x14ac:dyDescent="0.15">
      <c r="A104" s="9">
        <v>94</v>
      </c>
      <c r="B104" s="40">
        <f t="shared" si="14"/>
        <v>15</v>
      </c>
      <c r="C104" s="41">
        <f t="shared" si="19"/>
        <v>1410</v>
      </c>
      <c r="D104" s="41">
        <f t="shared" ca="1" si="20"/>
        <v>1410</v>
      </c>
      <c r="E104" s="41">
        <f t="shared" ca="1" si="15"/>
        <v>13.186866565655857</v>
      </c>
      <c r="F104" s="42">
        <f t="shared" ca="1" si="16"/>
        <v>1423.1868665656559</v>
      </c>
      <c r="G104" s="41">
        <f t="shared" ca="1" si="17"/>
        <v>0</v>
      </c>
      <c r="H104" s="41">
        <f t="shared" ca="1" si="18"/>
        <v>13.186866565655919</v>
      </c>
    </row>
    <row r="105" spans="1:8" x14ac:dyDescent="0.15">
      <c r="A105" s="9">
        <v>95</v>
      </c>
      <c r="B105" s="40">
        <f t="shared" si="14"/>
        <v>15</v>
      </c>
      <c r="C105" s="41">
        <f t="shared" si="19"/>
        <v>1425</v>
      </c>
      <c r="D105" s="41">
        <f t="shared" ca="1" si="20"/>
        <v>1425</v>
      </c>
      <c r="E105" s="41">
        <f t="shared" ca="1" si="15"/>
        <v>1.3637109097542834</v>
      </c>
      <c r="F105" s="42">
        <f t="shared" ca="1" si="16"/>
        <v>1426.3637109097542</v>
      </c>
      <c r="G105" s="41">
        <f t="shared" ca="1" si="17"/>
        <v>0</v>
      </c>
      <c r="H105" s="41">
        <f t="shared" ca="1" si="18"/>
        <v>1.3637109097542179</v>
      </c>
    </row>
    <row r="106" spans="1:8" x14ac:dyDescent="0.15">
      <c r="A106" s="9">
        <v>96</v>
      </c>
      <c r="B106" s="40">
        <f t="shared" si="14"/>
        <v>15</v>
      </c>
      <c r="C106" s="41">
        <f t="shared" si="19"/>
        <v>1440</v>
      </c>
      <c r="D106" s="41">
        <f t="shared" ca="1" si="20"/>
        <v>1440</v>
      </c>
      <c r="E106" s="41">
        <f t="shared" ca="1" si="15"/>
        <v>2.976593143242912</v>
      </c>
      <c r="F106" s="42">
        <f t="shared" ca="1" si="16"/>
        <v>1442.976593143243</v>
      </c>
      <c r="G106" s="41">
        <f t="shared" ca="1" si="17"/>
        <v>0</v>
      </c>
      <c r="H106" s="41">
        <f t="shared" ca="1" si="18"/>
        <v>2.9765931432430079</v>
      </c>
    </row>
    <row r="107" spans="1:8" x14ac:dyDescent="0.15">
      <c r="A107" s="9">
        <v>97</v>
      </c>
      <c r="B107" s="40">
        <f t="shared" si="14"/>
        <v>15</v>
      </c>
      <c r="C107" s="41">
        <f t="shared" si="19"/>
        <v>1455</v>
      </c>
      <c r="D107" s="41">
        <f t="shared" ca="1" si="20"/>
        <v>1455</v>
      </c>
      <c r="E107" s="41">
        <f t="shared" ca="1" si="15"/>
        <v>6.4195602397533307</v>
      </c>
      <c r="F107" s="42">
        <f ca="1">D107+E107</f>
        <v>1461.4195602397533</v>
      </c>
      <c r="G107" s="41">
        <f t="shared" ca="1" si="17"/>
        <v>0</v>
      </c>
      <c r="H107" s="41">
        <f t="shared" ca="1" si="18"/>
        <v>6.4195602397533094</v>
      </c>
    </row>
    <row r="108" spans="1:8" x14ac:dyDescent="0.15">
      <c r="A108" s="9">
        <v>98</v>
      </c>
      <c r="B108" s="40">
        <f t="shared" si="14"/>
        <v>15</v>
      </c>
      <c r="C108" s="41">
        <f>C107+B108</f>
        <v>1470</v>
      </c>
      <c r="D108" s="41">
        <f ca="1">MAX(F107,C108)</f>
        <v>1470</v>
      </c>
      <c r="E108" s="41">
        <f t="shared" ca="1" si="15"/>
        <v>10.699615415029932</v>
      </c>
      <c r="F108" s="42">
        <f ca="1">D108+E108</f>
        <v>1480.6996154150299</v>
      </c>
      <c r="G108" s="41">
        <f t="shared" ca="1" si="17"/>
        <v>0</v>
      </c>
      <c r="H108" s="41">
        <f t="shared" ca="1" si="18"/>
        <v>10.699615415029939</v>
      </c>
    </row>
    <row r="109" spans="1:8" x14ac:dyDescent="0.15">
      <c r="A109" s="9">
        <v>99</v>
      </c>
      <c r="B109" s="40">
        <f t="shared" si="14"/>
        <v>15</v>
      </c>
      <c r="C109" s="41">
        <f>C108+B109</f>
        <v>1485</v>
      </c>
      <c r="D109" s="41">
        <f ca="1">MAX(F108,C109)</f>
        <v>1485</v>
      </c>
      <c r="E109" s="41">
        <f t="shared" ca="1" si="15"/>
        <v>18.570248931789614</v>
      </c>
      <c r="F109" s="42">
        <f ca="1">D109+E109</f>
        <v>1503.5702489317896</v>
      </c>
      <c r="G109" s="41">
        <f t="shared" ca="1" si="17"/>
        <v>0</v>
      </c>
      <c r="H109" s="41">
        <f t="shared" ca="1" si="18"/>
        <v>18.570248931789592</v>
      </c>
    </row>
    <row r="110" spans="1:8" x14ac:dyDescent="0.15">
      <c r="A110" s="9">
        <v>100</v>
      </c>
      <c r="B110" s="40">
        <f t="shared" si="14"/>
        <v>15</v>
      </c>
      <c r="C110" s="41">
        <f>C109+B110</f>
        <v>1500</v>
      </c>
      <c r="D110" s="41">
        <f ca="1">MAX(F109,C110)</f>
        <v>1503.5702489317896</v>
      </c>
      <c r="E110" s="41">
        <f t="shared" ca="1" si="15"/>
        <v>0.41043943521553022</v>
      </c>
      <c r="F110" s="42">
        <f ca="1">D110+E110</f>
        <v>1503.9806883670051</v>
      </c>
      <c r="G110" s="41">
        <f t="shared" ca="1" si="17"/>
        <v>3.5702489317895925</v>
      </c>
      <c r="H110" s="41">
        <f t="shared" ca="1" si="18"/>
        <v>3.9806883670050865</v>
      </c>
    </row>
    <row r="111" spans="1:8" x14ac:dyDescent="0.15">
      <c r="B111" s="29"/>
      <c r="C111" s="29"/>
      <c r="D111" s="29"/>
      <c r="E111" s="29"/>
      <c r="F111" s="29"/>
      <c r="G111" s="29"/>
      <c r="H111" s="29"/>
    </row>
    <row r="112" spans="1:8" x14ac:dyDescent="0.15">
      <c r="B112" s="29"/>
      <c r="C112" s="29"/>
      <c r="D112" s="29"/>
      <c r="E112" s="29"/>
      <c r="F112" s="29"/>
      <c r="G112" s="29"/>
      <c r="H112" s="29"/>
    </row>
    <row r="113" spans="2:8" x14ac:dyDescent="0.15">
      <c r="B113" s="29"/>
      <c r="C113" s="29"/>
      <c r="D113" s="29"/>
      <c r="E113" s="29"/>
      <c r="F113" s="29"/>
      <c r="G113" s="29"/>
      <c r="H113" s="29"/>
    </row>
    <row r="114" spans="2:8" x14ac:dyDescent="0.15">
      <c r="B114" s="29"/>
      <c r="C114" s="29"/>
      <c r="D114" s="29"/>
      <c r="E114" s="29"/>
      <c r="F114" s="29"/>
      <c r="G114" s="29"/>
      <c r="H114" s="29"/>
    </row>
    <row r="115" spans="2:8" x14ac:dyDescent="0.15">
      <c r="B115" s="29"/>
      <c r="C115" s="29"/>
      <c r="D115" s="29"/>
      <c r="E115" s="29"/>
      <c r="F115" s="29"/>
      <c r="G115" s="29"/>
      <c r="H115" s="29"/>
    </row>
    <row r="116" spans="2:8" x14ac:dyDescent="0.15">
      <c r="B116" s="29"/>
      <c r="C116" s="29"/>
      <c r="D116" s="29"/>
      <c r="E116" s="29"/>
      <c r="F116" s="29"/>
      <c r="G116" s="29"/>
      <c r="H116" s="29"/>
    </row>
    <row r="117" spans="2:8" x14ac:dyDescent="0.15">
      <c r="B117" s="29"/>
      <c r="C117" s="29"/>
      <c r="D117" s="29"/>
      <c r="E117" s="29"/>
      <c r="F117" s="29"/>
      <c r="G117" s="29"/>
      <c r="H117" s="29"/>
    </row>
    <row r="118" spans="2:8" x14ac:dyDescent="0.15">
      <c r="B118" s="29"/>
      <c r="C118" s="29"/>
      <c r="D118" s="29"/>
      <c r="E118" s="29"/>
      <c r="F118" s="29"/>
      <c r="G118" s="29"/>
      <c r="H118" s="29"/>
    </row>
    <row r="119" spans="2:8" x14ac:dyDescent="0.15">
      <c r="B119" s="29"/>
      <c r="C119" s="29"/>
      <c r="D119" s="29"/>
      <c r="E119" s="29"/>
      <c r="F119" s="29"/>
      <c r="G119" s="29"/>
      <c r="H119" s="29"/>
    </row>
    <row r="120" spans="2:8" x14ac:dyDescent="0.15">
      <c r="B120" s="29"/>
      <c r="C120" s="29"/>
      <c r="D120" s="29"/>
      <c r="E120" s="29"/>
      <c r="F120" s="29"/>
      <c r="G120" s="29"/>
      <c r="H120" s="29"/>
    </row>
    <row r="121" spans="2:8" x14ac:dyDescent="0.15">
      <c r="B121" s="29"/>
      <c r="C121" s="29"/>
      <c r="D121" s="29"/>
      <c r="E121" s="29"/>
      <c r="F121" s="29"/>
      <c r="G121" s="29"/>
      <c r="H121" s="29"/>
    </row>
    <row r="122" spans="2:8" x14ac:dyDescent="0.15">
      <c r="B122" s="29"/>
      <c r="C122" s="29"/>
      <c r="D122" s="29"/>
      <c r="E122" s="29"/>
      <c r="F122" s="29"/>
      <c r="G122" s="29"/>
      <c r="H122" s="29"/>
    </row>
    <row r="123" spans="2:8" x14ac:dyDescent="0.15">
      <c r="B123" s="29"/>
      <c r="C123" s="29"/>
      <c r="D123" s="29"/>
      <c r="E123" s="29"/>
      <c r="F123" s="29"/>
      <c r="G123" s="29"/>
      <c r="H123" s="29"/>
    </row>
    <row r="124" spans="2:8" x14ac:dyDescent="0.15">
      <c r="B124" s="29"/>
      <c r="C124" s="29"/>
      <c r="D124" s="29"/>
      <c r="E124" s="29"/>
      <c r="F124" s="29"/>
      <c r="G124" s="29"/>
      <c r="H124" s="29"/>
    </row>
    <row r="125" spans="2:8" x14ac:dyDescent="0.15">
      <c r="B125" s="29"/>
      <c r="C125" s="29"/>
      <c r="D125" s="29"/>
      <c r="E125" s="29"/>
      <c r="F125" s="29"/>
      <c r="G125" s="29"/>
      <c r="H125" s="29"/>
    </row>
    <row r="126" spans="2:8" x14ac:dyDescent="0.15">
      <c r="B126" s="29"/>
      <c r="C126" s="29"/>
      <c r="D126" s="29"/>
      <c r="E126" s="29"/>
      <c r="F126" s="29"/>
      <c r="G126" s="29"/>
      <c r="H126" s="29"/>
    </row>
    <row r="127" spans="2:8" x14ac:dyDescent="0.15">
      <c r="B127" s="29"/>
      <c r="C127" s="29"/>
      <c r="D127" s="29"/>
      <c r="E127" s="29"/>
      <c r="F127" s="29"/>
      <c r="G127" s="29"/>
      <c r="H127" s="29"/>
    </row>
    <row r="128" spans="2:8" x14ac:dyDescent="0.15">
      <c r="B128" s="29"/>
      <c r="C128" s="29"/>
      <c r="D128" s="29"/>
      <c r="E128" s="29"/>
      <c r="F128" s="29"/>
      <c r="G128" s="29"/>
      <c r="H128" s="29"/>
    </row>
    <row r="129" spans="2:8" x14ac:dyDescent="0.15">
      <c r="B129" s="29"/>
      <c r="C129" s="29"/>
      <c r="D129" s="29"/>
      <c r="E129" s="29"/>
      <c r="F129" s="29"/>
      <c r="G129" s="29"/>
      <c r="H129" s="29"/>
    </row>
    <row r="130" spans="2:8" x14ac:dyDescent="0.15">
      <c r="B130" s="29"/>
      <c r="C130" s="29"/>
      <c r="D130" s="29"/>
      <c r="E130" s="29"/>
      <c r="F130" s="29"/>
      <c r="G130" s="29"/>
      <c r="H130" s="29"/>
    </row>
    <row r="131" spans="2:8" x14ac:dyDescent="0.15">
      <c r="B131" s="29"/>
      <c r="C131" s="29"/>
      <c r="D131" s="29"/>
      <c r="E131" s="29"/>
      <c r="F131" s="29"/>
      <c r="G131" s="29"/>
      <c r="H131" s="29"/>
    </row>
    <row r="132" spans="2:8" x14ac:dyDescent="0.15">
      <c r="B132" s="29"/>
      <c r="C132" s="29"/>
      <c r="D132" s="29"/>
      <c r="E132" s="29"/>
      <c r="F132" s="29"/>
      <c r="G132" s="29"/>
      <c r="H132" s="29"/>
    </row>
    <row r="133" spans="2:8" x14ac:dyDescent="0.15">
      <c r="B133" s="29"/>
      <c r="C133" s="29"/>
      <c r="D133" s="29"/>
      <c r="E133" s="29"/>
      <c r="F133" s="29"/>
      <c r="G133" s="29"/>
      <c r="H133" s="29"/>
    </row>
    <row r="134" spans="2:8" x14ac:dyDescent="0.15">
      <c r="B134" s="29"/>
      <c r="C134" s="29"/>
      <c r="D134" s="29"/>
      <c r="E134" s="29"/>
      <c r="F134" s="29"/>
      <c r="G134" s="29"/>
      <c r="H134" s="29"/>
    </row>
    <row r="135" spans="2:8" x14ac:dyDescent="0.15">
      <c r="B135" s="29"/>
      <c r="C135" s="29"/>
      <c r="D135" s="29"/>
      <c r="E135" s="29"/>
      <c r="F135" s="29"/>
      <c r="G135" s="29"/>
      <c r="H135" s="29"/>
    </row>
    <row r="136" spans="2:8" x14ac:dyDescent="0.15">
      <c r="B136" s="29"/>
      <c r="C136" s="29"/>
      <c r="D136" s="29"/>
      <c r="E136" s="29"/>
      <c r="F136" s="29"/>
      <c r="G136" s="29"/>
      <c r="H136" s="29"/>
    </row>
    <row r="137" spans="2:8" x14ac:dyDescent="0.15">
      <c r="B137" s="29"/>
      <c r="C137" s="29"/>
      <c r="D137" s="29"/>
      <c r="E137" s="29"/>
      <c r="F137" s="29"/>
      <c r="G137" s="29"/>
      <c r="H137" s="29"/>
    </row>
    <row r="138" spans="2:8" x14ac:dyDescent="0.15">
      <c r="B138" s="29"/>
      <c r="C138" s="29"/>
      <c r="D138" s="29"/>
      <c r="E138" s="29"/>
      <c r="F138" s="29"/>
      <c r="G138" s="29"/>
      <c r="H138" s="29"/>
    </row>
    <row r="139" spans="2:8" x14ac:dyDescent="0.15">
      <c r="B139" s="29"/>
      <c r="C139" s="29"/>
      <c r="D139" s="29"/>
      <c r="E139" s="29"/>
      <c r="F139" s="29"/>
      <c r="G139" s="29"/>
      <c r="H139" s="29"/>
    </row>
    <row r="140" spans="2:8" x14ac:dyDescent="0.15">
      <c r="B140" s="29"/>
      <c r="C140" s="29"/>
      <c r="D140" s="29"/>
      <c r="E140" s="29"/>
      <c r="F140" s="29"/>
      <c r="G140" s="29"/>
      <c r="H140" s="29"/>
    </row>
    <row r="141" spans="2:8" x14ac:dyDescent="0.15">
      <c r="B141" s="29"/>
      <c r="C141" s="29"/>
      <c r="D141" s="29"/>
      <c r="E141" s="29"/>
      <c r="F141" s="29"/>
      <c r="G141" s="29"/>
      <c r="H141" s="29"/>
    </row>
    <row r="142" spans="2:8" x14ac:dyDescent="0.15">
      <c r="B142" s="29"/>
      <c r="C142" s="29"/>
      <c r="D142" s="29"/>
      <c r="E142" s="29"/>
      <c r="F142" s="29"/>
      <c r="G142" s="29"/>
      <c r="H142" s="29"/>
    </row>
    <row r="143" spans="2:8" x14ac:dyDescent="0.15">
      <c r="B143" s="29"/>
      <c r="C143" s="29"/>
      <c r="D143" s="29"/>
      <c r="E143" s="29"/>
      <c r="F143" s="29"/>
      <c r="G143" s="29"/>
      <c r="H143" s="29"/>
    </row>
    <row r="144" spans="2:8" x14ac:dyDescent="0.15">
      <c r="B144" s="29"/>
      <c r="C144" s="29"/>
      <c r="D144" s="29"/>
      <c r="E144" s="29"/>
      <c r="F144" s="29"/>
      <c r="G144" s="29"/>
      <c r="H144" s="29"/>
    </row>
    <row r="145" spans="2:8" x14ac:dyDescent="0.15">
      <c r="B145" s="29"/>
      <c r="C145" s="29"/>
      <c r="D145" s="29"/>
      <c r="E145" s="29"/>
      <c r="F145" s="29"/>
      <c r="G145" s="29"/>
      <c r="H145" s="29"/>
    </row>
    <row r="146" spans="2:8" x14ac:dyDescent="0.15">
      <c r="B146" s="29"/>
      <c r="C146" s="29"/>
      <c r="D146" s="29"/>
      <c r="E146" s="29"/>
      <c r="F146" s="29"/>
      <c r="G146" s="29"/>
      <c r="H146" s="29"/>
    </row>
    <row r="147" spans="2:8" x14ac:dyDescent="0.15">
      <c r="B147" s="29"/>
      <c r="C147" s="29"/>
      <c r="D147" s="29"/>
      <c r="E147" s="29"/>
      <c r="F147" s="29"/>
      <c r="G147" s="29"/>
      <c r="H147" s="29"/>
    </row>
    <row r="148" spans="2:8" x14ac:dyDescent="0.15">
      <c r="B148" s="29"/>
      <c r="C148" s="29"/>
      <c r="D148" s="29"/>
      <c r="E148" s="29"/>
      <c r="F148" s="29"/>
      <c r="G148" s="29"/>
      <c r="H148" s="29"/>
    </row>
    <row r="149" spans="2:8" x14ac:dyDescent="0.15">
      <c r="B149" s="29"/>
      <c r="C149" s="29"/>
      <c r="D149" s="29"/>
      <c r="E149" s="29"/>
      <c r="F149" s="29"/>
      <c r="G149" s="29"/>
      <c r="H149" s="29"/>
    </row>
    <row r="150" spans="2:8" x14ac:dyDescent="0.15">
      <c r="B150" s="29"/>
      <c r="C150" s="29"/>
      <c r="D150" s="29"/>
      <c r="E150" s="29"/>
      <c r="F150" s="29"/>
      <c r="G150" s="29"/>
      <c r="H150" s="29"/>
    </row>
    <row r="151" spans="2:8" x14ac:dyDescent="0.15">
      <c r="B151" s="29"/>
      <c r="C151" s="29"/>
      <c r="D151" s="29"/>
      <c r="E151" s="29"/>
      <c r="F151" s="29"/>
      <c r="G151" s="29"/>
      <c r="H151" s="29"/>
    </row>
    <row r="152" spans="2:8" x14ac:dyDescent="0.15">
      <c r="B152" s="29"/>
      <c r="C152" s="29"/>
      <c r="D152" s="29"/>
      <c r="E152" s="29"/>
      <c r="F152" s="29"/>
      <c r="G152" s="29"/>
      <c r="H152" s="29"/>
    </row>
    <row r="153" spans="2:8" x14ac:dyDescent="0.15">
      <c r="B153" s="29"/>
      <c r="C153" s="29"/>
      <c r="D153" s="29"/>
      <c r="E153" s="29"/>
      <c r="F153" s="29"/>
      <c r="G153" s="29"/>
      <c r="H153" s="29"/>
    </row>
    <row r="154" spans="2:8" x14ac:dyDescent="0.15">
      <c r="B154" s="29"/>
      <c r="C154" s="29"/>
      <c r="D154" s="29"/>
      <c r="E154" s="29"/>
      <c r="F154" s="29"/>
      <c r="G154" s="29"/>
      <c r="H154" s="29"/>
    </row>
    <row r="155" spans="2:8" x14ac:dyDescent="0.15">
      <c r="B155" s="29"/>
      <c r="C155" s="29"/>
      <c r="D155" s="29"/>
      <c r="E155" s="29"/>
      <c r="F155" s="29"/>
      <c r="G155" s="29"/>
      <c r="H155" s="29"/>
    </row>
    <row r="156" spans="2:8" x14ac:dyDescent="0.15">
      <c r="B156" s="29"/>
      <c r="C156" s="29"/>
      <c r="D156" s="29"/>
      <c r="E156" s="29"/>
      <c r="F156" s="29"/>
      <c r="G156" s="29"/>
      <c r="H156" s="29"/>
    </row>
    <row r="157" spans="2:8" x14ac:dyDescent="0.15">
      <c r="B157" s="29"/>
      <c r="C157" s="29"/>
      <c r="D157" s="29"/>
      <c r="E157" s="29"/>
      <c r="F157" s="29"/>
      <c r="G157" s="29"/>
      <c r="H157" s="29"/>
    </row>
    <row r="158" spans="2:8" x14ac:dyDescent="0.15">
      <c r="B158" s="29"/>
      <c r="C158" s="29"/>
      <c r="D158" s="29"/>
      <c r="E158" s="29"/>
      <c r="F158" s="29"/>
      <c r="G158" s="29"/>
      <c r="H158" s="29"/>
    </row>
    <row r="159" spans="2:8" x14ac:dyDescent="0.15">
      <c r="B159" s="29"/>
      <c r="C159" s="29"/>
      <c r="D159" s="29"/>
      <c r="E159" s="29"/>
      <c r="F159" s="29"/>
      <c r="G159" s="29"/>
      <c r="H159" s="29"/>
    </row>
    <row r="160" spans="2:8" x14ac:dyDescent="0.15">
      <c r="B160" s="29"/>
      <c r="C160" s="29"/>
      <c r="D160" s="29"/>
      <c r="E160" s="29"/>
      <c r="F160" s="29"/>
      <c r="G160" s="29"/>
      <c r="H160" s="29"/>
    </row>
    <row r="161" spans="2:8" x14ac:dyDescent="0.15">
      <c r="B161" s="29"/>
      <c r="C161" s="29"/>
      <c r="D161" s="29"/>
      <c r="E161" s="29"/>
      <c r="F161" s="29"/>
      <c r="G161" s="29"/>
      <c r="H161" s="29"/>
    </row>
    <row r="162" spans="2:8" x14ac:dyDescent="0.15">
      <c r="B162" s="29"/>
      <c r="C162" s="29"/>
      <c r="D162" s="29"/>
      <c r="E162" s="29"/>
      <c r="F162" s="29"/>
      <c r="G162" s="29"/>
      <c r="H162" s="29"/>
    </row>
    <row r="163" spans="2:8" x14ac:dyDescent="0.15">
      <c r="B163" s="29"/>
      <c r="C163" s="29"/>
      <c r="D163" s="29"/>
      <c r="E163" s="29"/>
      <c r="F163" s="29"/>
      <c r="G163" s="29"/>
      <c r="H163" s="29"/>
    </row>
    <row r="164" spans="2:8" x14ac:dyDescent="0.15">
      <c r="B164" s="29"/>
      <c r="C164" s="29"/>
      <c r="D164" s="29"/>
      <c r="E164" s="29"/>
      <c r="F164" s="29"/>
      <c r="G164" s="29"/>
      <c r="H164" s="29"/>
    </row>
    <row r="165" spans="2:8" x14ac:dyDescent="0.15">
      <c r="B165" s="29"/>
      <c r="C165" s="29"/>
      <c r="D165" s="29"/>
      <c r="E165" s="29"/>
      <c r="F165" s="29"/>
      <c r="G165" s="29"/>
      <c r="H165" s="29"/>
    </row>
    <row r="166" spans="2:8" x14ac:dyDescent="0.15">
      <c r="B166" s="29"/>
      <c r="C166" s="29"/>
      <c r="D166" s="29"/>
      <c r="E166" s="29"/>
      <c r="F166" s="29"/>
      <c r="G166" s="29"/>
      <c r="H166" s="29"/>
    </row>
    <row r="167" spans="2:8" x14ac:dyDescent="0.15">
      <c r="B167" s="29"/>
      <c r="C167" s="29"/>
      <c r="D167" s="29"/>
      <c r="E167" s="29"/>
      <c r="F167" s="29"/>
      <c r="G167" s="29"/>
      <c r="H167" s="29"/>
    </row>
    <row r="168" spans="2:8" x14ac:dyDescent="0.15">
      <c r="B168" s="29"/>
      <c r="C168" s="29"/>
      <c r="D168" s="29"/>
      <c r="E168" s="29"/>
      <c r="F168" s="29"/>
      <c r="G168" s="29"/>
      <c r="H168" s="29"/>
    </row>
    <row r="169" spans="2:8" x14ac:dyDescent="0.15">
      <c r="B169" s="29"/>
      <c r="C169" s="29"/>
      <c r="D169" s="29"/>
      <c r="E169" s="29"/>
      <c r="F169" s="29"/>
      <c r="G169" s="29"/>
      <c r="H169" s="29"/>
    </row>
    <row r="170" spans="2:8" x14ac:dyDescent="0.15">
      <c r="B170" s="29"/>
      <c r="C170" s="29"/>
      <c r="D170" s="29"/>
      <c r="E170" s="29"/>
      <c r="F170" s="29"/>
      <c r="G170" s="29"/>
      <c r="H170" s="29"/>
    </row>
    <row r="171" spans="2:8" x14ac:dyDescent="0.15">
      <c r="B171" s="29"/>
      <c r="C171" s="29"/>
      <c r="D171" s="29"/>
      <c r="E171" s="29"/>
      <c r="F171" s="29"/>
      <c r="G171" s="29"/>
      <c r="H171" s="29"/>
    </row>
    <row r="172" spans="2:8" x14ac:dyDescent="0.15">
      <c r="B172" s="29"/>
      <c r="C172" s="29"/>
      <c r="D172" s="29"/>
      <c r="E172" s="29"/>
      <c r="F172" s="29"/>
      <c r="G172" s="29"/>
      <c r="H172" s="29"/>
    </row>
    <row r="173" spans="2:8" x14ac:dyDescent="0.15">
      <c r="B173" s="29"/>
      <c r="C173" s="29"/>
      <c r="D173" s="29"/>
      <c r="E173" s="29"/>
      <c r="F173" s="29"/>
      <c r="G173" s="29"/>
      <c r="H173" s="29"/>
    </row>
    <row r="174" spans="2:8" x14ac:dyDescent="0.15">
      <c r="B174" s="29"/>
      <c r="C174" s="29"/>
      <c r="D174" s="29"/>
      <c r="E174" s="29"/>
      <c r="F174" s="29"/>
      <c r="G174" s="29"/>
      <c r="H174" s="29"/>
    </row>
    <row r="175" spans="2:8" x14ac:dyDescent="0.15">
      <c r="B175" s="29"/>
      <c r="C175" s="29"/>
      <c r="D175" s="29"/>
      <c r="E175" s="29"/>
      <c r="F175" s="29"/>
      <c r="G175" s="29"/>
      <c r="H175" s="29"/>
    </row>
    <row r="176" spans="2:8" x14ac:dyDescent="0.15">
      <c r="B176" s="29"/>
      <c r="C176" s="29"/>
      <c r="D176" s="29"/>
      <c r="E176" s="29"/>
      <c r="F176" s="29"/>
      <c r="G176" s="29"/>
      <c r="H176" s="29"/>
    </row>
    <row r="177" spans="2:8" x14ac:dyDescent="0.15">
      <c r="B177" s="29"/>
      <c r="C177" s="29"/>
      <c r="D177" s="29"/>
      <c r="E177" s="29"/>
      <c r="F177" s="29"/>
      <c r="G177" s="29"/>
      <c r="H177" s="29"/>
    </row>
    <row r="178" spans="2:8" x14ac:dyDescent="0.15">
      <c r="B178" s="29"/>
      <c r="C178" s="29"/>
      <c r="D178" s="29"/>
      <c r="E178" s="29"/>
      <c r="F178" s="29"/>
      <c r="G178" s="29"/>
      <c r="H178" s="29"/>
    </row>
    <row r="179" spans="2:8" x14ac:dyDescent="0.15">
      <c r="B179" s="29"/>
      <c r="C179" s="29"/>
      <c r="D179" s="29"/>
      <c r="E179" s="29"/>
      <c r="F179" s="29"/>
      <c r="G179" s="29"/>
      <c r="H179" s="29"/>
    </row>
    <row r="180" spans="2:8" x14ac:dyDescent="0.15">
      <c r="B180" s="29"/>
      <c r="C180" s="29"/>
      <c r="D180" s="29"/>
      <c r="E180" s="29"/>
      <c r="F180" s="29"/>
      <c r="G180" s="29"/>
      <c r="H180" s="29"/>
    </row>
    <row r="181" spans="2:8" x14ac:dyDescent="0.15">
      <c r="B181" s="29"/>
      <c r="C181" s="29"/>
      <c r="D181" s="29"/>
      <c r="E181" s="29"/>
      <c r="F181" s="29"/>
      <c r="G181" s="29"/>
      <c r="H181" s="29"/>
    </row>
    <row r="182" spans="2:8" x14ac:dyDescent="0.15">
      <c r="B182" s="29"/>
      <c r="C182" s="29"/>
      <c r="D182" s="29"/>
      <c r="E182" s="29"/>
      <c r="F182" s="29"/>
      <c r="G182" s="29"/>
      <c r="H182" s="29"/>
    </row>
    <row r="183" spans="2:8" x14ac:dyDescent="0.15">
      <c r="B183" s="29"/>
      <c r="C183" s="29"/>
      <c r="D183" s="29"/>
      <c r="E183" s="29"/>
      <c r="F183" s="29"/>
      <c r="G183" s="29"/>
      <c r="H183" s="29"/>
    </row>
    <row r="184" spans="2:8" x14ac:dyDescent="0.15">
      <c r="B184" s="29"/>
      <c r="C184" s="29"/>
      <c r="D184" s="29"/>
      <c r="E184" s="29"/>
      <c r="F184" s="29"/>
      <c r="G184" s="29"/>
      <c r="H184" s="29"/>
    </row>
    <row r="185" spans="2:8" x14ac:dyDescent="0.15">
      <c r="B185" s="29"/>
      <c r="C185" s="29"/>
      <c r="D185" s="29"/>
      <c r="E185" s="29"/>
      <c r="F185" s="29"/>
      <c r="G185" s="29"/>
      <c r="H185" s="29"/>
    </row>
    <row r="186" spans="2:8" x14ac:dyDescent="0.15">
      <c r="B186" s="29"/>
      <c r="C186" s="29"/>
      <c r="D186" s="29"/>
      <c r="E186" s="29"/>
      <c r="F186" s="29"/>
      <c r="G186" s="29"/>
      <c r="H186" s="29"/>
    </row>
    <row r="187" spans="2:8" x14ac:dyDescent="0.15">
      <c r="B187" s="29"/>
      <c r="C187" s="29"/>
      <c r="D187" s="29"/>
      <c r="E187" s="29"/>
      <c r="F187" s="29"/>
      <c r="G187" s="29"/>
      <c r="H187" s="29"/>
    </row>
    <row r="188" spans="2:8" x14ac:dyDescent="0.15">
      <c r="B188" s="29"/>
      <c r="C188" s="29"/>
      <c r="D188" s="29"/>
      <c r="E188" s="29"/>
      <c r="F188" s="29"/>
      <c r="G188" s="29"/>
      <c r="H188" s="29"/>
    </row>
    <row r="189" spans="2:8" x14ac:dyDescent="0.15">
      <c r="B189" s="29"/>
      <c r="C189" s="29"/>
      <c r="D189" s="29"/>
      <c r="E189" s="29"/>
      <c r="F189" s="29"/>
      <c r="G189" s="29"/>
      <c r="H189" s="29"/>
    </row>
    <row r="190" spans="2:8" x14ac:dyDescent="0.15">
      <c r="B190" s="29"/>
      <c r="C190" s="29"/>
      <c r="D190" s="29"/>
      <c r="E190" s="29"/>
      <c r="F190" s="29"/>
      <c r="G190" s="29"/>
      <c r="H190" s="29"/>
    </row>
    <row r="191" spans="2:8" x14ac:dyDescent="0.15">
      <c r="B191" s="29"/>
      <c r="C191" s="29"/>
      <c r="D191" s="29"/>
      <c r="E191" s="29"/>
      <c r="F191" s="29"/>
      <c r="G191" s="29"/>
      <c r="H191" s="29"/>
    </row>
    <row r="192" spans="2:8" x14ac:dyDescent="0.15">
      <c r="B192" s="29"/>
      <c r="C192" s="29"/>
      <c r="D192" s="29"/>
      <c r="E192" s="29"/>
      <c r="F192" s="29"/>
      <c r="G192" s="29"/>
      <c r="H192" s="29"/>
    </row>
    <row r="193" spans="2:8" x14ac:dyDescent="0.15">
      <c r="B193" s="29"/>
      <c r="C193" s="29"/>
      <c r="D193" s="29"/>
      <c r="E193" s="29"/>
      <c r="F193" s="29"/>
      <c r="G193" s="29"/>
      <c r="H193" s="29"/>
    </row>
    <row r="194" spans="2:8" x14ac:dyDescent="0.15">
      <c r="B194" s="29"/>
      <c r="C194" s="29"/>
      <c r="D194" s="29"/>
      <c r="E194" s="29"/>
      <c r="F194" s="29"/>
      <c r="G194" s="29"/>
      <c r="H194" s="29"/>
    </row>
    <row r="195" spans="2:8" x14ac:dyDescent="0.15">
      <c r="B195" s="29"/>
      <c r="C195" s="29"/>
      <c r="D195" s="29"/>
      <c r="E195" s="29"/>
      <c r="F195" s="29"/>
      <c r="G195" s="29"/>
      <c r="H195" s="29"/>
    </row>
    <row r="196" spans="2:8" x14ac:dyDescent="0.15">
      <c r="B196" s="29"/>
      <c r="C196" s="29"/>
      <c r="D196" s="29"/>
      <c r="E196" s="29"/>
      <c r="F196" s="29"/>
      <c r="G196" s="29"/>
      <c r="H196" s="29"/>
    </row>
    <row r="197" spans="2:8" x14ac:dyDescent="0.15">
      <c r="B197" s="29"/>
      <c r="C197" s="29"/>
      <c r="D197" s="29"/>
      <c r="E197" s="29"/>
      <c r="F197" s="29"/>
      <c r="G197" s="29"/>
      <c r="H197" s="29"/>
    </row>
    <row r="198" spans="2:8" x14ac:dyDescent="0.15">
      <c r="B198" s="29"/>
      <c r="C198" s="29"/>
      <c r="D198" s="29"/>
      <c r="E198" s="29"/>
      <c r="F198" s="29"/>
      <c r="G198" s="29"/>
      <c r="H198" s="29"/>
    </row>
    <row r="199" spans="2:8" x14ac:dyDescent="0.15">
      <c r="B199" s="29"/>
      <c r="C199" s="29"/>
      <c r="D199" s="29"/>
      <c r="E199" s="29"/>
      <c r="F199" s="29"/>
      <c r="G199" s="29"/>
      <c r="H199" s="29"/>
    </row>
    <row r="200" spans="2:8" x14ac:dyDescent="0.15">
      <c r="B200" s="29"/>
      <c r="C200" s="29"/>
      <c r="D200" s="29"/>
      <c r="E200" s="29"/>
      <c r="F200" s="29"/>
      <c r="G200" s="29"/>
      <c r="H200" s="29"/>
    </row>
    <row r="201" spans="2:8" x14ac:dyDescent="0.15">
      <c r="B201" s="29"/>
      <c r="C201" s="29"/>
      <c r="D201" s="29"/>
      <c r="E201" s="29"/>
      <c r="F201" s="29"/>
      <c r="G201" s="29"/>
      <c r="H201" s="29"/>
    </row>
    <row r="202" spans="2:8" x14ac:dyDescent="0.15">
      <c r="B202" s="29"/>
      <c r="C202" s="29"/>
      <c r="D202" s="29"/>
      <c r="E202" s="29"/>
      <c r="F202" s="29"/>
      <c r="G202" s="29"/>
      <c r="H202" s="29"/>
    </row>
    <row r="203" spans="2:8" x14ac:dyDescent="0.15">
      <c r="B203" s="29"/>
      <c r="C203" s="29"/>
      <c r="D203" s="29"/>
      <c r="E203" s="29"/>
      <c r="F203" s="29"/>
      <c r="G203" s="29"/>
      <c r="H203" s="29"/>
    </row>
    <row r="204" spans="2:8" x14ac:dyDescent="0.15">
      <c r="B204" s="29"/>
      <c r="C204" s="29"/>
      <c r="D204" s="29"/>
      <c r="E204" s="29"/>
      <c r="F204" s="29"/>
      <c r="G204" s="29"/>
      <c r="H204" s="29"/>
    </row>
    <row r="205" spans="2:8" x14ac:dyDescent="0.15">
      <c r="B205" s="29"/>
      <c r="C205" s="29"/>
      <c r="D205" s="29"/>
      <c r="E205" s="29"/>
      <c r="F205" s="29"/>
      <c r="G205" s="29"/>
      <c r="H205" s="29"/>
    </row>
    <row r="206" spans="2:8" x14ac:dyDescent="0.15">
      <c r="B206" s="29"/>
      <c r="C206" s="29"/>
      <c r="D206" s="29"/>
      <c r="E206" s="29"/>
      <c r="F206" s="29"/>
      <c r="G206" s="29"/>
      <c r="H206" s="29"/>
    </row>
    <row r="207" spans="2:8" x14ac:dyDescent="0.15">
      <c r="B207" s="29"/>
      <c r="C207" s="29"/>
      <c r="D207" s="29"/>
      <c r="E207" s="29"/>
      <c r="F207" s="29"/>
      <c r="G207" s="29"/>
      <c r="H207" s="29"/>
    </row>
    <row r="208" spans="2:8" x14ac:dyDescent="0.15">
      <c r="B208" s="29"/>
      <c r="C208" s="29"/>
      <c r="D208" s="29"/>
      <c r="E208" s="29"/>
      <c r="F208" s="29"/>
      <c r="G208" s="29"/>
      <c r="H208" s="29"/>
    </row>
    <row r="209" spans="2:8" x14ac:dyDescent="0.15">
      <c r="B209" s="29"/>
      <c r="C209" s="29"/>
      <c r="D209" s="29"/>
      <c r="E209" s="29"/>
      <c r="F209" s="29"/>
      <c r="G209" s="29"/>
      <c r="H209" s="29"/>
    </row>
    <row r="210" spans="2:8" x14ac:dyDescent="0.15">
      <c r="B210" s="29"/>
      <c r="C210" s="29"/>
      <c r="D210" s="29"/>
      <c r="E210" s="29"/>
      <c r="F210" s="29"/>
      <c r="G210" s="29"/>
      <c r="H210" s="29"/>
    </row>
    <row r="211" spans="2:8" x14ac:dyDescent="0.15">
      <c r="B211" s="29"/>
      <c r="C211" s="29"/>
      <c r="D211" s="29"/>
      <c r="E211" s="29"/>
      <c r="F211" s="29"/>
      <c r="G211" s="29"/>
      <c r="H211" s="29"/>
    </row>
    <row r="212" spans="2:8" x14ac:dyDescent="0.15">
      <c r="B212" s="29"/>
      <c r="C212" s="29"/>
      <c r="D212" s="29"/>
      <c r="E212" s="29"/>
      <c r="F212" s="29"/>
      <c r="G212" s="29"/>
      <c r="H212" s="29"/>
    </row>
    <row r="213" spans="2:8" x14ac:dyDescent="0.15">
      <c r="B213" s="29"/>
      <c r="C213" s="29"/>
      <c r="D213" s="29"/>
      <c r="E213" s="29"/>
      <c r="F213" s="29"/>
      <c r="G213" s="29"/>
      <c r="H213" s="29"/>
    </row>
    <row r="214" spans="2:8" x14ac:dyDescent="0.15">
      <c r="B214" s="29"/>
      <c r="C214" s="29"/>
      <c r="D214" s="29"/>
      <c r="E214" s="29"/>
      <c r="F214" s="29"/>
      <c r="G214" s="29"/>
      <c r="H214" s="29"/>
    </row>
    <row r="215" spans="2:8" x14ac:dyDescent="0.15">
      <c r="B215" s="29"/>
      <c r="C215" s="29"/>
      <c r="D215" s="29"/>
      <c r="E215" s="29"/>
      <c r="F215" s="29"/>
      <c r="G215" s="29"/>
      <c r="H215" s="29"/>
    </row>
    <row r="216" spans="2:8" x14ac:dyDescent="0.15">
      <c r="B216" s="29"/>
      <c r="C216" s="29"/>
      <c r="D216" s="29"/>
      <c r="E216" s="29"/>
      <c r="F216" s="29"/>
      <c r="G216" s="29"/>
      <c r="H216" s="29"/>
    </row>
    <row r="217" spans="2:8" x14ac:dyDescent="0.15">
      <c r="B217" s="29"/>
      <c r="C217" s="29"/>
      <c r="D217" s="29"/>
      <c r="E217" s="29"/>
      <c r="F217" s="29"/>
      <c r="G217" s="29"/>
      <c r="H217" s="29"/>
    </row>
    <row r="218" spans="2:8" x14ac:dyDescent="0.15">
      <c r="B218" s="29"/>
      <c r="C218" s="29"/>
      <c r="D218" s="29"/>
      <c r="E218" s="29"/>
      <c r="F218" s="29"/>
      <c r="G218" s="29"/>
      <c r="H218" s="29"/>
    </row>
    <row r="219" spans="2:8" x14ac:dyDescent="0.15">
      <c r="B219" s="29"/>
      <c r="C219" s="29"/>
      <c r="D219" s="29"/>
      <c r="E219" s="29"/>
      <c r="F219" s="29"/>
      <c r="G219" s="29"/>
      <c r="H219" s="29"/>
    </row>
    <row r="220" spans="2:8" x14ac:dyDescent="0.15">
      <c r="B220" s="29"/>
      <c r="C220" s="29"/>
      <c r="D220" s="29"/>
      <c r="E220" s="29"/>
      <c r="F220" s="29"/>
      <c r="G220" s="29"/>
      <c r="H220" s="29"/>
    </row>
    <row r="221" spans="2:8" x14ac:dyDescent="0.15">
      <c r="B221" s="29"/>
      <c r="C221" s="29"/>
      <c r="D221" s="29"/>
      <c r="E221" s="29"/>
      <c r="F221" s="29"/>
      <c r="G221" s="29"/>
      <c r="H221" s="29"/>
    </row>
    <row r="222" spans="2:8" x14ac:dyDescent="0.15">
      <c r="B222" s="29"/>
      <c r="C222" s="29"/>
      <c r="D222" s="29"/>
      <c r="E222" s="29"/>
      <c r="F222" s="29"/>
      <c r="G222" s="29"/>
      <c r="H222" s="29"/>
    </row>
    <row r="223" spans="2:8" x14ac:dyDescent="0.15">
      <c r="B223" s="29"/>
      <c r="C223" s="29"/>
      <c r="D223" s="29"/>
      <c r="E223" s="29"/>
      <c r="F223" s="29"/>
      <c r="G223" s="29"/>
      <c r="H223" s="29"/>
    </row>
    <row r="224" spans="2:8" x14ac:dyDescent="0.15">
      <c r="B224" s="29"/>
      <c r="C224" s="29"/>
      <c r="D224" s="29"/>
      <c r="E224" s="29"/>
      <c r="F224" s="29"/>
      <c r="G224" s="29"/>
      <c r="H224" s="29"/>
    </row>
    <row r="225" spans="2:8" x14ac:dyDescent="0.15">
      <c r="B225" s="29"/>
      <c r="C225" s="29"/>
      <c r="D225" s="29"/>
      <c r="E225" s="29"/>
      <c r="F225" s="29"/>
      <c r="G225" s="29"/>
      <c r="H225" s="29"/>
    </row>
    <row r="226" spans="2:8" x14ac:dyDescent="0.15">
      <c r="B226" s="29"/>
      <c r="C226" s="29"/>
      <c r="D226" s="29"/>
      <c r="E226" s="29"/>
      <c r="F226" s="29"/>
      <c r="G226" s="29"/>
      <c r="H226" s="29"/>
    </row>
    <row r="227" spans="2:8" x14ac:dyDescent="0.15">
      <c r="B227" s="29"/>
      <c r="C227" s="29"/>
      <c r="D227" s="29"/>
      <c r="E227" s="29"/>
      <c r="F227" s="29"/>
      <c r="G227" s="29"/>
      <c r="H227" s="29"/>
    </row>
    <row r="228" spans="2:8" x14ac:dyDescent="0.15">
      <c r="B228" s="29"/>
      <c r="C228" s="29"/>
      <c r="D228" s="29"/>
      <c r="E228" s="29"/>
      <c r="F228" s="29"/>
      <c r="G228" s="29"/>
      <c r="H228" s="29"/>
    </row>
    <row r="229" spans="2:8" x14ac:dyDescent="0.15">
      <c r="B229" s="29"/>
      <c r="C229" s="29"/>
      <c r="D229" s="29"/>
      <c r="E229" s="29"/>
      <c r="F229" s="29"/>
      <c r="G229" s="29"/>
      <c r="H229" s="29"/>
    </row>
    <row r="230" spans="2:8" x14ac:dyDescent="0.15">
      <c r="B230" s="29"/>
      <c r="C230" s="29"/>
      <c r="D230" s="29"/>
      <c r="E230" s="29"/>
      <c r="F230" s="29"/>
      <c r="G230" s="29"/>
      <c r="H230" s="29"/>
    </row>
    <row r="231" spans="2:8" x14ac:dyDescent="0.15">
      <c r="B231" s="29"/>
      <c r="C231" s="29"/>
      <c r="D231" s="29"/>
      <c r="E231" s="29"/>
      <c r="F231" s="29"/>
      <c r="G231" s="29"/>
      <c r="H231" s="29"/>
    </row>
    <row r="232" spans="2:8" x14ac:dyDescent="0.15">
      <c r="B232" s="29"/>
      <c r="C232" s="29"/>
      <c r="D232" s="29"/>
      <c r="E232" s="29"/>
      <c r="F232" s="29"/>
      <c r="G232" s="29"/>
      <c r="H232" s="29"/>
    </row>
    <row r="233" spans="2:8" x14ac:dyDescent="0.15">
      <c r="B233" s="29"/>
      <c r="C233" s="29"/>
      <c r="D233" s="29"/>
      <c r="E233" s="29"/>
      <c r="F233" s="29"/>
      <c r="G233" s="29"/>
      <c r="H233" s="29"/>
    </row>
    <row r="234" spans="2:8" x14ac:dyDescent="0.15">
      <c r="B234" s="29"/>
      <c r="C234" s="29"/>
      <c r="D234" s="29"/>
      <c r="E234" s="29"/>
      <c r="F234" s="29"/>
      <c r="G234" s="29"/>
      <c r="H234" s="29"/>
    </row>
    <row r="235" spans="2:8" x14ac:dyDescent="0.15">
      <c r="B235" s="29"/>
      <c r="C235" s="29"/>
      <c r="D235" s="29"/>
      <c r="E235" s="29"/>
      <c r="F235" s="29"/>
      <c r="G235" s="29"/>
      <c r="H235" s="29"/>
    </row>
    <row r="236" spans="2:8" x14ac:dyDescent="0.15">
      <c r="B236" s="29"/>
      <c r="C236" s="29"/>
      <c r="D236" s="29"/>
      <c r="E236" s="29"/>
      <c r="F236" s="29"/>
      <c r="G236" s="29"/>
      <c r="H236" s="29"/>
    </row>
    <row r="237" spans="2:8" x14ac:dyDescent="0.15">
      <c r="B237" s="29"/>
      <c r="C237" s="29"/>
      <c r="D237" s="29"/>
      <c r="E237" s="29"/>
      <c r="F237" s="29"/>
      <c r="G237" s="29"/>
      <c r="H237" s="29"/>
    </row>
    <row r="238" spans="2:8" x14ac:dyDescent="0.15">
      <c r="B238" s="29"/>
      <c r="C238" s="29"/>
      <c r="D238" s="29"/>
      <c r="E238" s="29"/>
      <c r="F238" s="29"/>
      <c r="G238" s="29"/>
      <c r="H238" s="29"/>
    </row>
    <row r="239" spans="2:8" x14ac:dyDescent="0.15">
      <c r="B239" s="29"/>
      <c r="C239" s="29"/>
      <c r="D239" s="29"/>
      <c r="E239" s="29"/>
      <c r="F239" s="29"/>
      <c r="G239" s="29"/>
      <c r="H239" s="29"/>
    </row>
    <row r="240" spans="2:8" x14ac:dyDescent="0.15">
      <c r="B240" s="29"/>
      <c r="C240" s="29"/>
      <c r="D240" s="29"/>
      <c r="E240" s="29"/>
      <c r="F240" s="29"/>
      <c r="G240" s="29"/>
      <c r="H240" s="29"/>
    </row>
    <row r="241" spans="2:8" x14ac:dyDescent="0.15">
      <c r="B241" s="29"/>
      <c r="C241" s="29"/>
      <c r="D241" s="29"/>
      <c r="E241" s="29"/>
      <c r="F241" s="29"/>
      <c r="G241" s="29"/>
      <c r="H241" s="29"/>
    </row>
    <row r="242" spans="2:8" x14ac:dyDescent="0.15">
      <c r="B242" s="29"/>
      <c r="C242" s="29"/>
      <c r="D242" s="29"/>
      <c r="E242" s="29"/>
      <c r="F242" s="29"/>
      <c r="G242" s="29"/>
      <c r="H242" s="29"/>
    </row>
    <row r="243" spans="2:8" x14ac:dyDescent="0.15">
      <c r="B243" s="29"/>
      <c r="C243" s="29"/>
      <c r="D243" s="29"/>
      <c r="E243" s="29"/>
      <c r="F243" s="29"/>
      <c r="G243" s="29"/>
      <c r="H243" s="29"/>
    </row>
    <row r="244" spans="2:8" x14ac:dyDescent="0.15">
      <c r="B244" s="29"/>
      <c r="C244" s="29"/>
      <c r="D244" s="29"/>
      <c r="E244" s="29"/>
      <c r="F244" s="29"/>
      <c r="G244" s="29"/>
      <c r="H244" s="29"/>
    </row>
    <row r="245" spans="2:8" x14ac:dyDescent="0.15">
      <c r="B245" s="29"/>
      <c r="C245" s="29"/>
      <c r="D245" s="29"/>
      <c r="E245" s="29"/>
      <c r="F245" s="29"/>
      <c r="G245" s="29"/>
      <c r="H245" s="29"/>
    </row>
    <row r="246" spans="2:8" x14ac:dyDescent="0.15">
      <c r="B246" s="29"/>
      <c r="C246" s="29"/>
      <c r="D246" s="29"/>
      <c r="E246" s="29"/>
      <c r="F246" s="29"/>
      <c r="G246" s="29"/>
      <c r="H246" s="29"/>
    </row>
    <row r="247" spans="2:8" x14ac:dyDescent="0.15">
      <c r="B247" s="29"/>
      <c r="C247" s="29"/>
      <c r="D247" s="29"/>
      <c r="E247" s="29"/>
      <c r="F247" s="29"/>
      <c r="G247" s="29"/>
      <c r="H247" s="29"/>
    </row>
    <row r="248" spans="2:8" x14ac:dyDescent="0.15">
      <c r="B248" s="29"/>
      <c r="C248" s="29"/>
      <c r="D248" s="29"/>
      <c r="E248" s="29"/>
      <c r="F248" s="29"/>
      <c r="G248" s="29"/>
      <c r="H248" s="29"/>
    </row>
    <row r="249" spans="2:8" x14ac:dyDescent="0.15">
      <c r="B249" s="29"/>
      <c r="C249" s="29"/>
      <c r="D249" s="29"/>
      <c r="E249" s="29"/>
      <c r="F249" s="29"/>
      <c r="G249" s="29"/>
      <c r="H249" s="29"/>
    </row>
    <row r="250" spans="2:8" x14ac:dyDescent="0.15">
      <c r="B250" s="29"/>
      <c r="C250" s="29"/>
      <c r="D250" s="29"/>
      <c r="E250" s="29"/>
      <c r="F250" s="29"/>
      <c r="G250" s="29"/>
      <c r="H250" s="29"/>
    </row>
    <row r="251" spans="2:8" x14ac:dyDescent="0.15">
      <c r="B251" s="29"/>
      <c r="C251" s="29"/>
      <c r="D251" s="29"/>
      <c r="E251" s="29"/>
      <c r="F251" s="29"/>
      <c r="G251" s="29"/>
      <c r="H251" s="29"/>
    </row>
    <row r="252" spans="2:8" x14ac:dyDescent="0.15">
      <c r="B252" s="29"/>
      <c r="C252" s="29"/>
      <c r="D252" s="29"/>
      <c r="E252" s="29"/>
      <c r="F252" s="29"/>
      <c r="G252" s="29"/>
      <c r="H252" s="29"/>
    </row>
    <row r="253" spans="2:8" x14ac:dyDescent="0.15">
      <c r="B253" s="29"/>
      <c r="C253" s="29"/>
      <c r="D253" s="29"/>
      <c r="E253" s="29"/>
      <c r="F253" s="29"/>
      <c r="G253" s="29"/>
      <c r="H253" s="29"/>
    </row>
    <row r="254" spans="2:8" x14ac:dyDescent="0.15">
      <c r="B254" s="29"/>
      <c r="C254" s="29"/>
      <c r="D254" s="29"/>
      <c r="E254" s="29"/>
      <c r="F254" s="29"/>
      <c r="G254" s="29"/>
      <c r="H254" s="29"/>
    </row>
    <row r="255" spans="2:8" x14ac:dyDescent="0.15">
      <c r="B255" s="29"/>
      <c r="C255" s="29"/>
      <c r="D255" s="29"/>
      <c r="E255" s="29"/>
      <c r="F255" s="29"/>
      <c r="G255" s="29"/>
      <c r="H255" s="29"/>
    </row>
    <row r="256" spans="2:8" x14ac:dyDescent="0.15">
      <c r="B256" s="29"/>
      <c r="C256" s="29"/>
      <c r="D256" s="29"/>
      <c r="E256" s="29"/>
      <c r="F256" s="29"/>
      <c r="G256" s="29"/>
      <c r="H256" s="29"/>
    </row>
    <row r="257" spans="2:8" x14ac:dyDescent="0.15">
      <c r="B257" s="29"/>
      <c r="C257" s="29"/>
      <c r="D257" s="29"/>
      <c r="E257" s="29"/>
      <c r="F257" s="29"/>
      <c r="G257" s="29"/>
      <c r="H257" s="29"/>
    </row>
    <row r="258" spans="2:8" x14ac:dyDescent="0.15">
      <c r="B258" s="29"/>
      <c r="C258" s="29"/>
      <c r="D258" s="29"/>
      <c r="E258" s="29"/>
      <c r="F258" s="29"/>
      <c r="G258" s="29"/>
      <c r="H258" s="29"/>
    </row>
    <row r="259" spans="2:8" x14ac:dyDescent="0.15">
      <c r="B259" s="29"/>
      <c r="C259" s="29"/>
      <c r="D259" s="29"/>
      <c r="E259" s="29"/>
      <c r="F259" s="29"/>
      <c r="G259" s="29"/>
      <c r="H259" s="29"/>
    </row>
    <row r="260" spans="2:8" x14ac:dyDescent="0.15">
      <c r="B260" s="29"/>
      <c r="C260" s="29"/>
      <c r="D260" s="29"/>
      <c r="E260" s="29"/>
      <c r="F260" s="29"/>
      <c r="G260" s="29"/>
      <c r="H260" s="29"/>
    </row>
    <row r="261" spans="2:8" x14ac:dyDescent="0.15">
      <c r="B261" s="29"/>
      <c r="C261" s="29"/>
      <c r="D261" s="29"/>
      <c r="E261" s="29"/>
      <c r="F261" s="29"/>
      <c r="G261" s="29"/>
      <c r="H261" s="29"/>
    </row>
    <row r="262" spans="2:8" x14ac:dyDescent="0.15">
      <c r="B262" s="29"/>
      <c r="C262" s="29"/>
      <c r="D262" s="29"/>
      <c r="E262" s="29"/>
      <c r="F262" s="29"/>
      <c r="G262" s="29"/>
      <c r="H262" s="29"/>
    </row>
    <row r="263" spans="2:8" x14ac:dyDescent="0.15">
      <c r="B263" s="29"/>
      <c r="C263" s="29"/>
      <c r="D263" s="29"/>
      <c r="E263" s="29"/>
      <c r="F263" s="29"/>
      <c r="G263" s="29"/>
      <c r="H263" s="29"/>
    </row>
    <row r="264" spans="2:8" x14ac:dyDescent="0.15">
      <c r="B264" s="29"/>
      <c r="C264" s="29"/>
      <c r="D264" s="29"/>
      <c r="E264" s="29"/>
      <c r="F264" s="29"/>
      <c r="G264" s="29"/>
      <c r="H264" s="29"/>
    </row>
    <row r="265" spans="2:8" x14ac:dyDescent="0.15">
      <c r="B265" s="29"/>
      <c r="C265" s="29"/>
      <c r="D265" s="29"/>
      <c r="E265" s="29"/>
      <c r="F265" s="29"/>
      <c r="G265" s="29"/>
      <c r="H265" s="29"/>
    </row>
    <row r="266" spans="2:8" x14ac:dyDescent="0.15">
      <c r="B266" s="29"/>
      <c r="C266" s="29"/>
      <c r="D266" s="29"/>
      <c r="E266" s="29"/>
      <c r="F266" s="29"/>
      <c r="G266" s="29"/>
      <c r="H266" s="29"/>
    </row>
    <row r="267" spans="2:8" x14ac:dyDescent="0.15">
      <c r="B267" s="29"/>
      <c r="C267" s="29"/>
      <c r="D267" s="29"/>
      <c r="E267" s="29"/>
      <c r="F267" s="29"/>
      <c r="G267" s="29"/>
      <c r="H267" s="29"/>
    </row>
    <row r="268" spans="2:8" x14ac:dyDescent="0.15">
      <c r="B268" s="29"/>
      <c r="C268" s="29"/>
      <c r="D268" s="29"/>
      <c r="E268" s="29"/>
      <c r="F268" s="29"/>
      <c r="G268" s="29"/>
      <c r="H268" s="29"/>
    </row>
    <row r="269" spans="2:8" x14ac:dyDescent="0.15">
      <c r="B269" s="29"/>
      <c r="C269" s="29"/>
      <c r="D269" s="29"/>
      <c r="E269" s="29"/>
      <c r="F269" s="29"/>
      <c r="G269" s="29"/>
      <c r="H269" s="29"/>
    </row>
    <row r="270" spans="2:8" x14ac:dyDescent="0.15">
      <c r="B270" s="29"/>
      <c r="C270" s="29"/>
      <c r="D270" s="29"/>
      <c r="E270" s="29"/>
      <c r="F270" s="29"/>
      <c r="G270" s="29"/>
      <c r="H270" s="29"/>
    </row>
    <row r="271" spans="2:8" x14ac:dyDescent="0.15">
      <c r="B271" s="29"/>
      <c r="C271" s="29"/>
      <c r="D271" s="29"/>
      <c r="E271" s="29"/>
      <c r="F271" s="29"/>
      <c r="G271" s="29"/>
      <c r="H271" s="29"/>
    </row>
    <row r="272" spans="2:8" x14ac:dyDescent="0.15">
      <c r="B272" s="29"/>
      <c r="C272" s="29"/>
      <c r="D272" s="29"/>
      <c r="E272" s="29"/>
      <c r="F272" s="29"/>
      <c r="G272" s="29"/>
      <c r="H272" s="29"/>
    </row>
    <row r="273" spans="2:8" x14ac:dyDescent="0.15">
      <c r="B273" s="29"/>
      <c r="C273" s="29"/>
      <c r="D273" s="29"/>
      <c r="E273" s="29"/>
      <c r="F273" s="29"/>
      <c r="G273" s="29"/>
      <c r="H273" s="29"/>
    </row>
    <row r="274" spans="2:8" x14ac:dyDescent="0.15">
      <c r="B274" s="29"/>
      <c r="C274" s="29"/>
      <c r="D274" s="29"/>
      <c r="E274" s="29"/>
      <c r="F274" s="29"/>
      <c r="G274" s="29"/>
      <c r="H274" s="29"/>
    </row>
    <row r="275" spans="2:8" x14ac:dyDescent="0.15">
      <c r="B275" s="29"/>
      <c r="C275" s="29"/>
      <c r="D275" s="29"/>
      <c r="E275" s="29"/>
      <c r="F275" s="29"/>
      <c r="G275" s="29"/>
      <c r="H275" s="29"/>
    </row>
    <row r="276" spans="2:8" x14ac:dyDescent="0.15">
      <c r="B276" s="29"/>
      <c r="C276" s="29"/>
      <c r="D276" s="29"/>
      <c r="E276" s="29"/>
      <c r="F276" s="29"/>
      <c r="G276" s="29"/>
      <c r="H276" s="29"/>
    </row>
    <row r="277" spans="2:8" x14ac:dyDescent="0.15">
      <c r="B277" s="29"/>
      <c r="C277" s="29"/>
      <c r="D277" s="29"/>
      <c r="E277" s="29"/>
      <c r="F277" s="29"/>
      <c r="G277" s="29"/>
      <c r="H277" s="29"/>
    </row>
    <row r="278" spans="2:8" x14ac:dyDescent="0.15">
      <c r="B278" s="29"/>
      <c r="C278" s="29"/>
      <c r="D278" s="29"/>
      <c r="E278" s="29"/>
      <c r="F278" s="29"/>
      <c r="G278" s="29"/>
      <c r="H278" s="29"/>
    </row>
    <row r="279" spans="2:8" x14ac:dyDescent="0.15">
      <c r="B279" s="29"/>
      <c r="C279" s="29"/>
      <c r="D279" s="29"/>
      <c r="E279" s="29"/>
      <c r="F279" s="29"/>
      <c r="G279" s="29"/>
      <c r="H279" s="29"/>
    </row>
    <row r="280" spans="2:8" x14ac:dyDescent="0.15">
      <c r="B280" s="29"/>
      <c r="C280" s="29"/>
      <c r="D280" s="29"/>
      <c r="E280" s="29"/>
      <c r="F280" s="29"/>
      <c r="G280" s="29"/>
      <c r="H280" s="29"/>
    </row>
    <row r="281" spans="2:8" x14ac:dyDescent="0.15">
      <c r="B281" s="29"/>
      <c r="C281" s="29"/>
      <c r="D281" s="29"/>
      <c r="E281" s="29"/>
      <c r="F281" s="29"/>
      <c r="G281" s="29"/>
      <c r="H281" s="29"/>
    </row>
    <row r="282" spans="2:8" x14ac:dyDescent="0.15">
      <c r="B282" s="29"/>
      <c r="C282" s="29"/>
      <c r="D282" s="29"/>
      <c r="E282" s="29"/>
      <c r="F282" s="29"/>
      <c r="G282" s="29"/>
      <c r="H282" s="29"/>
    </row>
    <row r="283" spans="2:8" x14ac:dyDescent="0.15">
      <c r="B283" s="29"/>
      <c r="C283" s="29"/>
      <c r="D283" s="29"/>
      <c r="E283" s="29"/>
      <c r="F283" s="29"/>
      <c r="G283" s="29"/>
      <c r="H283" s="29"/>
    </row>
    <row r="284" spans="2:8" x14ac:dyDescent="0.15">
      <c r="B284" s="29"/>
      <c r="C284" s="29"/>
      <c r="D284" s="29"/>
      <c r="E284" s="29"/>
      <c r="F284" s="29"/>
      <c r="G284" s="29"/>
      <c r="H284" s="29"/>
    </row>
    <row r="285" spans="2:8" x14ac:dyDescent="0.15">
      <c r="B285" s="29"/>
      <c r="C285" s="29"/>
      <c r="D285" s="29"/>
      <c r="E285" s="29"/>
      <c r="F285" s="29"/>
      <c r="G285" s="29"/>
      <c r="H285" s="29"/>
    </row>
    <row r="286" spans="2:8" x14ac:dyDescent="0.15">
      <c r="B286" s="29"/>
      <c r="C286" s="29"/>
      <c r="D286" s="29"/>
      <c r="E286" s="29"/>
      <c r="F286" s="29"/>
      <c r="G286" s="29"/>
      <c r="H286" s="29"/>
    </row>
    <row r="287" spans="2:8" x14ac:dyDescent="0.15">
      <c r="B287" s="29"/>
      <c r="C287" s="29"/>
      <c r="D287" s="29"/>
      <c r="E287" s="29"/>
      <c r="F287" s="29"/>
      <c r="G287" s="29"/>
      <c r="H287" s="29"/>
    </row>
    <row r="288" spans="2:8" x14ac:dyDescent="0.15">
      <c r="B288" s="29"/>
      <c r="C288" s="29"/>
      <c r="D288" s="29"/>
      <c r="E288" s="29"/>
      <c r="F288" s="29"/>
      <c r="G288" s="29"/>
      <c r="H288" s="29"/>
    </row>
    <row r="289" spans="2:8" x14ac:dyDescent="0.15">
      <c r="B289" s="29"/>
      <c r="C289" s="29"/>
      <c r="D289" s="29"/>
      <c r="E289" s="29"/>
      <c r="F289" s="29"/>
      <c r="G289" s="29"/>
      <c r="H289" s="29"/>
    </row>
    <row r="290" spans="2:8" x14ac:dyDescent="0.15">
      <c r="B290" s="29"/>
      <c r="C290" s="29"/>
      <c r="D290" s="29"/>
      <c r="E290" s="29"/>
      <c r="F290" s="29"/>
      <c r="G290" s="29"/>
      <c r="H290" s="29"/>
    </row>
    <row r="291" spans="2:8" x14ac:dyDescent="0.15">
      <c r="B291" s="29"/>
      <c r="C291" s="29"/>
      <c r="D291" s="29"/>
      <c r="E291" s="29"/>
      <c r="F291" s="29"/>
      <c r="G291" s="29"/>
      <c r="H291" s="29"/>
    </row>
    <row r="292" spans="2:8" x14ac:dyDescent="0.15">
      <c r="B292" s="29"/>
      <c r="C292" s="29"/>
      <c r="D292" s="29"/>
      <c r="E292" s="29"/>
      <c r="F292" s="29"/>
      <c r="G292" s="29"/>
      <c r="H292" s="29"/>
    </row>
    <row r="293" spans="2:8" x14ac:dyDescent="0.15">
      <c r="B293" s="29"/>
      <c r="C293" s="29"/>
      <c r="D293" s="29"/>
      <c r="E293" s="29"/>
      <c r="F293" s="29"/>
      <c r="G293" s="29"/>
      <c r="H293" s="29"/>
    </row>
    <row r="294" spans="2:8" x14ac:dyDescent="0.15">
      <c r="B294" s="29"/>
      <c r="C294" s="29"/>
      <c r="D294" s="29"/>
      <c r="E294" s="29"/>
      <c r="F294" s="29"/>
      <c r="G294" s="29"/>
      <c r="H294" s="29"/>
    </row>
    <row r="295" spans="2:8" x14ac:dyDescent="0.15">
      <c r="B295" s="29"/>
      <c r="C295" s="29"/>
      <c r="D295" s="29"/>
      <c r="E295" s="29"/>
      <c r="F295" s="29"/>
      <c r="G295" s="29"/>
      <c r="H295" s="29"/>
    </row>
    <row r="296" spans="2:8" x14ac:dyDescent="0.15">
      <c r="B296" s="29"/>
      <c r="C296" s="29"/>
      <c r="D296" s="29"/>
      <c r="E296" s="29"/>
      <c r="F296" s="29"/>
      <c r="G296" s="29"/>
      <c r="H296" s="29"/>
    </row>
    <row r="297" spans="2:8" x14ac:dyDescent="0.15">
      <c r="B297" s="29"/>
      <c r="C297" s="29"/>
      <c r="D297" s="29"/>
      <c r="E297" s="29"/>
      <c r="F297" s="29"/>
      <c r="G297" s="29"/>
      <c r="H297" s="29"/>
    </row>
    <row r="298" spans="2:8" x14ac:dyDescent="0.15">
      <c r="B298" s="29"/>
      <c r="C298" s="29"/>
      <c r="D298" s="29"/>
      <c r="E298" s="29"/>
      <c r="F298" s="29"/>
      <c r="G298" s="29"/>
      <c r="H298" s="29"/>
    </row>
    <row r="299" spans="2:8" x14ac:dyDescent="0.15">
      <c r="B299" s="29"/>
      <c r="C299" s="29"/>
      <c r="D299" s="29"/>
      <c r="E299" s="29"/>
      <c r="F299" s="29"/>
      <c r="G299" s="29"/>
      <c r="H299" s="29"/>
    </row>
    <row r="300" spans="2:8" x14ac:dyDescent="0.15">
      <c r="B300" s="29"/>
      <c r="C300" s="29"/>
      <c r="D300" s="29"/>
      <c r="E300" s="29"/>
      <c r="F300" s="29"/>
      <c r="G300" s="29"/>
      <c r="H300" s="29"/>
    </row>
    <row r="301" spans="2:8" x14ac:dyDescent="0.15">
      <c r="B301" s="29"/>
      <c r="C301" s="29"/>
      <c r="D301" s="29"/>
      <c r="E301" s="29"/>
      <c r="F301" s="29"/>
      <c r="G301" s="29"/>
      <c r="H301" s="29"/>
    </row>
    <row r="302" spans="2:8" x14ac:dyDescent="0.15">
      <c r="B302" s="29"/>
      <c r="C302" s="29"/>
      <c r="D302" s="29"/>
      <c r="E302" s="29"/>
      <c r="F302" s="29"/>
      <c r="G302" s="29"/>
      <c r="H302" s="29"/>
    </row>
    <row r="303" spans="2:8" x14ac:dyDescent="0.15">
      <c r="B303" s="29"/>
      <c r="C303" s="29"/>
      <c r="D303" s="29"/>
      <c r="E303" s="29"/>
      <c r="F303" s="29"/>
      <c r="G303" s="29"/>
      <c r="H303" s="29"/>
    </row>
    <row r="304" spans="2:8" x14ac:dyDescent="0.15">
      <c r="B304" s="29"/>
      <c r="C304" s="29"/>
      <c r="D304" s="29"/>
      <c r="E304" s="29"/>
      <c r="F304" s="29"/>
      <c r="G304" s="29"/>
      <c r="H304" s="29"/>
    </row>
    <row r="305" spans="2:8" x14ac:dyDescent="0.15">
      <c r="B305" s="29"/>
      <c r="C305" s="29"/>
      <c r="D305" s="29"/>
      <c r="E305" s="29"/>
      <c r="F305" s="29"/>
      <c r="G305" s="29"/>
      <c r="H305" s="29"/>
    </row>
    <row r="306" spans="2:8" x14ac:dyDescent="0.15">
      <c r="B306" s="29"/>
      <c r="C306" s="29"/>
      <c r="D306" s="29"/>
      <c r="E306" s="29"/>
      <c r="F306" s="29"/>
      <c r="G306" s="29"/>
      <c r="H306" s="29"/>
    </row>
    <row r="307" spans="2:8" x14ac:dyDescent="0.15">
      <c r="B307" s="29"/>
      <c r="C307" s="29"/>
      <c r="D307" s="29"/>
      <c r="E307" s="29"/>
      <c r="F307" s="29"/>
      <c r="G307" s="29"/>
      <c r="H307" s="29"/>
    </row>
    <row r="308" spans="2:8" x14ac:dyDescent="0.15">
      <c r="B308" s="29"/>
      <c r="C308" s="29"/>
      <c r="D308" s="29"/>
      <c r="E308" s="29"/>
      <c r="F308" s="29"/>
      <c r="G308" s="29"/>
      <c r="H308" s="29"/>
    </row>
    <row r="309" spans="2:8" x14ac:dyDescent="0.15">
      <c r="B309" s="29"/>
      <c r="C309" s="29"/>
      <c r="D309" s="29"/>
      <c r="E309" s="29"/>
      <c r="F309" s="29"/>
      <c r="G309" s="29"/>
      <c r="H309" s="29"/>
    </row>
    <row r="310" spans="2:8" x14ac:dyDescent="0.15">
      <c r="B310" s="29"/>
      <c r="C310" s="29"/>
      <c r="D310" s="29"/>
      <c r="E310" s="29"/>
      <c r="F310" s="29"/>
      <c r="G310" s="29"/>
      <c r="H310" s="29"/>
    </row>
    <row r="311" spans="2:8" x14ac:dyDescent="0.15">
      <c r="B311" s="29"/>
      <c r="C311" s="29"/>
      <c r="D311" s="29"/>
      <c r="E311" s="29"/>
      <c r="F311" s="29"/>
      <c r="G311" s="29"/>
      <c r="H311" s="29"/>
    </row>
    <row r="312" spans="2:8" x14ac:dyDescent="0.15">
      <c r="B312" s="29"/>
      <c r="C312" s="29"/>
      <c r="D312" s="29"/>
      <c r="E312" s="29"/>
      <c r="F312" s="29"/>
      <c r="G312" s="29"/>
      <c r="H312" s="29"/>
    </row>
    <row r="313" spans="2:8" x14ac:dyDescent="0.15">
      <c r="B313" s="29"/>
      <c r="C313" s="29"/>
      <c r="D313" s="29"/>
      <c r="E313" s="29"/>
      <c r="F313" s="29"/>
      <c r="G313" s="29"/>
      <c r="H313" s="29"/>
    </row>
    <row r="314" spans="2:8" x14ac:dyDescent="0.15">
      <c r="B314" s="29"/>
      <c r="C314" s="29"/>
      <c r="D314" s="29"/>
      <c r="E314" s="29"/>
      <c r="F314" s="29"/>
      <c r="G314" s="29"/>
      <c r="H314" s="29"/>
    </row>
    <row r="315" spans="2:8" x14ac:dyDescent="0.15">
      <c r="B315" s="29"/>
      <c r="C315" s="29"/>
      <c r="D315" s="29"/>
      <c r="E315" s="29"/>
      <c r="F315" s="29"/>
      <c r="G315" s="29"/>
      <c r="H315" s="29"/>
    </row>
    <row r="316" spans="2:8" x14ac:dyDescent="0.15">
      <c r="B316" s="29"/>
      <c r="C316" s="29"/>
      <c r="D316" s="29"/>
      <c r="E316" s="29"/>
      <c r="F316" s="29"/>
      <c r="G316" s="29"/>
      <c r="H316" s="29"/>
    </row>
    <row r="317" spans="2:8" x14ac:dyDescent="0.15">
      <c r="B317" s="29"/>
      <c r="C317" s="29"/>
      <c r="D317" s="29"/>
      <c r="E317" s="29"/>
      <c r="F317" s="29"/>
      <c r="G317" s="29"/>
      <c r="H317" s="29"/>
    </row>
    <row r="318" spans="2:8" x14ac:dyDescent="0.15">
      <c r="B318" s="29"/>
      <c r="C318" s="29"/>
      <c r="D318" s="29"/>
      <c r="E318" s="29"/>
      <c r="F318" s="29"/>
      <c r="G318" s="29"/>
      <c r="H318" s="29"/>
    </row>
    <row r="319" spans="2:8" x14ac:dyDescent="0.15">
      <c r="B319" s="29"/>
      <c r="C319" s="29"/>
      <c r="D319" s="29"/>
      <c r="E319" s="29"/>
      <c r="F319" s="29"/>
      <c r="G319" s="29"/>
      <c r="H319" s="29"/>
    </row>
    <row r="320" spans="2:8" x14ac:dyDescent="0.15">
      <c r="B320" s="29"/>
      <c r="C320" s="29"/>
      <c r="D320" s="29"/>
      <c r="E320" s="29"/>
      <c r="F320" s="29"/>
      <c r="G320" s="29"/>
      <c r="H320" s="29"/>
    </row>
    <row r="321" spans="2:8" x14ac:dyDescent="0.15">
      <c r="B321" s="29"/>
      <c r="C321" s="29"/>
      <c r="D321" s="29"/>
      <c r="E321" s="29"/>
      <c r="F321" s="29"/>
      <c r="G321" s="29"/>
      <c r="H321" s="29"/>
    </row>
    <row r="322" spans="2:8" x14ac:dyDescent="0.15">
      <c r="B322" s="29"/>
      <c r="C322" s="29"/>
      <c r="D322" s="29"/>
      <c r="E322" s="29"/>
      <c r="F322" s="29"/>
      <c r="G322" s="29"/>
      <c r="H322" s="29"/>
    </row>
    <row r="323" spans="2:8" x14ac:dyDescent="0.15">
      <c r="B323" s="29"/>
      <c r="C323" s="29"/>
      <c r="D323" s="29"/>
      <c r="E323" s="29"/>
      <c r="F323" s="29"/>
      <c r="G323" s="29"/>
      <c r="H323" s="29"/>
    </row>
    <row r="324" spans="2:8" x14ac:dyDescent="0.15">
      <c r="B324" s="29"/>
      <c r="C324" s="29"/>
      <c r="D324" s="29"/>
      <c r="E324" s="29"/>
      <c r="F324" s="29"/>
      <c r="G324" s="29"/>
      <c r="H324" s="29"/>
    </row>
    <row r="325" spans="2:8" x14ac:dyDescent="0.15">
      <c r="B325" s="29"/>
      <c r="C325" s="29"/>
      <c r="D325" s="29"/>
      <c r="E325" s="29"/>
      <c r="F325" s="29"/>
      <c r="G325" s="29"/>
      <c r="H325" s="29"/>
    </row>
    <row r="326" spans="2:8" x14ac:dyDescent="0.15">
      <c r="B326" s="29"/>
      <c r="C326" s="29"/>
      <c r="D326" s="29"/>
      <c r="E326" s="29"/>
      <c r="F326" s="29"/>
      <c r="G326" s="29"/>
      <c r="H326" s="29"/>
    </row>
    <row r="327" spans="2:8" x14ac:dyDescent="0.15">
      <c r="B327" s="29"/>
      <c r="C327" s="29"/>
      <c r="D327" s="29"/>
      <c r="E327" s="29"/>
      <c r="F327" s="29"/>
      <c r="G327" s="29"/>
      <c r="H327" s="29"/>
    </row>
    <row r="328" spans="2:8" x14ac:dyDescent="0.15">
      <c r="B328" s="29"/>
      <c r="C328" s="29"/>
      <c r="D328" s="29"/>
      <c r="E328" s="29"/>
      <c r="F328" s="29"/>
      <c r="G328" s="29"/>
      <c r="H328" s="29"/>
    </row>
    <row r="329" spans="2:8" x14ac:dyDescent="0.15">
      <c r="B329" s="29"/>
      <c r="C329" s="29"/>
      <c r="D329" s="29"/>
      <c r="E329" s="29"/>
      <c r="F329" s="29"/>
      <c r="G329" s="29"/>
      <c r="H329" s="29"/>
    </row>
    <row r="330" spans="2:8" x14ac:dyDescent="0.15">
      <c r="B330" s="29"/>
      <c r="C330" s="29"/>
      <c r="D330" s="29"/>
      <c r="E330" s="29"/>
      <c r="F330" s="29"/>
      <c r="G330" s="29"/>
      <c r="H330" s="29"/>
    </row>
    <row r="331" spans="2:8" x14ac:dyDescent="0.15">
      <c r="B331" s="29"/>
      <c r="C331" s="29"/>
      <c r="D331" s="29"/>
      <c r="E331" s="29"/>
      <c r="F331" s="29"/>
      <c r="G331" s="29"/>
      <c r="H331" s="29"/>
    </row>
    <row r="332" spans="2:8" x14ac:dyDescent="0.15">
      <c r="B332" s="29"/>
      <c r="C332" s="29"/>
      <c r="D332" s="29"/>
      <c r="E332" s="29"/>
      <c r="F332" s="29"/>
      <c r="G332" s="29"/>
      <c r="H332" s="29"/>
    </row>
    <row r="333" spans="2:8" x14ac:dyDescent="0.15">
      <c r="B333" s="29"/>
      <c r="C333" s="29"/>
      <c r="D333" s="29"/>
      <c r="E333" s="29"/>
      <c r="F333" s="29"/>
      <c r="G333" s="29"/>
      <c r="H333" s="29"/>
    </row>
    <row r="334" spans="2:8" x14ac:dyDescent="0.15">
      <c r="B334" s="29"/>
      <c r="C334" s="29"/>
      <c r="D334" s="29"/>
      <c r="E334" s="29"/>
      <c r="F334" s="29"/>
      <c r="G334" s="29"/>
      <c r="H334" s="29"/>
    </row>
    <row r="335" spans="2:8" x14ac:dyDescent="0.15">
      <c r="B335" s="29"/>
      <c r="C335" s="29"/>
      <c r="D335" s="29"/>
      <c r="E335" s="29"/>
      <c r="F335" s="29"/>
      <c r="G335" s="29"/>
      <c r="H335" s="29"/>
    </row>
    <row r="336" spans="2:8" x14ac:dyDescent="0.15">
      <c r="B336" s="29"/>
      <c r="C336" s="29"/>
      <c r="D336" s="29"/>
      <c r="E336" s="29"/>
      <c r="F336" s="29"/>
      <c r="G336" s="29"/>
      <c r="H336" s="29"/>
    </row>
    <row r="337" spans="2:8" x14ac:dyDescent="0.15">
      <c r="B337" s="29"/>
      <c r="C337" s="29"/>
      <c r="D337" s="29"/>
      <c r="E337" s="29"/>
      <c r="F337" s="29"/>
      <c r="G337" s="29"/>
      <c r="H337" s="29"/>
    </row>
    <row r="338" spans="2:8" x14ac:dyDescent="0.15">
      <c r="B338" s="29"/>
      <c r="C338" s="29"/>
      <c r="D338" s="29"/>
      <c r="E338" s="29"/>
      <c r="F338" s="29"/>
      <c r="G338" s="29"/>
      <c r="H338" s="29"/>
    </row>
    <row r="339" spans="2:8" x14ac:dyDescent="0.15">
      <c r="B339" s="29"/>
      <c r="C339" s="29"/>
      <c r="D339" s="29"/>
      <c r="E339" s="29"/>
      <c r="F339" s="29"/>
      <c r="G339" s="29"/>
      <c r="H339" s="29"/>
    </row>
    <row r="340" spans="2:8" x14ac:dyDescent="0.15">
      <c r="B340" s="29"/>
      <c r="C340" s="29"/>
      <c r="D340" s="29"/>
      <c r="E340" s="29"/>
      <c r="F340" s="29"/>
      <c r="G340" s="29"/>
      <c r="H340" s="29"/>
    </row>
    <row r="341" spans="2:8" x14ac:dyDescent="0.15">
      <c r="B341" s="29"/>
      <c r="C341" s="29"/>
      <c r="D341" s="29"/>
      <c r="E341" s="29"/>
      <c r="F341" s="29"/>
      <c r="G341" s="29"/>
      <c r="H341" s="29"/>
    </row>
    <row r="342" spans="2:8" x14ac:dyDescent="0.15">
      <c r="B342" s="29"/>
      <c r="C342" s="29"/>
      <c r="D342" s="29"/>
      <c r="E342" s="29"/>
      <c r="F342" s="29"/>
      <c r="G342" s="29"/>
      <c r="H342" s="29"/>
    </row>
    <row r="343" spans="2:8" x14ac:dyDescent="0.15">
      <c r="B343" s="29"/>
      <c r="C343" s="29"/>
      <c r="D343" s="29"/>
      <c r="E343" s="29"/>
      <c r="F343" s="29"/>
      <c r="G343" s="29"/>
      <c r="H343" s="29"/>
    </row>
    <row r="344" spans="2:8" x14ac:dyDescent="0.15">
      <c r="B344" s="29"/>
      <c r="C344" s="29"/>
      <c r="D344" s="29"/>
      <c r="E344" s="29"/>
      <c r="F344" s="29"/>
      <c r="G344" s="29"/>
      <c r="H344" s="29"/>
    </row>
    <row r="345" spans="2:8" x14ac:dyDescent="0.15">
      <c r="B345" s="29"/>
      <c r="C345" s="29"/>
      <c r="D345" s="29"/>
      <c r="E345" s="29"/>
      <c r="F345" s="29"/>
      <c r="G345" s="29"/>
      <c r="H345" s="29"/>
    </row>
    <row r="346" spans="2:8" x14ac:dyDescent="0.15">
      <c r="B346" s="29"/>
      <c r="C346" s="29"/>
      <c r="D346" s="29"/>
      <c r="E346" s="29"/>
      <c r="F346" s="29"/>
      <c r="G346" s="29"/>
      <c r="H346" s="29"/>
    </row>
    <row r="347" spans="2:8" x14ac:dyDescent="0.15">
      <c r="B347" s="29"/>
      <c r="C347" s="29"/>
      <c r="D347" s="29"/>
      <c r="E347" s="29"/>
      <c r="F347" s="29"/>
      <c r="G347" s="29"/>
      <c r="H347" s="29"/>
    </row>
    <row r="348" spans="2:8" x14ac:dyDescent="0.15">
      <c r="B348" s="29"/>
      <c r="C348" s="29"/>
      <c r="D348" s="29"/>
      <c r="E348" s="29"/>
      <c r="F348" s="29"/>
      <c r="G348" s="29"/>
      <c r="H348" s="29"/>
    </row>
    <row r="349" spans="2:8" x14ac:dyDescent="0.15">
      <c r="B349" s="29"/>
      <c r="C349" s="29"/>
      <c r="D349" s="29"/>
      <c r="E349" s="29"/>
      <c r="F349" s="29"/>
      <c r="G349" s="29"/>
      <c r="H349" s="29"/>
    </row>
    <row r="350" spans="2:8" x14ac:dyDescent="0.15">
      <c r="B350" s="29"/>
      <c r="C350" s="29"/>
      <c r="D350" s="29"/>
      <c r="E350" s="29"/>
      <c r="F350" s="29"/>
      <c r="G350" s="29"/>
      <c r="H350" s="29"/>
    </row>
    <row r="351" spans="2:8" x14ac:dyDescent="0.15">
      <c r="B351" s="29"/>
      <c r="C351" s="29"/>
      <c r="D351" s="29"/>
      <c r="E351" s="29"/>
      <c r="F351" s="29"/>
      <c r="G351" s="29"/>
      <c r="H351" s="29"/>
    </row>
    <row r="352" spans="2:8" x14ac:dyDescent="0.15">
      <c r="B352" s="29"/>
      <c r="C352" s="29"/>
      <c r="D352" s="29"/>
      <c r="E352" s="29"/>
      <c r="F352" s="29"/>
      <c r="G352" s="29"/>
      <c r="H352" s="29"/>
    </row>
    <row r="353" spans="2:8" x14ac:dyDescent="0.15">
      <c r="B353" s="29"/>
      <c r="C353" s="29"/>
      <c r="D353" s="29"/>
      <c r="E353" s="29"/>
      <c r="F353" s="29"/>
      <c r="G353" s="29"/>
      <c r="H353" s="29"/>
    </row>
    <row r="354" spans="2:8" x14ac:dyDescent="0.15">
      <c r="B354" s="29"/>
      <c r="C354" s="29"/>
      <c r="D354" s="29"/>
      <c r="E354" s="29"/>
      <c r="F354" s="29"/>
      <c r="G354" s="29"/>
      <c r="H354" s="29"/>
    </row>
    <row r="355" spans="2:8" x14ac:dyDescent="0.15">
      <c r="B355" s="29"/>
      <c r="C355" s="29"/>
      <c r="D355" s="29"/>
      <c r="E355" s="29"/>
      <c r="F355" s="29"/>
      <c r="G355" s="29"/>
      <c r="H355" s="29"/>
    </row>
    <row r="356" spans="2:8" x14ac:dyDescent="0.15">
      <c r="B356" s="29"/>
      <c r="C356" s="29"/>
      <c r="D356" s="29"/>
      <c r="E356" s="29"/>
      <c r="F356" s="29"/>
      <c r="G356" s="29"/>
      <c r="H356" s="29"/>
    </row>
    <row r="357" spans="2:8" x14ac:dyDescent="0.15">
      <c r="B357" s="29"/>
      <c r="C357" s="29"/>
      <c r="D357" s="29"/>
      <c r="E357" s="29"/>
      <c r="F357" s="29"/>
      <c r="G357" s="29"/>
      <c r="H357" s="29"/>
    </row>
    <row r="358" spans="2:8" x14ac:dyDescent="0.15">
      <c r="B358" s="29"/>
      <c r="C358" s="29"/>
      <c r="D358" s="29"/>
      <c r="E358" s="29"/>
      <c r="F358" s="29"/>
      <c r="G358" s="29"/>
      <c r="H358" s="29"/>
    </row>
    <row r="359" spans="2:8" x14ac:dyDescent="0.15">
      <c r="B359" s="29"/>
      <c r="C359" s="29"/>
      <c r="D359" s="29"/>
      <c r="E359" s="29"/>
      <c r="F359" s="29"/>
      <c r="G359" s="29"/>
      <c r="H359" s="29"/>
    </row>
    <row r="360" spans="2:8" x14ac:dyDescent="0.15">
      <c r="B360" s="29"/>
      <c r="C360" s="29"/>
      <c r="D360" s="29"/>
      <c r="E360" s="29"/>
      <c r="F360" s="29"/>
      <c r="G360" s="29"/>
      <c r="H360" s="29"/>
    </row>
    <row r="361" spans="2:8" x14ac:dyDescent="0.15">
      <c r="B361" s="29"/>
      <c r="C361" s="29"/>
      <c r="D361" s="29"/>
      <c r="E361" s="29"/>
      <c r="F361" s="29"/>
      <c r="G361" s="29"/>
      <c r="H361" s="29"/>
    </row>
    <row r="362" spans="2:8" x14ac:dyDescent="0.15">
      <c r="B362" s="29"/>
      <c r="C362" s="29"/>
      <c r="D362" s="29"/>
      <c r="E362" s="29"/>
      <c r="F362" s="29"/>
      <c r="G362" s="29"/>
      <c r="H362" s="29"/>
    </row>
    <row r="363" spans="2:8" x14ac:dyDescent="0.15">
      <c r="B363" s="29"/>
      <c r="C363" s="29"/>
      <c r="D363" s="29"/>
      <c r="E363" s="29"/>
      <c r="F363" s="29"/>
      <c r="G363" s="29"/>
      <c r="H363" s="29"/>
    </row>
    <row r="364" spans="2:8" x14ac:dyDescent="0.15">
      <c r="B364" s="29"/>
      <c r="C364" s="29"/>
      <c r="D364" s="29"/>
      <c r="E364" s="29"/>
      <c r="F364" s="29"/>
      <c r="G364" s="29"/>
      <c r="H364" s="29"/>
    </row>
    <row r="365" spans="2:8" x14ac:dyDescent="0.15">
      <c r="B365" s="29"/>
      <c r="C365" s="29"/>
      <c r="D365" s="29"/>
      <c r="E365" s="29"/>
      <c r="F365" s="29"/>
      <c r="G365" s="29"/>
      <c r="H365" s="29"/>
    </row>
    <row r="366" spans="2:8" x14ac:dyDescent="0.15">
      <c r="B366" s="29"/>
      <c r="C366" s="29"/>
      <c r="D366" s="29"/>
      <c r="E366" s="29"/>
      <c r="F366" s="29"/>
      <c r="G366" s="29"/>
      <c r="H366" s="29"/>
    </row>
    <row r="367" spans="2:8" x14ac:dyDescent="0.15">
      <c r="B367" s="29"/>
      <c r="C367" s="29"/>
      <c r="D367" s="29"/>
      <c r="E367" s="29"/>
      <c r="F367" s="29"/>
      <c r="G367" s="29"/>
      <c r="H367" s="29"/>
    </row>
    <row r="368" spans="2:8" x14ac:dyDescent="0.15">
      <c r="B368" s="29"/>
      <c r="C368" s="29"/>
      <c r="D368" s="29"/>
      <c r="E368" s="29"/>
      <c r="F368" s="29"/>
      <c r="G368" s="29"/>
      <c r="H368" s="29"/>
    </row>
    <row r="369" spans="2:8" x14ac:dyDescent="0.15">
      <c r="B369" s="29"/>
      <c r="C369" s="29"/>
      <c r="D369" s="29"/>
      <c r="E369" s="29"/>
      <c r="F369" s="29"/>
      <c r="G369" s="29"/>
      <c r="H369" s="29"/>
    </row>
    <row r="370" spans="2:8" x14ac:dyDescent="0.15">
      <c r="B370" s="29"/>
      <c r="C370" s="29"/>
      <c r="D370" s="29"/>
      <c r="E370" s="29"/>
      <c r="F370" s="29"/>
      <c r="G370" s="29"/>
      <c r="H370" s="29"/>
    </row>
    <row r="371" spans="2:8" x14ac:dyDescent="0.15">
      <c r="B371" s="29"/>
      <c r="C371" s="29"/>
      <c r="D371" s="29"/>
      <c r="E371" s="29"/>
      <c r="F371" s="29"/>
      <c r="G371" s="29"/>
      <c r="H371" s="29"/>
    </row>
    <row r="372" spans="2:8" x14ac:dyDescent="0.15">
      <c r="B372" s="29"/>
      <c r="C372" s="29"/>
      <c r="D372" s="29"/>
      <c r="E372" s="29"/>
      <c r="F372" s="29"/>
      <c r="G372" s="29"/>
      <c r="H372" s="29"/>
    </row>
    <row r="373" spans="2:8" x14ac:dyDescent="0.15">
      <c r="B373" s="29"/>
      <c r="C373" s="29"/>
      <c r="D373" s="29"/>
      <c r="E373" s="29"/>
      <c r="F373" s="29"/>
      <c r="G373" s="29"/>
      <c r="H373" s="29"/>
    </row>
    <row r="374" spans="2:8" x14ac:dyDescent="0.15">
      <c r="B374" s="29"/>
      <c r="C374" s="29"/>
      <c r="D374" s="29"/>
      <c r="E374" s="29"/>
      <c r="F374" s="29"/>
      <c r="G374" s="29"/>
      <c r="H374" s="29"/>
    </row>
    <row r="375" spans="2:8" x14ac:dyDescent="0.15">
      <c r="B375" s="29"/>
      <c r="C375" s="29"/>
      <c r="D375" s="29"/>
      <c r="E375" s="29"/>
      <c r="F375" s="29"/>
      <c r="G375" s="29"/>
      <c r="H375" s="29"/>
    </row>
    <row r="376" spans="2:8" x14ac:dyDescent="0.15">
      <c r="B376" s="29"/>
      <c r="C376" s="29"/>
      <c r="D376" s="29"/>
      <c r="E376" s="29"/>
      <c r="F376" s="29"/>
      <c r="G376" s="29"/>
      <c r="H376" s="29"/>
    </row>
    <row r="377" spans="2:8" x14ac:dyDescent="0.15">
      <c r="B377" s="29"/>
      <c r="C377" s="29"/>
      <c r="D377" s="29"/>
      <c r="E377" s="29"/>
      <c r="F377" s="29"/>
      <c r="G377" s="29"/>
      <c r="H377" s="29"/>
    </row>
    <row r="378" spans="2:8" x14ac:dyDescent="0.15">
      <c r="B378" s="29"/>
      <c r="C378" s="29"/>
      <c r="D378" s="29"/>
      <c r="E378" s="29"/>
      <c r="F378" s="29"/>
      <c r="G378" s="29"/>
      <c r="H378" s="29"/>
    </row>
    <row r="379" spans="2:8" x14ac:dyDescent="0.15">
      <c r="B379" s="29"/>
      <c r="C379" s="29"/>
      <c r="D379" s="29"/>
      <c r="E379" s="29"/>
      <c r="F379" s="29"/>
      <c r="G379" s="29"/>
      <c r="H379" s="29"/>
    </row>
    <row r="380" spans="2:8" x14ac:dyDescent="0.15">
      <c r="B380" s="29"/>
      <c r="C380" s="29"/>
      <c r="D380" s="29"/>
      <c r="E380" s="29"/>
      <c r="F380" s="29"/>
      <c r="G380" s="29"/>
      <c r="H380" s="29"/>
    </row>
    <row r="381" spans="2:8" x14ac:dyDescent="0.15">
      <c r="B381" s="29"/>
      <c r="C381" s="29"/>
      <c r="D381" s="29"/>
      <c r="E381" s="29"/>
      <c r="F381" s="29"/>
      <c r="G381" s="29"/>
      <c r="H381" s="29"/>
    </row>
    <row r="382" spans="2:8" x14ac:dyDescent="0.15">
      <c r="B382" s="29"/>
      <c r="C382" s="29"/>
      <c r="D382" s="29"/>
      <c r="E382" s="29"/>
      <c r="F382" s="29"/>
      <c r="G382" s="29"/>
      <c r="H382" s="29"/>
    </row>
    <row r="383" spans="2:8" x14ac:dyDescent="0.15">
      <c r="B383" s="29"/>
      <c r="C383" s="29"/>
      <c r="D383" s="29"/>
      <c r="E383" s="29"/>
      <c r="F383" s="29"/>
      <c r="G383" s="29"/>
      <c r="H383" s="29"/>
    </row>
    <row r="384" spans="2:8" x14ac:dyDescent="0.15">
      <c r="B384" s="29"/>
      <c r="C384" s="29"/>
      <c r="D384" s="29"/>
      <c r="E384" s="29"/>
      <c r="F384" s="29"/>
      <c r="G384" s="29"/>
      <c r="H384" s="29"/>
    </row>
    <row r="385" spans="2:8" x14ac:dyDescent="0.15">
      <c r="B385" s="29"/>
      <c r="C385" s="29"/>
      <c r="D385" s="29"/>
      <c r="E385" s="29"/>
      <c r="F385" s="29"/>
      <c r="G385" s="29"/>
      <c r="H385" s="29"/>
    </row>
    <row r="386" spans="2:8" x14ac:dyDescent="0.15">
      <c r="B386" s="29"/>
      <c r="C386" s="29"/>
      <c r="D386" s="29"/>
      <c r="E386" s="29"/>
      <c r="F386" s="29"/>
      <c r="G386" s="29"/>
      <c r="H386" s="29"/>
    </row>
    <row r="387" spans="2:8" x14ac:dyDescent="0.15">
      <c r="B387" s="29"/>
      <c r="C387" s="29"/>
      <c r="D387" s="29"/>
      <c r="E387" s="29"/>
      <c r="F387" s="29"/>
      <c r="G387" s="29"/>
      <c r="H387" s="29"/>
    </row>
    <row r="388" spans="2:8" x14ac:dyDescent="0.15">
      <c r="B388" s="29"/>
      <c r="C388" s="29"/>
      <c r="D388" s="29"/>
      <c r="E388" s="29"/>
      <c r="F388" s="29"/>
      <c r="G388" s="29"/>
      <c r="H388" s="29"/>
    </row>
    <row r="389" spans="2:8" x14ac:dyDescent="0.15">
      <c r="B389" s="29"/>
      <c r="C389" s="29"/>
      <c r="D389" s="29"/>
      <c r="E389" s="29"/>
      <c r="F389" s="29"/>
      <c r="G389" s="29"/>
      <c r="H389" s="29"/>
    </row>
    <row r="390" spans="2:8" x14ac:dyDescent="0.15">
      <c r="B390" s="29"/>
      <c r="C390" s="29"/>
      <c r="D390" s="29"/>
      <c r="E390" s="29"/>
      <c r="F390" s="29"/>
      <c r="G390" s="29"/>
      <c r="H390" s="29"/>
    </row>
    <row r="391" spans="2:8" x14ac:dyDescent="0.15">
      <c r="B391" s="29"/>
      <c r="C391" s="29"/>
      <c r="D391" s="29"/>
      <c r="E391" s="29"/>
      <c r="F391" s="29"/>
      <c r="G391" s="29"/>
      <c r="H391" s="29"/>
    </row>
    <row r="392" spans="2:8" x14ac:dyDescent="0.15">
      <c r="B392" s="29"/>
      <c r="C392" s="29"/>
      <c r="D392" s="29"/>
      <c r="E392" s="29"/>
      <c r="F392" s="29"/>
      <c r="G392" s="29"/>
      <c r="H392" s="29"/>
    </row>
    <row r="393" spans="2:8" x14ac:dyDescent="0.15">
      <c r="B393" s="29"/>
      <c r="C393" s="29"/>
      <c r="D393" s="29"/>
      <c r="E393" s="29"/>
      <c r="F393" s="29"/>
      <c r="G393" s="29"/>
      <c r="H393" s="29"/>
    </row>
    <row r="394" spans="2:8" x14ac:dyDescent="0.15">
      <c r="B394" s="29"/>
      <c r="C394" s="29"/>
      <c r="D394" s="29"/>
      <c r="E394" s="29"/>
      <c r="F394" s="29"/>
      <c r="G394" s="29"/>
      <c r="H394" s="29"/>
    </row>
    <row r="395" spans="2:8" x14ac:dyDescent="0.15">
      <c r="B395" s="29"/>
      <c r="C395" s="29"/>
      <c r="D395" s="29"/>
      <c r="E395" s="29"/>
      <c r="F395" s="29"/>
      <c r="G395" s="29"/>
      <c r="H395" s="29"/>
    </row>
    <row r="396" spans="2:8" x14ac:dyDescent="0.15">
      <c r="B396" s="29"/>
      <c r="C396" s="29"/>
      <c r="D396" s="29"/>
      <c r="E396" s="29"/>
      <c r="F396" s="29"/>
      <c r="G396" s="29"/>
      <c r="H396" s="29"/>
    </row>
    <row r="397" spans="2:8" x14ac:dyDescent="0.15">
      <c r="B397" s="29"/>
      <c r="C397" s="29"/>
      <c r="D397" s="29"/>
      <c r="E397" s="29"/>
      <c r="F397" s="29"/>
      <c r="G397" s="29"/>
      <c r="H397" s="29"/>
    </row>
    <row r="398" spans="2:8" x14ac:dyDescent="0.15">
      <c r="B398" s="29"/>
      <c r="C398" s="29"/>
      <c r="D398" s="29"/>
      <c r="E398" s="29"/>
      <c r="F398" s="29"/>
      <c r="G398" s="29"/>
      <c r="H398" s="29"/>
    </row>
    <row r="399" spans="2:8" x14ac:dyDescent="0.15">
      <c r="B399" s="29"/>
      <c r="C399" s="29"/>
      <c r="D399" s="29"/>
      <c r="E399" s="29"/>
      <c r="F399" s="29"/>
      <c r="G399" s="29"/>
      <c r="H399" s="29"/>
    </row>
    <row r="400" spans="2:8" x14ac:dyDescent="0.15">
      <c r="B400" s="29"/>
      <c r="C400" s="29"/>
      <c r="D400" s="29"/>
      <c r="E400" s="29"/>
      <c r="F400" s="29"/>
      <c r="G400" s="29"/>
      <c r="H400" s="29"/>
    </row>
    <row r="401" spans="2:8" x14ac:dyDescent="0.15">
      <c r="B401" s="29"/>
      <c r="C401" s="29"/>
      <c r="D401" s="29"/>
      <c r="E401" s="29"/>
      <c r="F401" s="29"/>
      <c r="G401" s="29"/>
      <c r="H401" s="29"/>
    </row>
    <row r="402" spans="2:8" x14ac:dyDescent="0.15">
      <c r="B402" s="29"/>
      <c r="C402" s="29"/>
      <c r="D402" s="29"/>
      <c r="E402" s="29"/>
      <c r="F402" s="29"/>
      <c r="G402" s="29"/>
      <c r="H402" s="29"/>
    </row>
    <row r="403" spans="2:8" x14ac:dyDescent="0.15">
      <c r="B403" s="29"/>
      <c r="C403" s="29"/>
      <c r="D403" s="29"/>
      <c r="E403" s="29"/>
      <c r="F403" s="29"/>
      <c r="G403" s="29"/>
      <c r="H403" s="29"/>
    </row>
    <row r="404" spans="2:8" x14ac:dyDescent="0.15">
      <c r="B404" s="29"/>
      <c r="C404" s="29"/>
      <c r="D404" s="29"/>
      <c r="E404" s="29"/>
      <c r="F404" s="29"/>
      <c r="G404" s="29"/>
      <c r="H404" s="29"/>
    </row>
    <row r="405" spans="2:8" x14ac:dyDescent="0.15">
      <c r="B405" s="29"/>
      <c r="C405" s="29"/>
      <c r="D405" s="29"/>
      <c r="E405" s="29"/>
      <c r="F405" s="29"/>
      <c r="G405" s="29"/>
      <c r="H405" s="29"/>
    </row>
    <row r="406" spans="2:8" x14ac:dyDescent="0.15">
      <c r="B406" s="29"/>
      <c r="C406" s="29"/>
      <c r="D406" s="29"/>
      <c r="E406" s="29"/>
      <c r="F406" s="29"/>
      <c r="G406" s="29"/>
      <c r="H406" s="29"/>
    </row>
    <row r="407" spans="2:8" x14ac:dyDescent="0.15">
      <c r="B407" s="29"/>
      <c r="C407" s="29"/>
      <c r="D407" s="29"/>
      <c r="E407" s="29"/>
      <c r="F407" s="29"/>
      <c r="G407" s="29"/>
      <c r="H407" s="29"/>
    </row>
    <row r="408" spans="2:8" x14ac:dyDescent="0.15">
      <c r="B408" s="29"/>
      <c r="C408" s="29"/>
      <c r="D408" s="29"/>
      <c r="E408" s="29"/>
      <c r="F408" s="29"/>
      <c r="G408" s="29"/>
      <c r="H408" s="29"/>
    </row>
    <row r="409" spans="2:8" x14ac:dyDescent="0.15">
      <c r="B409" s="29"/>
      <c r="C409" s="29"/>
      <c r="D409" s="29"/>
      <c r="E409" s="29"/>
      <c r="F409" s="29"/>
      <c r="G409" s="29"/>
      <c r="H409" s="29"/>
    </row>
    <row r="410" spans="2:8" x14ac:dyDescent="0.15">
      <c r="B410" s="29"/>
      <c r="C410" s="29"/>
      <c r="D410" s="29"/>
      <c r="E410" s="29"/>
      <c r="F410" s="29"/>
      <c r="G410" s="29"/>
      <c r="H410" s="29"/>
    </row>
    <row r="411" spans="2:8" x14ac:dyDescent="0.15">
      <c r="B411" s="29"/>
      <c r="C411" s="29"/>
      <c r="D411" s="29"/>
      <c r="E411" s="29"/>
      <c r="F411" s="29"/>
      <c r="G411" s="29"/>
      <c r="H411" s="29"/>
    </row>
    <row r="412" spans="2:8" x14ac:dyDescent="0.15">
      <c r="B412" s="29"/>
      <c r="C412" s="29"/>
      <c r="D412" s="29"/>
      <c r="E412" s="29"/>
      <c r="F412" s="29"/>
      <c r="G412" s="29"/>
      <c r="H412" s="29"/>
    </row>
    <row r="413" spans="2:8" x14ac:dyDescent="0.15">
      <c r="B413" s="29"/>
      <c r="C413" s="29"/>
      <c r="D413" s="29"/>
      <c r="E413" s="29"/>
      <c r="F413" s="29"/>
      <c r="G413" s="29"/>
      <c r="H413" s="29"/>
    </row>
    <row r="414" spans="2:8" x14ac:dyDescent="0.15">
      <c r="B414" s="29"/>
      <c r="C414" s="29"/>
      <c r="D414" s="29"/>
      <c r="E414" s="29"/>
      <c r="F414" s="29"/>
      <c r="G414" s="29"/>
      <c r="H414" s="29"/>
    </row>
    <row r="415" spans="2:8" x14ac:dyDescent="0.15">
      <c r="B415" s="29"/>
      <c r="C415" s="29"/>
      <c r="D415" s="29"/>
      <c r="E415" s="29"/>
      <c r="F415" s="29"/>
      <c r="G415" s="29"/>
      <c r="H415" s="29"/>
    </row>
    <row r="416" spans="2:8" x14ac:dyDescent="0.15">
      <c r="B416" s="29"/>
      <c r="C416" s="29"/>
      <c r="D416" s="29"/>
      <c r="E416" s="29"/>
      <c r="F416" s="29"/>
      <c r="G416" s="29"/>
      <c r="H416" s="29"/>
    </row>
    <row r="417" spans="2:8" x14ac:dyDescent="0.15">
      <c r="B417" s="29"/>
      <c r="C417" s="29"/>
      <c r="D417" s="29"/>
      <c r="E417" s="29"/>
      <c r="F417" s="29"/>
      <c r="G417" s="29"/>
      <c r="H417" s="29"/>
    </row>
    <row r="418" spans="2:8" x14ac:dyDescent="0.15">
      <c r="B418" s="29"/>
      <c r="C418" s="29"/>
      <c r="D418" s="29"/>
      <c r="E418" s="29"/>
      <c r="F418" s="29"/>
      <c r="G418" s="29"/>
      <c r="H418" s="29"/>
    </row>
    <row r="419" spans="2:8" x14ac:dyDescent="0.15">
      <c r="B419" s="29"/>
      <c r="C419" s="29"/>
      <c r="D419" s="29"/>
      <c r="E419" s="29"/>
      <c r="F419" s="29"/>
      <c r="G419" s="29"/>
      <c r="H419" s="29"/>
    </row>
    <row r="420" spans="2:8" x14ac:dyDescent="0.15">
      <c r="B420" s="29"/>
      <c r="C420" s="29"/>
      <c r="D420" s="29"/>
      <c r="E420" s="29"/>
      <c r="F420" s="29"/>
      <c r="G420" s="29"/>
      <c r="H420" s="29"/>
    </row>
    <row r="421" spans="2:8" x14ac:dyDescent="0.15">
      <c r="B421" s="29"/>
      <c r="C421" s="29"/>
      <c r="D421" s="29"/>
      <c r="E421" s="29"/>
      <c r="F421" s="29"/>
      <c r="G421" s="29"/>
      <c r="H421" s="29"/>
    </row>
    <row r="422" spans="2:8" x14ac:dyDescent="0.15">
      <c r="B422" s="29"/>
      <c r="C422" s="29"/>
      <c r="D422" s="29"/>
      <c r="E422" s="29"/>
      <c r="F422" s="29"/>
      <c r="G422" s="29"/>
      <c r="H422" s="29"/>
    </row>
    <row r="423" spans="2:8" x14ac:dyDescent="0.15">
      <c r="B423" s="29"/>
      <c r="C423" s="29"/>
      <c r="D423" s="29"/>
      <c r="E423" s="29"/>
      <c r="F423" s="29"/>
      <c r="G423" s="29"/>
      <c r="H423" s="29"/>
    </row>
    <row r="424" spans="2:8" x14ac:dyDescent="0.15">
      <c r="B424" s="29"/>
      <c r="C424" s="29"/>
      <c r="D424" s="29"/>
      <c r="E424" s="29"/>
      <c r="F424" s="29"/>
      <c r="G424" s="29"/>
      <c r="H424" s="29"/>
    </row>
    <row r="425" spans="2:8" x14ac:dyDescent="0.15">
      <c r="B425" s="29"/>
      <c r="C425" s="29"/>
      <c r="D425" s="29"/>
      <c r="E425" s="29"/>
      <c r="F425" s="29"/>
      <c r="G425" s="29"/>
      <c r="H425" s="29"/>
    </row>
    <row r="426" spans="2:8" x14ac:dyDescent="0.15">
      <c r="B426" s="29"/>
      <c r="C426" s="29"/>
      <c r="D426" s="29"/>
      <c r="E426" s="29"/>
      <c r="F426" s="29"/>
      <c r="G426" s="29"/>
      <c r="H426" s="29"/>
    </row>
    <row r="427" spans="2:8" x14ac:dyDescent="0.15">
      <c r="B427" s="29"/>
      <c r="C427" s="29"/>
      <c r="D427" s="29"/>
      <c r="E427" s="29"/>
      <c r="F427" s="29"/>
      <c r="G427" s="29"/>
      <c r="H427" s="29"/>
    </row>
    <row r="428" spans="2:8" x14ac:dyDescent="0.15">
      <c r="B428" s="29"/>
      <c r="C428" s="29"/>
      <c r="D428" s="29"/>
      <c r="E428" s="29"/>
      <c r="F428" s="29"/>
      <c r="G428" s="29"/>
      <c r="H428" s="29"/>
    </row>
    <row r="429" spans="2:8" x14ac:dyDescent="0.15">
      <c r="B429" s="29"/>
      <c r="C429" s="29"/>
      <c r="D429" s="29"/>
      <c r="E429" s="29"/>
      <c r="F429" s="29"/>
      <c r="G429" s="29"/>
      <c r="H429" s="29"/>
    </row>
    <row r="430" spans="2:8" x14ac:dyDescent="0.15">
      <c r="B430" s="29"/>
      <c r="C430" s="29"/>
      <c r="D430" s="29"/>
      <c r="E430" s="29"/>
      <c r="F430" s="29"/>
      <c r="G430" s="29"/>
      <c r="H430" s="29"/>
    </row>
    <row r="431" spans="2:8" x14ac:dyDescent="0.15">
      <c r="B431" s="29"/>
      <c r="C431" s="29"/>
      <c r="D431" s="29"/>
      <c r="E431" s="29"/>
      <c r="F431" s="29"/>
      <c r="G431" s="29"/>
      <c r="H431" s="29"/>
    </row>
    <row r="432" spans="2:8" x14ac:dyDescent="0.15">
      <c r="B432" s="29"/>
      <c r="C432" s="29"/>
      <c r="D432" s="29"/>
      <c r="E432" s="29"/>
      <c r="F432" s="29"/>
      <c r="G432" s="29"/>
      <c r="H432" s="29"/>
    </row>
    <row r="433" spans="2:8" x14ac:dyDescent="0.15">
      <c r="B433" s="29"/>
      <c r="C433" s="29"/>
      <c r="D433" s="29"/>
      <c r="E433" s="29"/>
      <c r="F433" s="29"/>
      <c r="G433" s="29"/>
      <c r="H433" s="29"/>
    </row>
    <row r="434" spans="2:8" x14ac:dyDescent="0.15">
      <c r="B434" s="29"/>
      <c r="C434" s="29"/>
      <c r="D434" s="29"/>
      <c r="E434" s="29"/>
      <c r="F434" s="29"/>
      <c r="G434" s="29"/>
      <c r="H434" s="29"/>
    </row>
    <row r="435" spans="2:8" x14ac:dyDescent="0.15">
      <c r="B435" s="29"/>
      <c r="C435" s="29"/>
      <c r="D435" s="29"/>
      <c r="E435" s="29"/>
      <c r="F435" s="29"/>
      <c r="G435" s="29"/>
      <c r="H435" s="29"/>
    </row>
    <row r="436" spans="2:8" x14ac:dyDescent="0.15">
      <c r="B436" s="29"/>
      <c r="C436" s="29"/>
      <c r="D436" s="29"/>
      <c r="E436" s="29"/>
      <c r="F436" s="29"/>
      <c r="G436" s="29"/>
      <c r="H436" s="29"/>
    </row>
    <row r="437" spans="2:8" x14ac:dyDescent="0.15">
      <c r="B437" s="29"/>
      <c r="C437" s="29"/>
      <c r="D437" s="29"/>
      <c r="E437" s="29"/>
      <c r="F437" s="29"/>
      <c r="G437" s="29"/>
      <c r="H437" s="29"/>
    </row>
    <row r="438" spans="2:8" x14ac:dyDescent="0.15">
      <c r="B438" s="29"/>
      <c r="C438" s="29"/>
      <c r="D438" s="29"/>
      <c r="E438" s="29"/>
      <c r="F438" s="29"/>
      <c r="G438" s="29"/>
      <c r="H438" s="29"/>
    </row>
    <row r="439" spans="2:8" x14ac:dyDescent="0.15">
      <c r="B439" s="29"/>
      <c r="C439" s="29"/>
      <c r="D439" s="29"/>
      <c r="E439" s="29"/>
      <c r="F439" s="29"/>
      <c r="G439" s="29"/>
      <c r="H439" s="29"/>
    </row>
    <row r="440" spans="2:8" x14ac:dyDescent="0.15">
      <c r="B440" s="29"/>
      <c r="C440" s="29"/>
      <c r="D440" s="29"/>
      <c r="E440" s="29"/>
      <c r="F440" s="29"/>
      <c r="G440" s="29"/>
      <c r="H440" s="29"/>
    </row>
    <row r="441" spans="2:8" x14ac:dyDescent="0.15">
      <c r="B441" s="29"/>
      <c r="C441" s="29"/>
      <c r="D441" s="29"/>
      <c r="E441" s="29"/>
      <c r="F441" s="29"/>
      <c r="G441" s="29"/>
      <c r="H441" s="29"/>
    </row>
    <row r="442" spans="2:8" x14ac:dyDescent="0.15">
      <c r="B442" s="29"/>
      <c r="C442" s="29"/>
      <c r="D442" s="29"/>
      <c r="E442" s="29"/>
      <c r="F442" s="29"/>
      <c r="G442" s="29"/>
      <c r="H442" s="29"/>
    </row>
    <row r="443" spans="2:8" x14ac:dyDescent="0.15">
      <c r="B443" s="29"/>
      <c r="C443" s="29"/>
      <c r="D443" s="29"/>
      <c r="E443" s="29"/>
      <c r="F443" s="29"/>
      <c r="G443" s="29"/>
      <c r="H443" s="29"/>
    </row>
    <row r="444" spans="2:8" x14ac:dyDescent="0.15">
      <c r="B444" s="29"/>
      <c r="C444" s="29"/>
      <c r="D444" s="29"/>
      <c r="E444" s="29"/>
      <c r="F444" s="29"/>
      <c r="G444" s="29"/>
      <c r="H444" s="29"/>
    </row>
    <row r="445" spans="2:8" x14ac:dyDescent="0.15">
      <c r="B445" s="29"/>
      <c r="C445" s="29"/>
      <c r="D445" s="29"/>
      <c r="E445" s="29"/>
      <c r="F445" s="29"/>
      <c r="G445" s="29"/>
      <c r="H445" s="29"/>
    </row>
    <row r="446" spans="2:8" x14ac:dyDescent="0.15">
      <c r="B446" s="29"/>
      <c r="C446" s="29"/>
      <c r="D446" s="29"/>
      <c r="E446" s="29"/>
      <c r="F446" s="29"/>
      <c r="G446" s="29"/>
      <c r="H446" s="29"/>
    </row>
    <row r="447" spans="2:8" x14ac:dyDescent="0.15">
      <c r="B447" s="29"/>
      <c r="C447" s="29"/>
      <c r="D447" s="29"/>
      <c r="E447" s="29"/>
      <c r="F447" s="29"/>
      <c r="G447" s="29"/>
      <c r="H447" s="29"/>
    </row>
    <row r="448" spans="2:8" x14ac:dyDescent="0.15">
      <c r="B448" s="29"/>
      <c r="C448" s="29"/>
      <c r="D448" s="29"/>
      <c r="E448" s="29"/>
      <c r="F448" s="29"/>
      <c r="G448" s="29"/>
      <c r="H448" s="29"/>
    </row>
    <row r="449" spans="2:8" x14ac:dyDescent="0.15">
      <c r="B449" s="29"/>
      <c r="C449" s="29"/>
      <c r="D449" s="29"/>
      <c r="E449" s="29"/>
      <c r="F449" s="29"/>
      <c r="G449" s="29"/>
      <c r="H449" s="29"/>
    </row>
    <row r="450" spans="2:8" x14ac:dyDescent="0.15">
      <c r="B450" s="29"/>
      <c r="C450" s="29"/>
      <c r="D450" s="29"/>
      <c r="E450" s="29"/>
      <c r="F450" s="29"/>
      <c r="G450" s="29"/>
      <c r="H450" s="29"/>
    </row>
    <row r="451" spans="2:8" x14ac:dyDescent="0.15">
      <c r="B451" s="29"/>
      <c r="C451" s="29"/>
      <c r="D451" s="29"/>
      <c r="E451" s="29"/>
      <c r="F451" s="29"/>
      <c r="G451" s="29"/>
      <c r="H451" s="29"/>
    </row>
    <row r="452" spans="2:8" x14ac:dyDescent="0.15">
      <c r="B452" s="29"/>
      <c r="C452" s="29"/>
      <c r="D452" s="29"/>
      <c r="E452" s="29"/>
      <c r="F452" s="29"/>
      <c r="G452" s="29"/>
      <c r="H452" s="29"/>
    </row>
    <row r="453" spans="2:8" x14ac:dyDescent="0.15">
      <c r="B453" s="29"/>
      <c r="C453" s="29"/>
      <c r="D453" s="29"/>
      <c r="E453" s="29"/>
      <c r="F453" s="29"/>
      <c r="G453" s="29"/>
      <c r="H453" s="29"/>
    </row>
    <row r="454" spans="2:8" x14ac:dyDescent="0.15">
      <c r="B454" s="29"/>
      <c r="C454" s="29"/>
      <c r="D454" s="29"/>
      <c r="E454" s="29"/>
      <c r="F454" s="29"/>
      <c r="G454" s="29"/>
      <c r="H454" s="29"/>
    </row>
    <row r="455" spans="2:8" x14ac:dyDescent="0.15">
      <c r="B455" s="29"/>
      <c r="C455" s="29"/>
      <c r="D455" s="29"/>
      <c r="E455" s="29"/>
      <c r="F455" s="29"/>
      <c r="G455" s="29"/>
      <c r="H455" s="29"/>
    </row>
    <row r="456" spans="2:8" x14ac:dyDescent="0.15">
      <c r="B456" s="29"/>
      <c r="C456" s="29"/>
      <c r="D456" s="29"/>
      <c r="E456" s="29"/>
      <c r="F456" s="29"/>
      <c r="G456" s="29"/>
      <c r="H456" s="29"/>
    </row>
    <row r="457" spans="2:8" x14ac:dyDescent="0.15">
      <c r="B457" s="29"/>
      <c r="C457" s="29"/>
      <c r="D457" s="29"/>
      <c r="E457" s="29"/>
      <c r="F457" s="29"/>
      <c r="G457" s="29"/>
      <c r="H457" s="29"/>
    </row>
    <row r="458" spans="2:8" x14ac:dyDescent="0.15">
      <c r="B458" s="29"/>
      <c r="C458" s="29"/>
      <c r="D458" s="29"/>
      <c r="E458" s="29"/>
      <c r="F458" s="29"/>
      <c r="G458" s="29"/>
      <c r="H458" s="29"/>
    </row>
    <row r="459" spans="2:8" x14ac:dyDescent="0.15">
      <c r="B459" s="29"/>
      <c r="C459" s="29"/>
      <c r="D459" s="29"/>
      <c r="E459" s="29"/>
      <c r="F459" s="29"/>
      <c r="G459" s="29"/>
      <c r="H459" s="29"/>
    </row>
    <row r="460" spans="2:8" x14ac:dyDescent="0.15">
      <c r="B460" s="29"/>
      <c r="C460" s="29"/>
      <c r="D460" s="29"/>
      <c r="E460" s="29"/>
      <c r="F460" s="29"/>
      <c r="G460" s="29"/>
      <c r="H460" s="29"/>
    </row>
    <row r="461" spans="2:8" x14ac:dyDescent="0.15">
      <c r="B461" s="29"/>
      <c r="C461" s="29"/>
      <c r="D461" s="29"/>
      <c r="E461" s="29"/>
      <c r="F461" s="29"/>
      <c r="G461" s="29"/>
      <c r="H461" s="29"/>
    </row>
    <row r="462" spans="2:8" x14ac:dyDescent="0.15">
      <c r="B462" s="29"/>
      <c r="C462" s="29"/>
      <c r="D462" s="29"/>
      <c r="E462" s="29"/>
      <c r="F462" s="29"/>
      <c r="G462" s="29"/>
      <c r="H462" s="29"/>
    </row>
    <row r="463" spans="2:8" x14ac:dyDescent="0.15">
      <c r="B463" s="29"/>
      <c r="C463" s="29"/>
      <c r="D463" s="29"/>
      <c r="E463" s="29"/>
      <c r="F463" s="29"/>
      <c r="G463" s="29"/>
      <c r="H463" s="29"/>
    </row>
    <row r="464" spans="2:8" x14ac:dyDescent="0.15">
      <c r="B464" s="29"/>
      <c r="C464" s="29"/>
      <c r="D464" s="29"/>
      <c r="E464" s="29"/>
      <c r="F464" s="29"/>
      <c r="G464" s="29"/>
      <c r="H464" s="29"/>
    </row>
    <row r="465" spans="2:8" x14ac:dyDescent="0.15">
      <c r="B465" s="29"/>
      <c r="C465" s="29"/>
      <c r="D465" s="29"/>
      <c r="E465" s="29"/>
      <c r="F465" s="29"/>
      <c r="G465" s="29"/>
      <c r="H465" s="29"/>
    </row>
    <row r="466" spans="2:8" x14ac:dyDescent="0.15">
      <c r="B466" s="29"/>
      <c r="C466" s="29"/>
      <c r="D466" s="29"/>
      <c r="E466" s="29"/>
      <c r="F466" s="29"/>
      <c r="G466" s="29"/>
      <c r="H466" s="29"/>
    </row>
    <row r="467" spans="2:8" x14ac:dyDescent="0.15">
      <c r="B467" s="29"/>
      <c r="C467" s="29"/>
      <c r="D467" s="29"/>
      <c r="E467" s="29"/>
      <c r="F467" s="29"/>
      <c r="G467" s="29"/>
      <c r="H467" s="29"/>
    </row>
    <row r="468" spans="2:8" x14ac:dyDescent="0.15">
      <c r="B468" s="29"/>
      <c r="C468" s="29"/>
      <c r="D468" s="29"/>
      <c r="E468" s="29"/>
      <c r="F468" s="29"/>
      <c r="G468" s="29"/>
      <c r="H468" s="29"/>
    </row>
    <row r="469" spans="2:8" x14ac:dyDescent="0.15">
      <c r="B469" s="29"/>
      <c r="C469" s="29"/>
      <c r="D469" s="29"/>
      <c r="E469" s="29"/>
      <c r="F469" s="29"/>
      <c r="G469" s="29"/>
      <c r="H469" s="29"/>
    </row>
    <row r="470" spans="2:8" x14ac:dyDescent="0.15">
      <c r="B470" s="29"/>
      <c r="C470" s="29"/>
      <c r="D470" s="29"/>
      <c r="E470" s="29"/>
      <c r="F470" s="29"/>
      <c r="G470" s="29"/>
      <c r="H470" s="29"/>
    </row>
    <row r="471" spans="2:8" x14ac:dyDescent="0.15">
      <c r="B471" s="29"/>
      <c r="C471" s="29"/>
      <c r="D471" s="29"/>
      <c r="E471" s="29"/>
      <c r="F471" s="29"/>
      <c r="G471" s="29"/>
      <c r="H471" s="29"/>
    </row>
    <row r="472" spans="2:8" x14ac:dyDescent="0.15">
      <c r="B472" s="29"/>
      <c r="C472" s="29"/>
      <c r="D472" s="29"/>
      <c r="E472" s="29"/>
      <c r="F472" s="29"/>
      <c r="G472" s="29"/>
      <c r="H472" s="29"/>
    </row>
    <row r="473" spans="2:8" x14ac:dyDescent="0.15">
      <c r="B473" s="29"/>
      <c r="C473" s="29"/>
      <c r="D473" s="29"/>
      <c r="E473" s="29"/>
      <c r="F473" s="29"/>
      <c r="G473" s="29"/>
      <c r="H473" s="29"/>
    </row>
    <row r="474" spans="2:8" x14ac:dyDescent="0.15">
      <c r="B474" s="29"/>
      <c r="C474" s="29"/>
      <c r="D474" s="29"/>
      <c r="E474" s="29"/>
      <c r="F474" s="29"/>
      <c r="G474" s="29"/>
      <c r="H474" s="29"/>
    </row>
    <row r="475" spans="2:8" x14ac:dyDescent="0.15">
      <c r="B475" s="29"/>
      <c r="C475" s="29"/>
      <c r="D475" s="29"/>
      <c r="E475" s="29"/>
      <c r="F475" s="29"/>
      <c r="G475" s="29"/>
      <c r="H475" s="29"/>
    </row>
    <row r="476" spans="2:8" x14ac:dyDescent="0.15">
      <c r="B476" s="29"/>
      <c r="C476" s="29"/>
      <c r="D476" s="29"/>
      <c r="E476" s="29"/>
      <c r="F476" s="29"/>
      <c r="G476" s="29"/>
      <c r="H476" s="29"/>
    </row>
    <row r="477" spans="2:8" x14ac:dyDescent="0.15">
      <c r="B477" s="29"/>
      <c r="C477" s="29"/>
      <c r="D477" s="29"/>
      <c r="E477" s="29"/>
      <c r="F477" s="29"/>
      <c r="G477" s="29"/>
      <c r="H477" s="29"/>
    </row>
    <row r="478" spans="2:8" x14ac:dyDescent="0.15">
      <c r="B478" s="29"/>
      <c r="C478" s="29"/>
      <c r="D478" s="29"/>
      <c r="E478" s="29"/>
      <c r="F478" s="29"/>
      <c r="G478" s="29"/>
      <c r="H478" s="29"/>
    </row>
    <row r="479" spans="2:8" x14ac:dyDescent="0.15">
      <c r="B479" s="29"/>
      <c r="C479" s="29"/>
      <c r="D479" s="29"/>
      <c r="E479" s="29"/>
      <c r="F479" s="29"/>
      <c r="G479" s="29"/>
      <c r="H479" s="29"/>
    </row>
    <row r="480" spans="2:8" x14ac:dyDescent="0.15">
      <c r="B480" s="29"/>
      <c r="C480" s="29"/>
      <c r="D480" s="29"/>
      <c r="E480" s="29"/>
      <c r="F480" s="29"/>
      <c r="G480" s="29"/>
      <c r="H480" s="29"/>
    </row>
    <row r="481" spans="2:8" x14ac:dyDescent="0.15">
      <c r="B481" s="29"/>
      <c r="C481" s="29"/>
      <c r="D481" s="29"/>
      <c r="E481" s="29"/>
      <c r="F481" s="29"/>
      <c r="G481" s="29"/>
      <c r="H481" s="29"/>
    </row>
    <row r="482" spans="2:8" x14ac:dyDescent="0.15">
      <c r="B482" s="29"/>
      <c r="C482" s="29"/>
      <c r="D482" s="29"/>
      <c r="E482" s="29"/>
      <c r="F482" s="29"/>
      <c r="G482" s="29"/>
      <c r="H482" s="29"/>
    </row>
    <row r="483" spans="2:8" x14ac:dyDescent="0.15">
      <c r="B483" s="29"/>
      <c r="C483" s="29"/>
      <c r="D483" s="29"/>
      <c r="E483" s="29"/>
      <c r="F483" s="29"/>
      <c r="G483" s="29"/>
      <c r="H483" s="29"/>
    </row>
    <row r="484" spans="2:8" x14ac:dyDescent="0.15">
      <c r="B484" s="29"/>
      <c r="C484" s="29"/>
      <c r="D484" s="29"/>
      <c r="E484" s="29"/>
      <c r="F484" s="29"/>
      <c r="G484" s="29"/>
      <c r="H484" s="29"/>
    </row>
    <row r="485" spans="2:8" x14ac:dyDescent="0.15">
      <c r="B485" s="29"/>
      <c r="C485" s="29"/>
      <c r="D485" s="29"/>
      <c r="E485" s="29"/>
      <c r="F485" s="29"/>
      <c r="G485" s="29"/>
      <c r="H485" s="29"/>
    </row>
    <row r="486" spans="2:8" x14ac:dyDescent="0.15">
      <c r="B486" s="29"/>
      <c r="C486" s="29"/>
      <c r="D486" s="29"/>
      <c r="E486" s="29"/>
      <c r="F486" s="29"/>
      <c r="G486" s="29"/>
      <c r="H486" s="29"/>
    </row>
    <row r="487" spans="2:8" x14ac:dyDescent="0.15">
      <c r="B487" s="29"/>
      <c r="C487" s="29"/>
      <c r="D487" s="29"/>
      <c r="E487" s="29"/>
      <c r="F487" s="29"/>
      <c r="G487" s="29"/>
      <c r="H487" s="29"/>
    </row>
    <row r="488" spans="2:8" x14ac:dyDescent="0.15">
      <c r="B488" s="29"/>
      <c r="C488" s="29"/>
      <c r="D488" s="29"/>
      <c r="E488" s="29"/>
      <c r="F488" s="29"/>
      <c r="G488" s="29"/>
      <c r="H488" s="29"/>
    </row>
    <row r="489" spans="2:8" x14ac:dyDescent="0.15">
      <c r="B489" s="29"/>
      <c r="C489" s="29"/>
      <c r="D489" s="29"/>
      <c r="E489" s="29"/>
      <c r="F489" s="29"/>
      <c r="G489" s="29"/>
      <c r="H489" s="29"/>
    </row>
    <row r="490" spans="2:8" x14ac:dyDescent="0.15">
      <c r="B490" s="29"/>
      <c r="C490" s="29"/>
      <c r="D490" s="29"/>
      <c r="E490" s="29"/>
      <c r="F490" s="29"/>
      <c r="G490" s="29"/>
      <c r="H490" s="29"/>
    </row>
    <row r="491" spans="2:8" x14ac:dyDescent="0.15">
      <c r="B491" s="29"/>
      <c r="C491" s="29"/>
      <c r="D491" s="29"/>
      <c r="E491" s="29"/>
      <c r="F491" s="29"/>
      <c r="G491" s="29"/>
      <c r="H491" s="29"/>
    </row>
    <row r="492" spans="2:8" x14ac:dyDescent="0.15">
      <c r="B492" s="29"/>
      <c r="C492" s="29"/>
      <c r="D492" s="29"/>
      <c r="E492" s="29"/>
      <c r="F492" s="29"/>
      <c r="G492" s="29"/>
      <c r="H492" s="29"/>
    </row>
    <row r="493" spans="2:8" x14ac:dyDescent="0.15">
      <c r="B493" s="29"/>
      <c r="C493" s="29"/>
      <c r="D493" s="29"/>
      <c r="E493" s="29"/>
      <c r="F493" s="29"/>
      <c r="G493" s="29"/>
      <c r="H493" s="29"/>
    </row>
    <row r="494" spans="2:8" x14ac:dyDescent="0.15">
      <c r="B494" s="29"/>
      <c r="C494" s="29"/>
      <c r="D494" s="29"/>
      <c r="E494" s="29"/>
      <c r="F494" s="29"/>
      <c r="G494" s="29"/>
      <c r="H494" s="29"/>
    </row>
    <row r="495" spans="2:8" x14ac:dyDescent="0.15">
      <c r="B495" s="29"/>
      <c r="C495" s="29"/>
      <c r="D495" s="29"/>
      <c r="E495" s="29"/>
      <c r="F495" s="29"/>
      <c r="G495" s="29"/>
      <c r="H495" s="29"/>
    </row>
    <row r="496" spans="2:8" x14ac:dyDescent="0.15">
      <c r="B496" s="29"/>
      <c r="C496" s="29"/>
      <c r="D496" s="29"/>
      <c r="E496" s="29"/>
      <c r="F496" s="29"/>
      <c r="G496" s="29"/>
      <c r="H496" s="29"/>
    </row>
    <row r="497" spans="2:8" x14ac:dyDescent="0.15">
      <c r="B497" s="29"/>
      <c r="C497" s="29"/>
      <c r="D497" s="29"/>
      <c r="E497" s="29"/>
      <c r="F497" s="29"/>
      <c r="G497" s="29"/>
      <c r="H497" s="29"/>
    </row>
    <row r="498" spans="2:8" x14ac:dyDescent="0.15">
      <c r="B498" s="29"/>
      <c r="C498" s="29"/>
      <c r="D498" s="29"/>
      <c r="E498" s="29"/>
      <c r="F498" s="29"/>
      <c r="G498" s="29"/>
      <c r="H498" s="29"/>
    </row>
    <row r="499" spans="2:8" x14ac:dyDescent="0.15">
      <c r="B499" s="29"/>
      <c r="C499" s="29"/>
      <c r="D499" s="29"/>
      <c r="E499" s="29"/>
      <c r="F499" s="29"/>
      <c r="G499" s="29"/>
      <c r="H499" s="29"/>
    </row>
    <row r="500" spans="2:8" x14ac:dyDescent="0.15">
      <c r="B500" s="29"/>
      <c r="C500" s="29"/>
      <c r="D500" s="29"/>
      <c r="E500" s="29"/>
      <c r="F500" s="29"/>
      <c r="G500" s="29"/>
      <c r="H500" s="29"/>
    </row>
    <row r="501" spans="2:8" x14ac:dyDescent="0.15">
      <c r="B501" s="29"/>
      <c r="C501" s="29"/>
      <c r="D501" s="29"/>
      <c r="E501" s="29"/>
      <c r="F501" s="29"/>
      <c r="G501" s="29"/>
      <c r="H501" s="29"/>
    </row>
    <row r="502" spans="2:8" x14ac:dyDescent="0.15">
      <c r="B502" s="29"/>
      <c r="C502" s="29"/>
      <c r="D502" s="29"/>
      <c r="E502" s="29"/>
      <c r="F502" s="29"/>
      <c r="G502" s="29"/>
      <c r="H502" s="29"/>
    </row>
    <row r="503" spans="2:8" x14ac:dyDescent="0.15">
      <c r="B503" s="29"/>
      <c r="C503" s="29"/>
      <c r="D503" s="29"/>
      <c r="E503" s="29"/>
      <c r="F503" s="29"/>
      <c r="G503" s="29"/>
      <c r="H503" s="29"/>
    </row>
    <row r="504" spans="2:8" x14ac:dyDescent="0.15">
      <c r="B504" s="29"/>
      <c r="C504" s="29"/>
      <c r="D504" s="29"/>
      <c r="E504" s="29"/>
      <c r="F504" s="29"/>
      <c r="G504" s="29"/>
      <c r="H504" s="29"/>
    </row>
    <row r="505" spans="2:8" x14ac:dyDescent="0.15">
      <c r="B505" s="29"/>
      <c r="C505" s="29"/>
      <c r="D505" s="29"/>
      <c r="E505" s="29"/>
      <c r="F505" s="29"/>
      <c r="G505" s="29"/>
      <c r="H505" s="29"/>
    </row>
    <row r="506" spans="2:8" x14ac:dyDescent="0.15">
      <c r="B506" s="29"/>
      <c r="C506" s="29"/>
      <c r="D506" s="29"/>
      <c r="E506" s="29"/>
      <c r="F506" s="29"/>
      <c r="G506" s="29"/>
      <c r="H506" s="29"/>
    </row>
    <row r="507" spans="2:8" x14ac:dyDescent="0.15">
      <c r="B507" s="29"/>
      <c r="C507" s="29"/>
      <c r="D507" s="29"/>
      <c r="E507" s="29"/>
      <c r="F507" s="29"/>
      <c r="G507" s="29"/>
      <c r="H507" s="29"/>
    </row>
    <row r="508" spans="2:8" x14ac:dyDescent="0.15">
      <c r="B508" s="29"/>
      <c r="C508" s="29"/>
      <c r="D508" s="29"/>
      <c r="E508" s="29"/>
      <c r="F508" s="29"/>
      <c r="G508" s="29"/>
      <c r="H508" s="29"/>
    </row>
    <row r="509" spans="2:8" x14ac:dyDescent="0.15">
      <c r="B509" s="29"/>
      <c r="C509" s="29"/>
      <c r="D509" s="29"/>
      <c r="E509" s="29"/>
      <c r="F509" s="29"/>
      <c r="G509" s="29"/>
      <c r="H509" s="29"/>
    </row>
    <row r="510" spans="2:8" x14ac:dyDescent="0.15">
      <c r="B510" s="29"/>
      <c r="C510" s="29"/>
      <c r="D510" s="29"/>
      <c r="E510" s="29"/>
      <c r="F510" s="29"/>
      <c r="G510" s="29"/>
      <c r="H510" s="29"/>
    </row>
  </sheetData>
  <phoneticPr fontId="1"/>
  <printOptions headings="1" gridLines="1"/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B337E-90F5-DD4C-91D7-6791B5036168}">
  <sheetPr codeName="Sheet7">
    <pageSetUpPr fitToPage="1"/>
  </sheetPr>
  <dimension ref="A1:K21"/>
  <sheetViews>
    <sheetView zoomScale="200" zoomScaleNormal="200" workbookViewId="0">
      <selection activeCell="E9" sqref="E9:F9"/>
    </sheetView>
  </sheetViews>
  <sheetFormatPr baseColWidth="10" defaultColWidth="10.83203125" defaultRowHeight="11" x14ac:dyDescent="0.15"/>
  <cols>
    <col min="1" max="1" width="2.83203125" style="47" customWidth="1"/>
    <col min="2" max="2" width="21.5" style="47" bestFit="1" customWidth="1"/>
    <col min="3" max="3" width="19.6640625" style="48" bestFit="1" customWidth="1"/>
    <col min="4" max="4" width="3.33203125" style="47" customWidth="1"/>
    <col min="5" max="5" width="5.5" style="47" customWidth="1"/>
    <col min="6" max="6" width="10.83203125" style="48" customWidth="1"/>
    <col min="7" max="8" width="12.83203125" style="47" customWidth="1"/>
    <col min="9" max="9" width="2.33203125" style="47" customWidth="1"/>
    <col min="10" max="10" width="21.5" style="47" customWidth="1"/>
    <col min="11" max="11" width="4.1640625" style="47" customWidth="1"/>
    <col min="12" max="12" width="18" style="47" customWidth="1"/>
    <col min="13" max="16384" width="10.83203125" style="47"/>
  </cols>
  <sheetData>
    <row r="1" spans="1:11" x14ac:dyDescent="0.15">
      <c r="A1" s="46" t="s">
        <v>1</v>
      </c>
      <c r="J1" s="45" t="s">
        <v>64</v>
      </c>
    </row>
    <row r="3" spans="1:11" ht="12" thickBot="1" x14ac:dyDescent="0.2">
      <c r="C3" s="49" t="s">
        <v>15</v>
      </c>
      <c r="F3" s="47"/>
      <c r="G3" s="46" t="s">
        <v>14</v>
      </c>
      <c r="J3" s="43" t="s">
        <v>62</v>
      </c>
    </row>
    <row r="4" spans="1:11" x14ac:dyDescent="0.15">
      <c r="B4" s="50" t="s">
        <v>2</v>
      </c>
      <c r="C4" s="51">
        <v>1</v>
      </c>
      <c r="E4" s="52"/>
      <c r="F4" s="53" t="s">
        <v>7</v>
      </c>
      <c r="G4" s="133" t="s">
        <v>11</v>
      </c>
      <c r="H4" s="134"/>
    </row>
    <row r="5" spans="1:11" x14ac:dyDescent="0.15">
      <c r="E5" s="54"/>
      <c r="F5" s="55" t="s">
        <v>8</v>
      </c>
      <c r="G5" s="56" t="s">
        <v>9</v>
      </c>
      <c r="H5" s="57" t="s">
        <v>10</v>
      </c>
    </row>
    <row r="6" spans="1:11" x14ac:dyDescent="0.15">
      <c r="B6" s="46" t="s">
        <v>5</v>
      </c>
      <c r="E6" s="58" t="s">
        <v>12</v>
      </c>
      <c r="F6" s="59">
        <v>1.1549402084703575</v>
      </c>
      <c r="G6" s="60">
        <v>1.0927595635838101</v>
      </c>
      <c r="H6" s="61">
        <v>1.2171208533569049</v>
      </c>
    </row>
    <row r="7" spans="1:11" x14ac:dyDescent="0.15">
      <c r="B7" s="50" t="s">
        <v>4</v>
      </c>
      <c r="C7" s="51" t="s">
        <v>0</v>
      </c>
      <c r="E7" s="58" t="s">
        <v>68</v>
      </c>
      <c r="F7" s="59">
        <v>0.48807877844524467</v>
      </c>
      <c r="G7" s="60">
        <v>0.43600575853594492</v>
      </c>
      <c r="H7" s="61">
        <v>0.54015179835454441</v>
      </c>
    </row>
    <row r="8" spans="1:11" x14ac:dyDescent="0.15">
      <c r="B8" s="50" t="str">
        <f>IF(C7="Constant","Value =",IF(C7="Erlang","Mean =",IF(C7="Exponential","Mean =",IF(C7="Translated Exponential","Minimum Value =","Minimum Value ="))))</f>
        <v>Minimum Value =</v>
      </c>
      <c r="C8" s="51">
        <v>10</v>
      </c>
      <c r="E8" s="62" t="s">
        <v>13</v>
      </c>
      <c r="F8" s="63">
        <v>17.30800104710087</v>
      </c>
      <c r="G8" s="60">
        <v>16.382206431562473</v>
      </c>
      <c r="H8" s="61">
        <v>18.233795662639267</v>
      </c>
    </row>
    <row r="9" spans="1:11" x14ac:dyDescent="0.15">
      <c r="B9" s="50" t="str">
        <f>IF(C7="Erlang","k =",IF(C7="Translated Exponential","Mean =",IF(C7="Uniform","Maximum Value =","")))</f>
        <v>Maximum Value =</v>
      </c>
      <c r="C9" s="51">
        <v>20</v>
      </c>
      <c r="E9" s="62" t="s">
        <v>69</v>
      </c>
      <c r="F9" s="63">
        <v>7.314376923101837</v>
      </c>
      <c r="G9" s="60">
        <v>6.5365390866853277</v>
      </c>
      <c r="H9" s="61">
        <v>8.0922147595183471</v>
      </c>
      <c r="K9" s="8"/>
    </row>
    <row r="10" spans="1:11" x14ac:dyDescent="0.15">
      <c r="E10" s="58"/>
      <c r="F10" s="59"/>
      <c r="G10" s="60"/>
      <c r="H10" s="61"/>
    </row>
    <row r="11" spans="1:11" x14ac:dyDescent="0.15">
      <c r="B11" s="46" t="s">
        <v>3</v>
      </c>
      <c r="E11" s="58" t="s">
        <v>70</v>
      </c>
      <c r="F11" s="59">
        <v>0.333138569974887</v>
      </c>
      <c r="G11" s="60">
        <v>0.32038199715457372</v>
      </c>
      <c r="H11" s="61">
        <v>0.34589514279520028</v>
      </c>
      <c r="J11" s="43" t="s">
        <v>63</v>
      </c>
    </row>
    <row r="12" spans="1:11" x14ac:dyDescent="0.15">
      <c r="B12" s="50" t="s">
        <v>4</v>
      </c>
      <c r="C12" s="51" t="s">
        <v>6</v>
      </c>
      <c r="E12" s="58" t="s">
        <v>71</v>
      </c>
      <c r="F12" s="59">
        <v>0.37665675416683414</v>
      </c>
      <c r="G12" s="60">
        <v>0.36701582666028465</v>
      </c>
      <c r="H12" s="61">
        <v>0.38629768167338363</v>
      </c>
    </row>
    <row r="13" spans="1:11" x14ac:dyDescent="0.15">
      <c r="B13" s="50" t="str">
        <f>IF(C12="Constant","Value =",IF(C12="Erlang","Mean =",IF(C12="Exponential","Mean =",IF(C12="Translated Exponential","Minimum Value =","Minimum Value ="))))</f>
        <v>Mean =</v>
      </c>
      <c r="C13" s="51">
        <v>10</v>
      </c>
      <c r="E13" s="58" t="s">
        <v>72</v>
      </c>
      <c r="F13" s="59">
        <v>0.16824426412037022</v>
      </c>
      <c r="G13" s="60">
        <v>0.15988994223068581</v>
      </c>
      <c r="H13" s="61">
        <v>0.17659858601005463</v>
      </c>
    </row>
    <row r="14" spans="1:11" x14ac:dyDescent="0.15">
      <c r="B14" s="50" t="str">
        <f>IF(C12="Erlang","k =",IF(C12="Translated Exponential","Mean =",IF(C12="Uniform","Maximum Value =","")))</f>
        <v/>
      </c>
      <c r="C14" s="51">
        <v>8</v>
      </c>
      <c r="E14" s="58" t="s">
        <v>73</v>
      </c>
      <c r="F14" s="59">
        <v>7.2944564164758155E-2</v>
      </c>
      <c r="G14" s="60">
        <v>6.5167964388953448E-2</v>
      </c>
      <c r="H14" s="61">
        <v>8.0721163940562862E-2</v>
      </c>
    </row>
    <row r="15" spans="1:11" x14ac:dyDescent="0.15">
      <c r="E15" s="58" t="s">
        <v>74</v>
      </c>
      <c r="F15" s="59">
        <v>3.0359685771138262E-2</v>
      </c>
      <c r="G15" s="60">
        <v>2.5256990632072474E-2</v>
      </c>
      <c r="H15" s="61">
        <v>3.5462380910204053E-2</v>
      </c>
    </row>
    <row r="16" spans="1:11" x14ac:dyDescent="0.15">
      <c r="B16" s="46" t="s">
        <v>17</v>
      </c>
      <c r="E16" s="58" t="s">
        <v>75</v>
      </c>
      <c r="F16" s="59">
        <v>1.2054396751785995E-2</v>
      </c>
      <c r="G16" s="60">
        <v>8.7404906172668419E-3</v>
      </c>
      <c r="H16" s="61">
        <v>1.5368302886305148E-2</v>
      </c>
    </row>
    <row r="17" spans="2:8" x14ac:dyDescent="0.15">
      <c r="B17" s="50" t="s">
        <v>16</v>
      </c>
      <c r="C17" s="68">
        <v>10000</v>
      </c>
      <c r="E17" s="58" t="s">
        <v>76</v>
      </c>
      <c r="F17" s="59">
        <v>5.0480750823771302E-3</v>
      </c>
      <c r="G17" s="60">
        <v>1.9649637691988193E-3</v>
      </c>
      <c r="H17" s="61">
        <v>8.1311863955554411E-3</v>
      </c>
    </row>
    <row r="18" spans="2:8" x14ac:dyDescent="0.15">
      <c r="E18" s="58" t="s">
        <v>77</v>
      </c>
      <c r="F18" s="59">
        <v>1.4674635120300802E-3</v>
      </c>
      <c r="G18" s="60">
        <v>-2.0072767241087301E-4</v>
      </c>
      <c r="H18" s="61">
        <v>3.1356546964710335E-3</v>
      </c>
    </row>
    <row r="19" spans="2:8" x14ac:dyDescent="0.15">
      <c r="E19" s="58" t="s">
        <v>78</v>
      </c>
      <c r="F19" s="59">
        <v>8.6226455819027174E-5</v>
      </c>
      <c r="G19" s="60">
        <v>-4.3310347184773108E-5</v>
      </c>
      <c r="H19" s="61">
        <v>2.1576325882282746E-4</v>
      </c>
    </row>
    <row r="20" spans="2:8" x14ac:dyDescent="0.15">
      <c r="E20" s="58" t="s">
        <v>79</v>
      </c>
      <c r="F20" s="59">
        <v>0</v>
      </c>
      <c r="G20" s="60">
        <v>0</v>
      </c>
      <c r="H20" s="61">
        <v>0</v>
      </c>
    </row>
    <row r="21" spans="2:8" ht="12" thickBot="1" x14ac:dyDescent="0.2">
      <c r="E21" s="64" t="s">
        <v>80</v>
      </c>
      <c r="F21" s="65">
        <v>0</v>
      </c>
      <c r="G21" s="66">
        <v>0</v>
      </c>
      <c r="H21" s="67">
        <v>0</v>
      </c>
    </row>
  </sheetData>
  <mergeCells count="1">
    <mergeCell ref="G4:H4"/>
  </mergeCells>
  <conditionalFormatting sqref="C9">
    <cfRule type="expression" dxfId="9" priority="1" stopIfTrue="1">
      <formula>OR(C7="Exponential",C7="Constant")</formula>
    </cfRule>
  </conditionalFormatting>
  <conditionalFormatting sqref="C14">
    <cfRule type="expression" dxfId="8" priority="2" stopIfTrue="1">
      <formula>OR(C12="Constant",C12="Exponential")</formula>
    </cfRule>
  </conditionalFormatting>
  <dataValidations count="3">
    <dataValidation type="list" allowBlank="1" showInputMessage="1" showErrorMessage="1" sqref="C7 C12" xr:uid="{E4B73FE1-E0C7-324C-8A15-72E8C2397CA3}">
      <formula1>"Constant,Erlang,Exponential,Translated Exponential,Uniform"</formula1>
    </dataValidation>
    <dataValidation type="whole" allowBlank="1" showInputMessage="1" showErrorMessage="1" error="The number of arrivals simulated must be an integer between 1 and 1,000,000." sqref="C17" xr:uid="{6551694D-B473-034E-937C-729368150FEA}">
      <formula1>1</formula1>
      <formula2>1000000</formula2>
    </dataValidation>
    <dataValidation type="whole" allowBlank="1" showInputMessage="1" showErrorMessage="1" error="The number of servers must be between 1 and 25 (inclusive)." sqref="C4" xr:uid="{AEB4AEBC-39D0-114F-969C-C0D2CA6AA846}">
      <formula1>1</formula1>
      <formula2>25</formula2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BB8FF-8F49-5340-AF01-307442E3A286}">
  <sheetPr codeName="Sheet8">
    <pageSetUpPr fitToPage="1"/>
  </sheetPr>
  <dimension ref="A1:K21"/>
  <sheetViews>
    <sheetView zoomScale="200" workbookViewId="0">
      <selection activeCell="C7" sqref="C7"/>
    </sheetView>
  </sheetViews>
  <sheetFormatPr baseColWidth="10" defaultColWidth="10.83203125" defaultRowHeight="11" x14ac:dyDescent="0.15"/>
  <cols>
    <col min="1" max="1" width="2.83203125" style="47" customWidth="1"/>
    <col min="2" max="2" width="21.5" style="47" bestFit="1" customWidth="1"/>
    <col min="3" max="3" width="19.6640625" style="48" bestFit="1" customWidth="1"/>
    <col min="4" max="4" width="2.83203125" style="47" customWidth="1"/>
    <col min="5" max="5" width="5.5" style="47" customWidth="1"/>
    <col min="6" max="6" width="10.83203125" style="48" customWidth="1"/>
    <col min="7" max="8" width="12.83203125" style="47" customWidth="1"/>
    <col min="9" max="9" width="2.5" style="47" customWidth="1"/>
    <col min="10" max="10" width="21.5" style="47" customWidth="1"/>
    <col min="11" max="11" width="4.1640625" style="47" customWidth="1"/>
    <col min="12" max="12" width="18" style="47" customWidth="1"/>
    <col min="13" max="16384" width="10.83203125" style="47"/>
  </cols>
  <sheetData>
    <row r="1" spans="1:11" x14ac:dyDescent="0.15">
      <c r="A1" s="46" t="s">
        <v>1</v>
      </c>
      <c r="J1" s="45" t="s">
        <v>65</v>
      </c>
    </row>
    <row r="3" spans="1:11" ht="12" thickBot="1" x14ac:dyDescent="0.2">
      <c r="C3" s="49" t="s">
        <v>15</v>
      </c>
      <c r="F3" s="47"/>
      <c r="G3" s="46" t="s">
        <v>14</v>
      </c>
      <c r="J3" s="43" t="s">
        <v>66</v>
      </c>
    </row>
    <row r="4" spans="1:11" x14ac:dyDescent="0.15">
      <c r="B4" s="50" t="s">
        <v>2</v>
      </c>
      <c r="C4" s="51">
        <v>1</v>
      </c>
      <c r="E4" s="52"/>
      <c r="F4" s="53" t="s">
        <v>7</v>
      </c>
      <c r="G4" s="133" t="s">
        <v>11</v>
      </c>
      <c r="H4" s="134"/>
    </row>
    <row r="5" spans="1:11" x14ac:dyDescent="0.15">
      <c r="E5" s="54"/>
      <c r="F5" s="55" t="s">
        <v>8</v>
      </c>
      <c r="G5" s="56" t="s">
        <v>9</v>
      </c>
      <c r="H5" s="57" t="s">
        <v>10</v>
      </c>
      <c r="J5" s="43" t="s">
        <v>63</v>
      </c>
    </row>
    <row r="6" spans="1:11" x14ac:dyDescent="0.15">
      <c r="B6" s="46" t="s">
        <v>5</v>
      </c>
      <c r="E6" s="58" t="s">
        <v>12</v>
      </c>
      <c r="F6" s="59">
        <v>1.0978692132925587</v>
      </c>
      <c r="G6" s="60">
        <v>1.0293602992248372</v>
      </c>
      <c r="H6" s="61">
        <v>1.1663781273602802</v>
      </c>
    </row>
    <row r="7" spans="1:11" x14ac:dyDescent="0.15">
      <c r="B7" s="50" t="s">
        <v>4</v>
      </c>
      <c r="C7" s="51" t="s">
        <v>19</v>
      </c>
      <c r="E7" s="58" t="s">
        <v>68</v>
      </c>
      <c r="F7" s="59">
        <v>0.44039560948787942</v>
      </c>
      <c r="G7" s="60">
        <v>0.38178289322776454</v>
      </c>
      <c r="H7" s="61">
        <v>0.49900832574799431</v>
      </c>
    </row>
    <row r="8" spans="1:11" x14ac:dyDescent="0.15">
      <c r="B8" s="50" t="str">
        <f>IF(C7="Constant","Value =",IF(C7="Erlang","Mean =",IF(C7="Exponential","Mean =",IF(C7="Translated Exponential","Minimum Value =","Minimum Value ="))))</f>
        <v>Value =</v>
      </c>
      <c r="C8" s="51">
        <v>15</v>
      </c>
      <c r="E8" s="62" t="s">
        <v>13</v>
      </c>
      <c r="F8" s="63">
        <v>16.468038199388381</v>
      </c>
      <c r="G8" s="60">
        <v>15.440404488372559</v>
      </c>
      <c r="H8" s="61">
        <v>17.495671910404205</v>
      </c>
    </row>
    <row r="9" spans="1:11" x14ac:dyDescent="0.15">
      <c r="B9" s="50" t="str">
        <f>IF(C7="Erlang","k =",IF(C7="Translated Exponential","Mean =",IF(C7="Uniform","Maximum Value =","")))</f>
        <v/>
      </c>
      <c r="C9" s="51">
        <v>20</v>
      </c>
      <c r="E9" s="62" t="s">
        <v>69</v>
      </c>
      <c r="F9" s="63">
        <v>6.6059341423181914</v>
      </c>
      <c r="G9" s="60">
        <v>5.7267433984164677</v>
      </c>
      <c r="H9" s="61">
        <v>7.4851248862199151</v>
      </c>
      <c r="K9" s="8"/>
    </row>
    <row r="10" spans="1:11" x14ac:dyDescent="0.15">
      <c r="E10" s="58"/>
      <c r="F10" s="59"/>
      <c r="G10" s="60"/>
      <c r="H10" s="61"/>
    </row>
    <row r="11" spans="1:11" x14ac:dyDescent="0.15">
      <c r="B11" s="46" t="s">
        <v>3</v>
      </c>
      <c r="E11" s="58" t="s">
        <v>70</v>
      </c>
      <c r="F11" s="59">
        <v>0.34252639619531894</v>
      </c>
      <c r="G11" s="60">
        <v>0.3297582176549832</v>
      </c>
      <c r="H11" s="61">
        <v>0.35529457473565468</v>
      </c>
    </row>
    <row r="12" spans="1:11" x14ac:dyDescent="0.15">
      <c r="B12" s="50" t="s">
        <v>4</v>
      </c>
      <c r="C12" s="51" t="s">
        <v>6</v>
      </c>
      <c r="E12" s="58" t="s">
        <v>71</v>
      </c>
      <c r="F12" s="59">
        <v>0.39603511128918367</v>
      </c>
      <c r="G12" s="60">
        <v>0.38627812493246988</v>
      </c>
      <c r="H12" s="61">
        <v>0.40579209764589746</v>
      </c>
    </row>
    <row r="13" spans="1:11" x14ac:dyDescent="0.15">
      <c r="B13" s="50" t="str">
        <f>IF(C12="Constant","Value =",IF(C12="Erlang","Mean =",IF(C12="Exponential","Mean =",IF(C12="Translated Exponential","Minimum Value =","Minimum Value ="))))</f>
        <v>Mean =</v>
      </c>
      <c r="C13" s="51">
        <v>10</v>
      </c>
      <c r="E13" s="58" t="s">
        <v>72</v>
      </c>
      <c r="F13" s="59">
        <v>0.15673129937380062</v>
      </c>
      <c r="G13" s="60">
        <v>0.14886795058458846</v>
      </c>
      <c r="H13" s="61">
        <v>0.16459464816301278</v>
      </c>
    </row>
    <row r="14" spans="1:11" x14ac:dyDescent="0.15">
      <c r="B14" s="50" t="str">
        <f>IF(C12="Erlang","k =",IF(C12="Translated Exponential","Mean =",IF(C12="Uniform","Maximum Value =","")))</f>
        <v/>
      </c>
      <c r="C14" s="51">
        <v>8</v>
      </c>
      <c r="E14" s="58" t="s">
        <v>73</v>
      </c>
      <c r="F14" s="59">
        <v>6.20108413641682E-2</v>
      </c>
      <c r="G14" s="60">
        <v>5.5182869217992238E-2</v>
      </c>
      <c r="H14" s="61">
        <v>6.8838813510344155E-2</v>
      </c>
    </row>
    <row r="15" spans="1:11" x14ac:dyDescent="0.15">
      <c r="E15" s="58" t="s">
        <v>74</v>
      </c>
      <c r="F15" s="59">
        <v>2.3381926389435748E-2</v>
      </c>
      <c r="G15" s="60">
        <v>1.8272535786606023E-2</v>
      </c>
      <c r="H15" s="61">
        <v>2.8491316992265474E-2</v>
      </c>
    </row>
    <row r="16" spans="1:11" x14ac:dyDescent="0.15">
      <c r="B16" s="46" t="s">
        <v>17</v>
      </c>
      <c r="E16" s="58" t="s">
        <v>75</v>
      </c>
      <c r="F16" s="59">
        <v>1.0891904206713866E-2</v>
      </c>
      <c r="G16" s="60">
        <v>6.6777652293244514E-3</v>
      </c>
      <c r="H16" s="61">
        <v>1.5106043184103281E-2</v>
      </c>
    </row>
    <row r="17" spans="2:8" x14ac:dyDescent="0.15">
      <c r="B17" s="50" t="s">
        <v>16</v>
      </c>
      <c r="C17" s="68">
        <v>10000</v>
      </c>
      <c r="E17" s="58" t="s">
        <v>76</v>
      </c>
      <c r="F17" s="59">
        <v>5.2789434926508458E-3</v>
      </c>
      <c r="G17" s="60">
        <v>2.175458362840014E-3</v>
      </c>
      <c r="H17" s="61">
        <v>8.3824286224616767E-3</v>
      </c>
    </row>
    <row r="18" spans="2:8" x14ac:dyDescent="0.15">
      <c r="E18" s="58" t="s">
        <v>77</v>
      </c>
      <c r="F18" s="59">
        <v>2.5656894453647246E-3</v>
      </c>
      <c r="G18" s="60">
        <v>5.0082124232573438E-4</v>
      </c>
      <c r="H18" s="61">
        <v>4.6305576484037148E-3</v>
      </c>
    </row>
    <row r="19" spans="2:8" x14ac:dyDescent="0.15">
      <c r="E19" s="58" t="s">
        <v>78</v>
      </c>
      <c r="F19" s="59">
        <v>4.8272869176983735E-4</v>
      </c>
      <c r="G19" s="60">
        <v>-1.5521247708045961E-4</v>
      </c>
      <c r="H19" s="61">
        <v>1.1206698606201343E-3</v>
      </c>
    </row>
    <row r="20" spans="2:8" x14ac:dyDescent="0.15">
      <c r="E20" s="58" t="s">
        <v>79</v>
      </c>
      <c r="F20" s="59">
        <v>9.5159551593521524E-5</v>
      </c>
      <c r="G20" s="60">
        <v>-9.0980570469206704E-5</v>
      </c>
      <c r="H20" s="61">
        <v>2.8129967365624975E-4</v>
      </c>
    </row>
    <row r="21" spans="2:8" ht="12" thickBot="1" x14ac:dyDescent="0.2">
      <c r="E21" s="64" t="s">
        <v>80</v>
      </c>
      <c r="F21" s="65">
        <v>0</v>
      </c>
      <c r="G21" s="66">
        <v>0</v>
      </c>
      <c r="H21" s="67">
        <v>0</v>
      </c>
    </row>
  </sheetData>
  <mergeCells count="1">
    <mergeCell ref="G4:H4"/>
  </mergeCells>
  <conditionalFormatting sqref="C9">
    <cfRule type="expression" dxfId="7" priority="1" stopIfTrue="1">
      <formula>OR(C7="Exponential",C7="Constant")</formula>
    </cfRule>
  </conditionalFormatting>
  <conditionalFormatting sqref="C14">
    <cfRule type="expression" dxfId="6" priority="2" stopIfTrue="1">
      <formula>OR(C12="Constant",C12="Exponential")</formula>
    </cfRule>
  </conditionalFormatting>
  <dataValidations count="3">
    <dataValidation type="whole" allowBlank="1" showInputMessage="1" showErrorMessage="1" error="The number of servers must be between 1 and 25 (inclusive)." sqref="C4" xr:uid="{23A935CB-EAEF-4844-83F8-82317E5B19C7}">
      <formula1>1</formula1>
      <formula2>25</formula2>
    </dataValidation>
    <dataValidation type="whole" allowBlank="1" showInputMessage="1" showErrorMessage="1" error="The number of arrivals simulated must be an integer between 1 and 1,000,000." sqref="C17" xr:uid="{71FDF323-5858-6B41-B3CF-D1FC54494B40}">
      <formula1>1</formula1>
      <formula2>1000000</formula2>
    </dataValidation>
    <dataValidation type="list" allowBlank="1" showInputMessage="1" showErrorMessage="1" sqref="C7 C12" xr:uid="{5C2332D9-B6E6-464A-8837-15DA699BBAFC}">
      <formula1>"Constant,Erlang,Exponential,Translated Exponential,Uniform"</formula1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FB63D-6552-8D4B-934C-E3839D8CD52E}">
  <sheetPr codeName="Sheet10">
    <pageSetUpPr fitToPage="1"/>
  </sheetPr>
  <dimension ref="A1:K21"/>
  <sheetViews>
    <sheetView zoomScale="200" zoomScaleNormal="200" workbookViewId="0">
      <selection activeCell="E9" sqref="E9:F9"/>
    </sheetView>
  </sheetViews>
  <sheetFormatPr baseColWidth="10" defaultColWidth="10.83203125" defaultRowHeight="11" x14ac:dyDescent="0.15"/>
  <cols>
    <col min="1" max="1" width="2.83203125" style="47" customWidth="1"/>
    <col min="2" max="2" width="21.5" style="47" bestFit="1" customWidth="1"/>
    <col min="3" max="3" width="14.83203125" style="48" customWidth="1"/>
    <col min="4" max="4" width="3.1640625" style="47" customWidth="1"/>
    <col min="5" max="5" width="5.5" style="47" customWidth="1"/>
    <col min="6" max="6" width="10.83203125" style="48" customWidth="1"/>
    <col min="7" max="7" width="9.83203125" style="47" bestFit="1" customWidth="1"/>
    <col min="8" max="8" width="9.1640625" style="47" bestFit="1" customWidth="1"/>
    <col min="9" max="9" width="2.6640625" style="47" customWidth="1"/>
    <col min="10" max="10" width="33" style="47" customWidth="1"/>
    <col min="11" max="11" width="4.1640625" style="47" customWidth="1"/>
    <col min="12" max="12" width="18" style="47" customWidth="1"/>
    <col min="13" max="16384" width="10.83203125" style="47"/>
  </cols>
  <sheetData>
    <row r="1" spans="1:11" x14ac:dyDescent="0.15">
      <c r="A1" s="46" t="s">
        <v>1</v>
      </c>
      <c r="J1" s="45" t="s">
        <v>64</v>
      </c>
    </row>
    <row r="3" spans="1:11" ht="12" thickBot="1" x14ac:dyDescent="0.2">
      <c r="C3" s="49" t="s">
        <v>15</v>
      </c>
      <c r="F3" s="47"/>
      <c r="G3" s="46" t="s">
        <v>14</v>
      </c>
      <c r="J3" s="43" t="s">
        <v>62</v>
      </c>
    </row>
    <row r="4" spans="1:11" x14ac:dyDescent="0.15">
      <c r="B4" s="50" t="s">
        <v>2</v>
      </c>
      <c r="C4" s="51">
        <v>1</v>
      </c>
      <c r="E4" s="52"/>
      <c r="F4" s="53" t="s">
        <v>7</v>
      </c>
      <c r="G4" s="133" t="s">
        <v>11</v>
      </c>
      <c r="H4" s="134"/>
      <c r="J4" s="43" t="s">
        <v>67</v>
      </c>
    </row>
    <row r="5" spans="1:11" x14ac:dyDescent="0.15">
      <c r="E5" s="54"/>
      <c r="F5" s="55" t="s">
        <v>8</v>
      </c>
      <c r="G5" s="56" t="s">
        <v>9</v>
      </c>
      <c r="H5" s="57" t="s">
        <v>10</v>
      </c>
    </row>
    <row r="6" spans="1:11" x14ac:dyDescent="0.15">
      <c r="B6" s="46" t="s">
        <v>5</v>
      </c>
      <c r="E6" s="58" t="s">
        <v>12</v>
      </c>
      <c r="F6" s="59">
        <v>0.7549074470068412</v>
      </c>
      <c r="G6" s="60">
        <v>0.74040178852769567</v>
      </c>
      <c r="H6" s="61">
        <v>0.76941310548598674</v>
      </c>
    </row>
    <row r="7" spans="1:11" x14ac:dyDescent="0.15">
      <c r="B7" s="50" t="s">
        <v>4</v>
      </c>
      <c r="C7" s="51" t="s">
        <v>0</v>
      </c>
      <c r="E7" s="58" t="s">
        <v>68</v>
      </c>
      <c r="F7" s="59">
        <v>9.0556210205399099E-2</v>
      </c>
      <c r="G7" s="60">
        <v>8.1769584718453428E-2</v>
      </c>
      <c r="H7" s="61">
        <v>9.9342835692344769E-2</v>
      </c>
    </row>
    <row r="8" spans="1:11" x14ac:dyDescent="0.15">
      <c r="B8" s="50" t="str">
        <f>IF(C7="Constant","Value =",IF(C7="Erlang","Mean =",IF(C7="Exponential","Mean =",IF(C7="Translated Exponential","Minimum Value =","Minimum Value ="))))</f>
        <v>Minimum Value =</v>
      </c>
      <c r="C8" s="51">
        <v>10</v>
      </c>
      <c r="E8" s="62" t="s">
        <v>13</v>
      </c>
      <c r="F8" s="63">
        <v>11.323351776285776</v>
      </c>
      <c r="G8" s="60">
        <v>11.114444717512864</v>
      </c>
      <c r="H8" s="61">
        <v>11.532258835058688</v>
      </c>
    </row>
    <row r="9" spans="1:11" x14ac:dyDescent="0.15">
      <c r="B9" s="50" t="str">
        <f>IF(C7="Erlang","k =",IF(C7="Translated Exponential","Mean =",IF(C7="Uniform","Maximum Value =","")))</f>
        <v>Maximum Value =</v>
      </c>
      <c r="C9" s="51">
        <v>20</v>
      </c>
      <c r="E9" s="62" t="s">
        <v>69</v>
      </c>
      <c r="F9" s="63">
        <v>1.3583119728764863</v>
      </c>
      <c r="G9" s="60">
        <v>1.2275254627828549</v>
      </c>
      <c r="H9" s="61">
        <v>1.4890984829701177</v>
      </c>
      <c r="J9" s="8"/>
      <c r="K9" s="8"/>
    </row>
    <row r="10" spans="1:11" x14ac:dyDescent="0.15">
      <c r="E10" s="58"/>
      <c r="F10" s="59"/>
      <c r="G10" s="60"/>
      <c r="H10" s="61"/>
    </row>
    <row r="11" spans="1:11" x14ac:dyDescent="0.15">
      <c r="B11" s="46" t="s">
        <v>3</v>
      </c>
      <c r="E11" s="58" t="s">
        <v>70</v>
      </c>
      <c r="F11" s="59">
        <v>0.33564876319855796</v>
      </c>
      <c r="G11" s="60">
        <v>0.3286287263574999</v>
      </c>
      <c r="H11" s="61">
        <v>0.34266880003961603</v>
      </c>
    </row>
    <row r="12" spans="1:11" x14ac:dyDescent="0.15">
      <c r="B12" s="50" t="s">
        <v>4</v>
      </c>
      <c r="C12" s="51" t="s">
        <v>18</v>
      </c>
      <c r="E12" s="58" t="s">
        <v>71</v>
      </c>
      <c r="F12" s="59">
        <v>0.5788264094725305</v>
      </c>
      <c r="G12" s="60">
        <v>0.57343478434125117</v>
      </c>
      <c r="H12" s="61">
        <v>0.58421803460380983</v>
      </c>
    </row>
    <row r="13" spans="1:11" x14ac:dyDescent="0.15">
      <c r="B13" s="50" t="str">
        <f>IF(C12="Constant","Value =",IF(C12="Erlang","Mean =",IF(C12="Exponential","Mean =",IF(C12="Translated Exponential","Minimum Value =","Minimum Value ="))))</f>
        <v>Mean =</v>
      </c>
      <c r="C13" s="51">
        <v>10</v>
      </c>
      <c r="E13" s="58" t="s">
        <v>72</v>
      </c>
      <c r="F13" s="59">
        <v>8.0697096255928788E-2</v>
      </c>
      <c r="G13" s="60">
        <v>7.4332154553687399E-2</v>
      </c>
      <c r="H13" s="61">
        <v>8.7062037958170177E-2</v>
      </c>
    </row>
    <row r="14" spans="1:11" x14ac:dyDescent="0.15">
      <c r="B14" s="50" t="str">
        <f>IF(C12="Erlang","k =",IF(C12="Translated Exponential","Mean =",IF(C12="Uniform","Maximum Value =","")))</f>
        <v>k =</v>
      </c>
      <c r="C14" s="51">
        <v>4</v>
      </c>
      <c r="E14" s="58" t="s">
        <v>73</v>
      </c>
      <c r="F14" s="59">
        <v>4.624079269478042E-3</v>
      </c>
      <c r="G14" s="60">
        <v>2.8947601617699418E-3</v>
      </c>
      <c r="H14" s="61">
        <v>6.3533983771861422E-3</v>
      </c>
    </row>
    <row r="15" spans="1:11" x14ac:dyDescent="0.15">
      <c r="E15" s="58" t="s">
        <v>74</v>
      </c>
      <c r="F15" s="59">
        <v>2.0365180350474487E-4</v>
      </c>
      <c r="G15" s="60">
        <v>-7.8019501940173968E-6</v>
      </c>
      <c r="H15" s="61">
        <v>4.1510555720350711E-4</v>
      </c>
    </row>
    <row r="16" spans="1:11" x14ac:dyDescent="0.15">
      <c r="B16" s="46" t="s">
        <v>17</v>
      </c>
      <c r="E16" s="58" t="s">
        <v>75</v>
      </c>
      <c r="F16" s="59">
        <v>0</v>
      </c>
      <c r="G16" s="60">
        <v>0</v>
      </c>
      <c r="H16" s="61">
        <v>0</v>
      </c>
    </row>
    <row r="17" spans="2:8" x14ac:dyDescent="0.15">
      <c r="B17" s="50" t="s">
        <v>16</v>
      </c>
      <c r="C17" s="51">
        <v>10000</v>
      </c>
      <c r="E17" s="58" t="s">
        <v>76</v>
      </c>
      <c r="F17" s="59">
        <v>0</v>
      </c>
      <c r="G17" s="60">
        <v>0</v>
      </c>
      <c r="H17" s="61">
        <v>0</v>
      </c>
    </row>
    <row r="18" spans="2:8" x14ac:dyDescent="0.15">
      <c r="E18" s="58" t="s">
        <v>77</v>
      </c>
      <c r="F18" s="59">
        <v>0</v>
      </c>
      <c r="G18" s="60">
        <v>0</v>
      </c>
      <c r="H18" s="61">
        <v>0</v>
      </c>
    </row>
    <row r="19" spans="2:8" x14ac:dyDescent="0.15">
      <c r="E19" s="58" t="s">
        <v>78</v>
      </c>
      <c r="F19" s="59">
        <v>0</v>
      </c>
      <c r="G19" s="60">
        <v>0</v>
      </c>
      <c r="H19" s="61">
        <v>0</v>
      </c>
    </row>
    <row r="20" spans="2:8" x14ac:dyDescent="0.15">
      <c r="E20" s="58" t="s">
        <v>79</v>
      </c>
      <c r="F20" s="59">
        <v>0</v>
      </c>
      <c r="G20" s="60">
        <v>0</v>
      </c>
      <c r="H20" s="61">
        <v>0</v>
      </c>
    </row>
    <row r="21" spans="2:8" ht="12" thickBot="1" x14ac:dyDescent="0.2">
      <c r="E21" s="64" t="s">
        <v>80</v>
      </c>
      <c r="F21" s="65">
        <v>0</v>
      </c>
      <c r="G21" s="66">
        <v>0</v>
      </c>
      <c r="H21" s="67">
        <v>0</v>
      </c>
    </row>
  </sheetData>
  <mergeCells count="1">
    <mergeCell ref="G4:H4"/>
  </mergeCells>
  <conditionalFormatting sqref="C9">
    <cfRule type="expression" dxfId="5" priority="2" stopIfTrue="1">
      <formula>OR(C7="Exponential",C7="Constant")</formula>
    </cfRule>
  </conditionalFormatting>
  <conditionalFormatting sqref="C14">
    <cfRule type="expression" dxfId="4" priority="3" stopIfTrue="1">
      <formula>OR(C12="Constant",C12="Exponential")</formula>
    </cfRule>
  </conditionalFormatting>
  <conditionalFormatting sqref="C17">
    <cfRule type="expression" dxfId="3" priority="1" stopIfTrue="1">
      <formula>OR(C15="Constant",C15="Exponential")</formula>
    </cfRule>
  </conditionalFormatting>
  <dataValidations count="2">
    <dataValidation type="list" allowBlank="1" showInputMessage="1" showErrorMessage="1" sqref="C7 C12" xr:uid="{F4770FC1-52B0-7C4D-8AAB-2DA80D5B012A}">
      <formula1>"Constant,Erlang,Exponential,Translated Exponential,Uniform"</formula1>
    </dataValidation>
    <dataValidation type="whole" allowBlank="1" showInputMessage="1" showErrorMessage="1" error="The number of servers must be between 1 and 25 (inclusive)." sqref="C4" xr:uid="{CD416DB8-5806-114A-99BA-2E5515E3E0CD}">
      <formula1>1</formula1>
      <formula2>25</formula2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ABAEA-10B6-0F40-911B-0BB0D809746C}">
  <sheetPr codeName="Sheet11">
    <pageSetUpPr fitToPage="1"/>
  </sheetPr>
  <dimension ref="A1:K21"/>
  <sheetViews>
    <sheetView zoomScale="199" zoomScaleNormal="200" workbookViewId="0">
      <selection activeCell="D10" sqref="D10"/>
    </sheetView>
  </sheetViews>
  <sheetFormatPr baseColWidth="10" defaultColWidth="10.83203125" defaultRowHeight="11" x14ac:dyDescent="0.15"/>
  <cols>
    <col min="1" max="1" width="2.83203125" style="47" customWidth="1"/>
    <col min="2" max="2" width="21.5" style="47" bestFit="1" customWidth="1"/>
    <col min="3" max="3" width="10.83203125" style="48" customWidth="1"/>
    <col min="4" max="4" width="6.83203125" style="47" customWidth="1"/>
    <col min="5" max="5" width="5.5" style="47" customWidth="1"/>
    <col min="6" max="6" width="10.83203125" style="48" customWidth="1"/>
    <col min="7" max="8" width="9.33203125" style="47" bestFit="1" customWidth="1"/>
    <col min="9" max="9" width="4.5" style="47" customWidth="1"/>
    <col min="10" max="10" width="33" style="47" customWidth="1"/>
    <col min="11" max="11" width="4.1640625" style="47" customWidth="1"/>
    <col min="12" max="12" width="18" style="47" customWidth="1"/>
    <col min="13" max="16384" width="10.83203125" style="47"/>
  </cols>
  <sheetData>
    <row r="1" spans="1:11" x14ac:dyDescent="0.15">
      <c r="A1" s="46" t="s">
        <v>1</v>
      </c>
      <c r="J1" s="45" t="s">
        <v>64</v>
      </c>
    </row>
    <row r="3" spans="1:11" ht="12" thickBot="1" x14ac:dyDescent="0.2">
      <c r="C3" s="49" t="s">
        <v>15</v>
      </c>
      <c r="F3" s="47"/>
      <c r="G3" s="46" t="s">
        <v>14</v>
      </c>
      <c r="J3" s="43" t="s">
        <v>62</v>
      </c>
    </row>
    <row r="4" spans="1:11" x14ac:dyDescent="0.15">
      <c r="B4" s="50" t="s">
        <v>2</v>
      </c>
      <c r="C4" s="51">
        <v>1</v>
      </c>
      <c r="E4" s="52"/>
      <c r="F4" s="53" t="s">
        <v>7</v>
      </c>
      <c r="G4" s="133" t="s">
        <v>11</v>
      </c>
      <c r="H4" s="134"/>
      <c r="J4" s="43" t="s">
        <v>67</v>
      </c>
    </row>
    <row r="5" spans="1:11" x14ac:dyDescent="0.15">
      <c r="E5" s="54"/>
      <c r="F5" s="55" t="s">
        <v>8</v>
      </c>
      <c r="G5" s="56" t="s">
        <v>9</v>
      </c>
      <c r="H5" s="57" t="s">
        <v>10</v>
      </c>
    </row>
    <row r="6" spans="1:11" x14ac:dyDescent="0.15">
      <c r="B6" s="46" t="s">
        <v>5</v>
      </c>
      <c r="E6" s="58" t="s">
        <v>12</v>
      </c>
      <c r="F6" s="59">
        <v>0.72423698369127354</v>
      </c>
      <c r="G6" s="60">
        <v>0.7136606712665694</v>
      </c>
      <c r="H6" s="61">
        <v>0.73481329611597768</v>
      </c>
    </row>
    <row r="7" spans="1:11" x14ac:dyDescent="0.15">
      <c r="B7" s="50" t="s">
        <v>4</v>
      </c>
      <c r="C7" s="51" t="s">
        <v>19</v>
      </c>
      <c r="E7" s="58" t="s">
        <v>68</v>
      </c>
      <c r="F7" s="59">
        <v>5.9696934167863085E-2</v>
      </c>
      <c r="G7" s="60">
        <v>5.4299241827622476E-2</v>
      </c>
      <c r="H7" s="61">
        <v>6.5094626508103701E-2</v>
      </c>
    </row>
    <row r="8" spans="1:11" x14ac:dyDescent="0.15">
      <c r="B8" s="50" t="str">
        <f>IF(C7="Constant","Value =",IF(C7="Erlang","Mean =",IF(C7="Exponential","Mean =",IF(C7="Translated Exponential","Minimum Value =","Minimum Value ="))))</f>
        <v>Value =</v>
      </c>
      <c r="C8" s="51">
        <v>15</v>
      </c>
      <c r="E8" s="62" t="s">
        <v>13</v>
      </c>
      <c r="F8" s="63">
        <v>10.863554755369103</v>
      </c>
      <c r="G8" s="60">
        <v>10.70491006899854</v>
      </c>
      <c r="H8" s="61">
        <v>11.022199441739666</v>
      </c>
    </row>
    <row r="9" spans="1:11" x14ac:dyDescent="0.15">
      <c r="B9" s="50" t="str">
        <f>IF(C7="Erlang","k =",IF(C7="Translated Exponential","Mean =",IF(C7="Uniform","Maximum Value =","")))</f>
        <v/>
      </c>
      <c r="C9" s="51">
        <v>20</v>
      </c>
      <c r="E9" s="62" t="s">
        <v>69</v>
      </c>
      <c r="F9" s="63">
        <v>0.89545401251794632</v>
      </c>
      <c r="G9" s="60">
        <v>0.81448862741433714</v>
      </c>
      <c r="H9" s="61">
        <v>0.9764193976215555</v>
      </c>
      <c r="J9" s="8"/>
      <c r="K9" s="8"/>
    </row>
    <row r="10" spans="1:11" x14ac:dyDescent="0.15">
      <c r="E10" s="58"/>
      <c r="F10" s="59"/>
      <c r="G10" s="60"/>
      <c r="H10" s="61"/>
    </row>
    <row r="11" spans="1:11" x14ac:dyDescent="0.15">
      <c r="B11" s="46" t="s">
        <v>3</v>
      </c>
      <c r="E11" s="58" t="s">
        <v>70</v>
      </c>
      <c r="F11" s="59">
        <v>0.33545995047658955</v>
      </c>
      <c r="G11" s="60">
        <v>0.32923115171601669</v>
      </c>
      <c r="H11" s="61">
        <v>0.34168874923716241</v>
      </c>
    </row>
    <row r="12" spans="1:11" x14ac:dyDescent="0.15">
      <c r="B12" s="50" t="s">
        <v>4</v>
      </c>
      <c r="C12" s="51" t="s">
        <v>18</v>
      </c>
      <c r="E12" s="58" t="s">
        <v>71</v>
      </c>
      <c r="F12" s="59">
        <v>0.60614556004197018</v>
      </c>
      <c r="G12" s="60">
        <v>0.60144539625365567</v>
      </c>
      <c r="H12" s="61">
        <v>0.61084572383028468</v>
      </c>
    </row>
    <row r="13" spans="1:11" x14ac:dyDescent="0.15">
      <c r="B13" s="50" t="str">
        <f>IF(C12="Constant","Value =",IF(C12="Erlang","Mean =",IF(C12="Exponential","Mean =",IF(C12="Translated Exponential","Minimum Value =","Minimum Value ="))))</f>
        <v>Mean =</v>
      </c>
      <c r="C13" s="51">
        <v>10</v>
      </c>
      <c r="E13" s="58" t="s">
        <v>72</v>
      </c>
      <c r="F13" s="59">
        <v>5.7092044795017477E-2</v>
      </c>
      <c r="G13" s="60">
        <v>5.2375328019449302E-2</v>
      </c>
      <c r="H13" s="61">
        <v>6.1808761570585652E-2</v>
      </c>
    </row>
    <row r="14" spans="1:11" x14ac:dyDescent="0.15">
      <c r="B14" s="50" t="str">
        <f>IF(C12="Erlang","k =",IF(C12="Translated Exponential","Mean =",IF(C12="Uniform","Maximum Value =","")))</f>
        <v>k =</v>
      </c>
      <c r="C14" s="51">
        <v>4</v>
      </c>
      <c r="E14" s="58" t="s">
        <v>73</v>
      </c>
      <c r="F14" s="59">
        <v>1.3024446864228038E-3</v>
      </c>
      <c r="G14" s="60">
        <v>7.1209052366300529E-4</v>
      </c>
      <c r="H14" s="61">
        <v>1.8927988491826025E-3</v>
      </c>
    </row>
    <row r="15" spans="1:11" x14ac:dyDescent="0.15">
      <c r="E15" s="58" t="s">
        <v>74</v>
      </c>
      <c r="F15" s="59">
        <v>0</v>
      </c>
      <c r="G15" s="60">
        <v>0</v>
      </c>
      <c r="H15" s="61">
        <v>0</v>
      </c>
    </row>
    <row r="16" spans="1:11" x14ac:dyDescent="0.15">
      <c r="B16" s="46" t="s">
        <v>17</v>
      </c>
      <c r="E16" s="58" t="s">
        <v>75</v>
      </c>
      <c r="F16" s="59">
        <v>0</v>
      </c>
      <c r="G16" s="60">
        <v>0</v>
      </c>
      <c r="H16" s="61">
        <v>0</v>
      </c>
    </row>
    <row r="17" spans="2:8" x14ac:dyDescent="0.15">
      <c r="B17" s="50" t="s">
        <v>16</v>
      </c>
      <c r="C17" s="51">
        <v>10000</v>
      </c>
      <c r="E17" s="58" t="s">
        <v>76</v>
      </c>
      <c r="F17" s="59">
        <v>0</v>
      </c>
      <c r="G17" s="60">
        <v>0</v>
      </c>
      <c r="H17" s="61">
        <v>0</v>
      </c>
    </row>
    <row r="18" spans="2:8" x14ac:dyDescent="0.15">
      <c r="E18" s="58" t="s">
        <v>77</v>
      </c>
      <c r="F18" s="59">
        <v>0</v>
      </c>
      <c r="G18" s="60">
        <v>0</v>
      </c>
      <c r="H18" s="61">
        <v>0</v>
      </c>
    </row>
    <row r="19" spans="2:8" x14ac:dyDescent="0.15">
      <c r="E19" s="58" t="s">
        <v>78</v>
      </c>
      <c r="F19" s="59">
        <v>0</v>
      </c>
      <c r="G19" s="60">
        <v>0</v>
      </c>
      <c r="H19" s="61">
        <v>0</v>
      </c>
    </row>
    <row r="20" spans="2:8" x14ac:dyDescent="0.15">
      <c r="E20" s="58" t="s">
        <v>79</v>
      </c>
      <c r="F20" s="59">
        <v>0</v>
      </c>
      <c r="G20" s="60">
        <v>0</v>
      </c>
      <c r="H20" s="61">
        <v>0</v>
      </c>
    </row>
    <row r="21" spans="2:8" ht="12" thickBot="1" x14ac:dyDescent="0.2">
      <c r="E21" s="64" t="s">
        <v>80</v>
      </c>
      <c r="F21" s="65">
        <v>0</v>
      </c>
      <c r="G21" s="66">
        <v>0</v>
      </c>
      <c r="H21" s="67">
        <v>0</v>
      </c>
    </row>
  </sheetData>
  <mergeCells count="1">
    <mergeCell ref="G4:H4"/>
  </mergeCells>
  <conditionalFormatting sqref="C9">
    <cfRule type="expression" dxfId="2" priority="2" stopIfTrue="1">
      <formula>OR(C7="Exponential",C7="Constant")</formula>
    </cfRule>
  </conditionalFormatting>
  <conditionalFormatting sqref="C14">
    <cfRule type="expression" dxfId="1" priority="3" stopIfTrue="1">
      <formula>OR(C12="Constant",C12="Exponential")</formula>
    </cfRule>
  </conditionalFormatting>
  <conditionalFormatting sqref="C17">
    <cfRule type="expression" dxfId="0" priority="1" stopIfTrue="1">
      <formula>OR(C15="Constant",C15="Exponential")</formula>
    </cfRule>
  </conditionalFormatting>
  <dataValidations count="2">
    <dataValidation type="whole" allowBlank="1" showInputMessage="1" showErrorMessage="1" error="The number of servers must be between 1 and 25 (inclusive)." sqref="C4" xr:uid="{3BE6F928-C753-814A-A4DB-ADE6EDB94131}">
      <formula1>1</formula1>
      <formula2>25</formula2>
    </dataValidation>
    <dataValidation type="list" allowBlank="1" showInputMessage="1" showErrorMessage="1" sqref="C7 C12" xr:uid="{B271B970-78B1-D54B-A917-E2C47F5064A0}">
      <formula1>"Constant,Erlang,Exponential,Translated Exponential,Uniform"</formula1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12.3</vt:lpstr>
      <vt:lpstr>12.9</vt:lpstr>
      <vt:lpstr>12.10</vt:lpstr>
      <vt:lpstr>12.12-a</vt:lpstr>
      <vt:lpstr>12.12-b (Crew 2)</vt:lpstr>
      <vt:lpstr>12.12-b (Crew 3)</vt:lpstr>
      <vt:lpstr>12.12-b (Crew 4)</vt:lpstr>
      <vt:lpstr>12.12-c (Q Sim Cre 2)</vt:lpstr>
      <vt:lpstr>12.12-c (Q Sim Crew 3)</vt:lpstr>
      <vt:lpstr>12.12-c (Q Sim Crew 4)</vt:lpstr>
      <vt:lpstr>12.18-a,b</vt:lpstr>
      <vt:lpstr>12.18c</vt:lpstr>
      <vt:lpstr>12.18d Q Sim (Monitors)</vt:lpstr>
      <vt:lpstr>12.18d Q Sim (Printers)</vt:lpstr>
      <vt:lpstr>12.18e Q Sim (Monitor)</vt:lpstr>
      <vt:lpstr>12.18e Queuing Sim (Printer)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Hillier</dc:creator>
  <cp:lastModifiedBy>Saboorideilami, Vafa</cp:lastModifiedBy>
  <cp:lastPrinted>1999-06-01T06:51:53Z</cp:lastPrinted>
  <dcterms:created xsi:type="dcterms:W3CDTF">1999-02-21T04:48:26Z</dcterms:created>
  <dcterms:modified xsi:type="dcterms:W3CDTF">2025-06-26T04:31:58Z</dcterms:modified>
</cp:coreProperties>
</file>