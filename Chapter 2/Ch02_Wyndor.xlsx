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2/"/>
    </mc:Choice>
  </mc:AlternateContent>
  <xr:revisionPtr revIDLastSave="0" documentId="13_ncr:1_{5FD2CD88-C2EA-B74B-A305-513F4434C39F}" xr6:coauthVersionLast="47" xr6:coauthVersionMax="47" xr10:uidLastSave="{00000000-0000-0000-0000-000000000000}"/>
  <bookViews>
    <workbookView xWindow="0" yWindow="660" windowWidth="28800" windowHeight="17500" xr2:uid="{00000000-000D-0000-FFFF-FFFF00000000}"/>
  </bookViews>
  <sheets>
    <sheet name="Wyndor" sheetId="7" r:id="rId1"/>
  </sheets>
  <definedNames>
    <definedName name="coin_cuttype" localSheetId="0" hidden="1">1</definedName>
    <definedName name="coin_dualtol" localSheetId="0" hidden="1">0.0000001</definedName>
    <definedName name="coin_heurs" localSheetId="0" hidden="1">1</definedName>
    <definedName name="coin_integerpresolve" localSheetId="0" hidden="1">1</definedName>
    <definedName name="coin_presolve1" localSheetId="0" hidden="1">1</definedName>
    <definedName name="coin_primaltol" localSheetId="0" hidden="1">0.0000001</definedName>
    <definedName name="HoursAvailable" localSheetId="0">Wyndor!$G$7:$G$9</definedName>
    <definedName name="HoursAvailable">#REF!</definedName>
    <definedName name="HoursUsed" localSheetId="0">Wyndor!$E$7:$E$9</definedName>
    <definedName name="HoursUsed">#REF!</definedName>
    <definedName name="HoursUsedPerUnitProduced">Wyndor!$C$7:$D$9</definedName>
    <definedName name="solver_adj" localSheetId="0" hidden="1">Wyndor!$C$12:$D$12</definedName>
    <definedName name="solver_adj_ob" localSheetId="0" hidden="1">1</definedName>
    <definedName name="solver_adj_ob1" localSheetId="0" hidden="1">1</definedName>
    <definedName name="solver_cha" localSheetId="0" hidden="1">0</definedName>
    <definedName name="solver_chc1" localSheetId="0" hidden="1">0</definedName>
    <definedName name="solver_chc2" localSheetId="0" hidden="1">0</definedName>
    <definedName name="solver_chn" localSheetId="0" hidden="1">4</definedName>
    <definedName name="solver_chp1" localSheetId="0" hidden="1">0</definedName>
    <definedName name="solver_chp2" localSheetId="0" hidden="1">0</definedName>
    <definedName name="solver_cht" localSheetId="0" hidden="1">0</definedName>
    <definedName name="solver_cir1" localSheetId="0" hidden="1">1</definedName>
    <definedName name="solver_cir2" localSheetId="0" hidden="1">1</definedName>
    <definedName name="solver_con" localSheetId="0" hidden="1">" "</definedName>
    <definedName name="solver_con1" localSheetId="0" hidden="1">" "</definedName>
    <definedName name="solver_con2" localSheetId="0" hidden="1">" "</definedName>
    <definedName name="solver_cvg" localSheetId="0" hidden="1">0.0001</definedName>
    <definedName name="solver_dia" localSheetId="0" hidden="1">5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ao" localSheetId="0" hidden="1">0</definedName>
    <definedName name="solver_int" localSheetId="0" hidden="1">0</definedName>
    <definedName name="solver_irs" localSheetId="0" hidden="1">0</definedName>
    <definedName name="solver_ism" localSheetId="0" hidden="1">0</definedName>
    <definedName name="solver_itr" localSheetId="0" hidden="1">100</definedName>
    <definedName name="solver_kiv" localSheetId="0" hidden="1">2E+30</definedName>
    <definedName name="solver_lhs_ob1" localSheetId="0" hidden="1">0</definedName>
    <definedName name="solver_lhs_ob2" localSheetId="0" hidden="1">0</definedName>
    <definedName name="solver_lhs1" localSheetId="0" hidden="1">Wyndor!$E$7:$E$9</definedName>
    <definedName name="solver_lhs2" localSheetId="0" hidden="1">Wyndor!$I$12</definedName>
    <definedName name="solver_lin" localSheetId="0" hidden="1">1</definedName>
    <definedName name="solver_mda" localSheetId="0" hidden="1">4</definedName>
    <definedName name="solver_mip" localSheetId="0" hidden="1">2147483647</definedName>
    <definedName name="solver_mni" localSheetId="0" hidden="1">30</definedName>
    <definedName name="solver_mod" localSheetId="0" hidden="1">3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tr" localSheetId="0" hidden="1">0</definedName>
    <definedName name="solver_ntri" hidden="1">1000</definedName>
    <definedName name="solver_num" localSheetId="0" hidden="1">1</definedName>
    <definedName name="solver_nwt" localSheetId="0" hidden="1">1</definedName>
    <definedName name="solver_obc" localSheetId="0" hidden="1">0</definedName>
    <definedName name="solver_obp" localSheetId="0" hidden="1">0</definedName>
    <definedName name="solver_opt" localSheetId="0" hidden="1">Wyndor!$G$12</definedName>
    <definedName name="solver_opt_ob" localSheetId="0" hidden="1">1</definedName>
    <definedName name="solver_pre" localSheetId="0" hidden="1">0.000001</definedName>
    <definedName name="solver_psi" localSheetId="0" hidden="1">0</definedName>
    <definedName name="solver_rbv" localSheetId="0" hidden="1">1</definedName>
    <definedName name="solver_rdp" localSheetId="0" hidden="1">0</definedName>
    <definedName name="solver_rel1" localSheetId="0" hidden="1">1</definedName>
    <definedName name="solver_rel2" localSheetId="0" hidden="1">1</definedName>
    <definedName name="solver_rep" localSheetId="0" hidden="1">0</definedName>
    <definedName name="solver_rhs1" localSheetId="0" hidden="1">Wyndor!$G$7:$G$9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rsmp" hidden="1">2</definedName>
    <definedName name="solver_rtr" localSheetId="0" hidden="1">0</definedName>
    <definedName name="solver_rxc1" localSheetId="0" hidden="1">1</definedName>
    <definedName name="solver_rxc2" localSheetId="0" hidden="1">0</definedName>
    <definedName name="solver_rxv" localSheetId="0" hidden="1">1</definedName>
    <definedName name="solver_scl" localSheetId="0" hidden="1">2</definedName>
    <definedName name="solver_seed" hidden="1">0</definedName>
    <definedName name="solver_sel" localSheetId="0" hidden="1">1</definedName>
    <definedName name="solver_sho" localSheetId="0" hidden="1">2</definedName>
    <definedName name="solver_slv" localSheetId="0" hidden="1">0</definedName>
    <definedName name="solver_slvu" localSheetId="0" hidden="1">0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0.01</definedName>
    <definedName name="solver_typ" localSheetId="0" hidden="1">1</definedName>
    <definedName name="solver_umod" localSheetId="0" hidden="1">1</definedName>
    <definedName name="solver_urs" localSheetId="0" hidden="1">0</definedName>
    <definedName name="solver_val" localSheetId="0" hidden="1">0</definedName>
    <definedName name="solver_var" localSheetId="0" hidden="1">" "</definedName>
    <definedName name="solver_ver" localSheetId="0" hidden="1">2</definedName>
    <definedName name="solver_vir" localSheetId="0" hidden="1">1</definedName>
    <definedName name="solver_vol" localSheetId="0" hidden="1">0</definedName>
    <definedName name="solver_vst" localSheetId="0" hidden="1">0</definedName>
    <definedName name="TotalProfit" localSheetId="0">Wyndor!$G$12</definedName>
    <definedName name="TotalProfit">#REF!</definedName>
    <definedName name="UnitProfit" localSheetId="0">Wyndor!$C$4:$D$4</definedName>
    <definedName name="UnitProfit">#REF!</definedName>
    <definedName name="UnitsProduced" localSheetId="0">Wyndor!$C$12:$D$12</definedName>
    <definedName name="UnitsProduced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2" i="7" l="1"/>
  <c r="E9" i="7"/>
  <c r="E8" i="7"/>
  <c r="E7" i="7"/>
</calcChain>
</file>

<file path=xl/sharedStrings.xml><?xml version="1.0" encoding="utf-8"?>
<sst xmlns="http://schemas.openxmlformats.org/spreadsheetml/2006/main" count="33" uniqueCount="28">
  <si>
    <t>Available</t>
  </si>
  <si>
    <t>Plant 1</t>
  </si>
  <si>
    <t>Plant 2</t>
  </si>
  <si>
    <t>Plant 3</t>
  </si>
  <si>
    <t>Unit Profit</t>
  </si>
  <si>
    <t>Hours</t>
  </si>
  <si>
    <t>Doors</t>
  </si>
  <si>
    <t>Windows</t>
  </si>
  <si>
    <t>Wyndor Glass Co. Product-Mix Problem</t>
  </si>
  <si>
    <t>Hours Used Per Unit Produced</t>
  </si>
  <si>
    <t>Units Produced</t>
  </si>
  <si>
    <t>Used</t>
  </si>
  <si>
    <t>Total Profit</t>
  </si>
  <si>
    <t>HoursAvailable</t>
  </si>
  <si>
    <t>HoursUsed</t>
  </si>
  <si>
    <t>TotalProfit</t>
  </si>
  <si>
    <t>UnitProfit</t>
  </si>
  <si>
    <t>UnitsProduced</t>
  </si>
  <si>
    <t>G7:G9</t>
  </si>
  <si>
    <t>E7:E9</t>
  </si>
  <si>
    <t>G12</t>
  </si>
  <si>
    <t>C4:D4</t>
  </si>
  <si>
    <t>C12:D12</t>
  </si>
  <si>
    <t>Range Name</t>
  </si>
  <si>
    <t>Cells</t>
  </si>
  <si>
    <t>HoursUsedPerUnitProduced</t>
  </si>
  <si>
    <t>C7:D9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</si>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</sst>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6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u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164" fontId="3" fillId="3" borderId="0" xfId="0" applyNumberFormat="1" applyFont="1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0" borderId="0" xfId="0" applyFont="1" applyAlignment="1">
      <alignment horizontal="centerContinuous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0" borderId="0" xfId="1" applyNumberFormat="1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164" fontId="3" fillId="5" borderId="9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zoomScale="184" workbookViewId="0">
      <selection activeCell="B6" sqref="B6"/>
    </sheetView>
  </sheetViews>
  <sheetFormatPr baseColWidth="10" defaultColWidth="10.7109375" defaultRowHeight="14" x14ac:dyDescent="0.2"/>
  <cols>
    <col min="1" max="1" width="2.7109375" style="2" customWidth="1"/>
    <col min="2" max="2" width="14.42578125" style="2" customWidth="1"/>
    <col min="3" max="4" width="13.7109375" style="2" customWidth="1"/>
    <col min="5" max="5" width="6.7109375" style="2" customWidth="1"/>
    <col min="6" max="6" width="2.7109375" style="2" customWidth="1"/>
    <col min="7" max="7" width="10.7109375" style="2" customWidth="1"/>
    <col min="8" max="8" width="5.7109375" style="2" customWidth="1"/>
    <col min="9" max="9" width="25.5703125" style="2" customWidth="1"/>
    <col min="10" max="10" width="8.85546875" style="2" customWidth="1"/>
    <col min="11" max="16384" width="10.7109375" style="2"/>
  </cols>
  <sheetData>
    <row r="1" spans="1:10" ht="19" x14ac:dyDescent="0.25">
      <c r="A1" s="1" t="s">
        <v>8</v>
      </c>
    </row>
    <row r="2" spans="1:10" ht="15" thickBot="1" x14ac:dyDescent="0.25"/>
    <row r="3" spans="1:10" ht="15" thickBot="1" x14ac:dyDescent="0.25">
      <c r="C3" s="2" t="s">
        <v>6</v>
      </c>
      <c r="D3" s="2" t="s">
        <v>7</v>
      </c>
      <c r="I3" s="3" t="s">
        <v>23</v>
      </c>
      <c r="J3" s="4" t="s">
        <v>24</v>
      </c>
    </row>
    <row r="4" spans="1:10" x14ac:dyDescent="0.2">
      <c r="B4" s="5" t="s">
        <v>4</v>
      </c>
      <c r="C4" s="6">
        <v>300</v>
      </c>
      <c r="D4" s="6">
        <v>500</v>
      </c>
      <c r="I4" s="7" t="s">
        <v>13</v>
      </c>
      <c r="J4" s="8" t="s">
        <v>18</v>
      </c>
    </row>
    <row r="5" spans="1:10" x14ac:dyDescent="0.2">
      <c r="B5" s="5"/>
      <c r="D5" s="9"/>
      <c r="E5" s="2" t="s">
        <v>5</v>
      </c>
      <c r="G5" s="2" t="s">
        <v>5</v>
      </c>
      <c r="I5" s="10" t="s">
        <v>14</v>
      </c>
      <c r="J5" s="11" t="s">
        <v>19</v>
      </c>
    </row>
    <row r="6" spans="1:10" x14ac:dyDescent="0.2">
      <c r="B6" s="5"/>
      <c r="C6" s="12" t="s">
        <v>9</v>
      </c>
      <c r="D6" s="12"/>
      <c r="E6" s="2" t="s">
        <v>11</v>
      </c>
      <c r="G6" s="2" t="s">
        <v>0</v>
      </c>
      <c r="I6" s="10" t="s">
        <v>25</v>
      </c>
      <c r="J6" s="11" t="s">
        <v>26</v>
      </c>
    </row>
    <row r="7" spans="1:10" x14ac:dyDescent="0.2">
      <c r="B7" s="5" t="s">
        <v>1</v>
      </c>
      <c r="C7" s="13">
        <v>1</v>
      </c>
      <c r="D7" s="13">
        <v>0</v>
      </c>
      <c r="E7" s="2">
        <f>SUMPRODUCT(C7:D7,UnitsProduced)</f>
        <v>2</v>
      </c>
      <c r="F7" s="2" t="s">
        <v>27</v>
      </c>
      <c r="G7" s="13">
        <v>4</v>
      </c>
      <c r="I7" s="10" t="s">
        <v>15</v>
      </c>
      <c r="J7" s="11" t="s">
        <v>20</v>
      </c>
    </row>
    <row r="8" spans="1:10" x14ac:dyDescent="0.2">
      <c r="B8" s="5" t="s">
        <v>2</v>
      </c>
      <c r="C8" s="13">
        <v>0</v>
      </c>
      <c r="D8" s="13">
        <v>2</v>
      </c>
      <c r="E8" s="2">
        <f>SUMPRODUCT(C8:D8,UnitsProduced)</f>
        <v>12</v>
      </c>
      <c r="F8" s="2" t="s">
        <v>27</v>
      </c>
      <c r="G8" s="13">
        <v>12</v>
      </c>
      <c r="I8" s="10" t="s">
        <v>16</v>
      </c>
      <c r="J8" s="11" t="s">
        <v>21</v>
      </c>
    </row>
    <row r="9" spans="1:10" ht="15" thickBot="1" x14ac:dyDescent="0.25">
      <c r="B9" s="5" t="s">
        <v>3</v>
      </c>
      <c r="C9" s="13">
        <v>3</v>
      </c>
      <c r="D9" s="13">
        <v>2</v>
      </c>
      <c r="E9" s="2">
        <f>SUMPRODUCT(C9:D9,UnitsProduced)</f>
        <v>18</v>
      </c>
      <c r="F9" s="2" t="s">
        <v>27</v>
      </c>
      <c r="G9" s="13">
        <v>18</v>
      </c>
      <c r="I9" s="14" t="s">
        <v>17</v>
      </c>
      <c r="J9" s="15" t="s">
        <v>22</v>
      </c>
    </row>
    <row r="10" spans="1:10" x14ac:dyDescent="0.2">
      <c r="B10" s="5"/>
      <c r="F10" s="16"/>
    </row>
    <row r="11" spans="1:10" ht="15" thickBot="1" x14ac:dyDescent="0.25">
      <c r="B11" s="5"/>
      <c r="C11" s="2" t="s">
        <v>6</v>
      </c>
      <c r="D11" s="2" t="s">
        <v>7</v>
      </c>
      <c r="G11" s="2" t="s">
        <v>12</v>
      </c>
    </row>
    <row r="12" spans="1:10" ht="15" thickBot="1" x14ac:dyDescent="0.25">
      <c r="B12" s="5" t="s">
        <v>10</v>
      </c>
      <c r="C12" s="17">
        <v>2</v>
      </c>
      <c r="D12" s="18">
        <v>6</v>
      </c>
      <c r="G12" s="19">
        <f>SUMPRODUCT(UnitProfit,UnitsProduced)</f>
        <v>3600</v>
      </c>
    </row>
    <row r="18" spans="6:6" x14ac:dyDescent="0.2">
      <c r="F18" s="20"/>
    </row>
  </sheetData>
  <mergeCells count="1">
    <mergeCell ref="C6:D6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Wyndor</vt:lpstr>
      <vt:lpstr>Wyndor!HoursAvailable</vt:lpstr>
      <vt:lpstr>Wyndor!HoursUsed</vt:lpstr>
      <vt:lpstr>HoursUsedPerUnitProduced</vt:lpstr>
      <vt:lpstr>Wyndor!TotalProfit</vt:lpstr>
      <vt:lpstr>Wyndor!UnitProfit</vt:lpstr>
      <vt:lpstr>Wyndor!UnitsProduced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2026-05-30T17:55:55Z</dcterms:modified>
</cp:coreProperties>
</file>