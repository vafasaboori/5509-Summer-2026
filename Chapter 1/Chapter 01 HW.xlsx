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1/"/>
    </mc:Choice>
  </mc:AlternateContent>
  <xr:revisionPtr revIDLastSave="0" documentId="13_ncr:1_{D7673CBF-79F3-4146-845D-494390598EDD}" xr6:coauthVersionLast="47" xr6:coauthVersionMax="47" xr10:uidLastSave="{00000000-0000-0000-0000-000000000000}"/>
  <bookViews>
    <workbookView xWindow="0" yWindow="660" windowWidth="29400" windowHeight="18460" activeTab="9" xr2:uid="{00000000-000D-0000-FFFF-FFFF00000000}"/>
  </bookViews>
  <sheets>
    <sheet name="1.1" sheetId="10" r:id="rId1"/>
    <sheet name="1.2" sheetId="1" r:id="rId2"/>
    <sheet name="1.3a" sheetId="2" r:id="rId3"/>
    <sheet name="1.3b" sheetId="3" r:id="rId4"/>
    <sheet name="1.3c" sheetId="4" r:id="rId5"/>
    <sheet name="1.4a,b,c" sheetId="11" r:id="rId6"/>
    <sheet name="1.4d" sheetId="5" r:id="rId7"/>
    <sheet name="1.4e" sheetId="6" r:id="rId8"/>
    <sheet name="1.5" sheetId="12" r:id="rId9"/>
    <sheet name="Case 1-1" sheetId="13" r:id="rId10"/>
  </sheets>
  <definedNames>
    <definedName name="BreakEvenPoint" localSheetId="3">'1.3b'!$F$9</definedName>
    <definedName name="BreakEvenPoint" localSheetId="4">'1.3c'!$F$9</definedName>
    <definedName name="BreakEvenPoint">'1.3a'!$F$9</definedName>
    <definedName name="FixedCost" localSheetId="3">'1.3b'!$C$5</definedName>
    <definedName name="FixedCost" localSheetId="4">'1.3c'!$C$5</definedName>
    <definedName name="FixedCost">'1.3a'!$C$5</definedName>
    <definedName name="MarginalCost" localSheetId="3">'1.3b'!$C$6</definedName>
    <definedName name="MarginalCost" localSheetId="4">'1.3c'!$C$6</definedName>
    <definedName name="MarginalCost">'1.3a'!$C$6</definedName>
    <definedName name="ProductionQuantity" localSheetId="3">'1.3b'!$C$9</definedName>
    <definedName name="ProductionQuantity" localSheetId="4">'1.3c'!$C$9</definedName>
    <definedName name="ProductionQuantity">'1.3a'!$C$9</definedName>
    <definedName name="Profit" localSheetId="3">'1.3b'!$F$7</definedName>
    <definedName name="Profit" localSheetId="4">'1.3c'!$F$7</definedName>
    <definedName name="Profit">'1.3a'!$F$7</definedName>
    <definedName name="SalesForecast" localSheetId="3">'1.3b'!$C$7</definedName>
    <definedName name="SalesForecast" localSheetId="4">'1.3c'!$C$7</definedName>
    <definedName name="SalesForecast">'1.3a'!$C$7</definedName>
    <definedName name="solver_adj" localSheetId="8" hidden="1">'1.5'!$C$38:$D$39</definedName>
    <definedName name="solver_cvg" localSheetId="8" hidden="1">0.0001</definedName>
    <definedName name="solver_drv" localSheetId="8" hidden="1">1</definedName>
    <definedName name="solver_eng" localSheetId="8" hidden="1">2</definedName>
    <definedName name="solver_eng" localSheetId="9" hidden="1">1</definedName>
    <definedName name="solver_itr" localSheetId="8" hidden="1">2147483647</definedName>
    <definedName name="solver_lhs1" localSheetId="8" hidden="1">'1.5'!$C$40</definedName>
    <definedName name="solver_lhs2" localSheetId="8" hidden="1">'1.5'!$D$40</definedName>
    <definedName name="solver_lhs3" localSheetId="8" hidden="1">'1.5'!$E$38</definedName>
    <definedName name="solver_lhs4" localSheetId="8" hidden="1">'1.5'!$E$39</definedName>
    <definedName name="solver_lin" localSheetId="8" hidden="1">1</definedName>
    <definedName name="solver_lin" localSheetId="9" hidden="1">2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eg" localSheetId="9" hidden="1">1</definedName>
    <definedName name="solver_nod" localSheetId="8" hidden="1">2147483647</definedName>
    <definedName name="solver_num" localSheetId="8" hidden="1">4</definedName>
    <definedName name="solver_num" localSheetId="9" hidden="1">0</definedName>
    <definedName name="solver_opt" localSheetId="8" hidden="1">'1.5'!$C$43</definedName>
    <definedName name="solver_opt" localSheetId="9" hidden="1">'Case 1-1'!$C$10</definedName>
    <definedName name="solver_pre" localSheetId="8" hidden="1">0.000001</definedName>
    <definedName name="solver_rbv" localSheetId="8" hidden="1">1</definedName>
    <definedName name="solver_rel1" localSheetId="8" hidden="1">2</definedName>
    <definedName name="solver_rel2" localSheetId="8" hidden="1">3</definedName>
    <definedName name="solver_rel3" localSheetId="8" hidden="1">2</definedName>
    <definedName name="solver_rel4" localSheetId="8" hidden="1">1</definedName>
    <definedName name="solver_rhs1" localSheetId="8" hidden="1">'1.5'!$C$34</definedName>
    <definedName name="solver_rhs2" localSheetId="8" hidden="1">'1.5'!$D$34</definedName>
    <definedName name="solver_rhs3" localSheetId="8" hidden="1">'1.5'!$E$32</definedName>
    <definedName name="solver_rhs4" localSheetId="8" hidden="1">'1.5'!$E$33</definedName>
    <definedName name="solver_rlx" localSheetId="8" hidden="1">1</definedName>
    <definedName name="solver_rsd" localSheetId="8" hidden="1">0</definedName>
    <definedName name="solver_scl" localSheetId="8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typ" localSheetId="9" hidden="1">1</definedName>
    <definedName name="solver_val" localSheetId="8" hidden="1">0</definedName>
    <definedName name="solver_val" localSheetId="9" hidden="1">0</definedName>
    <definedName name="solver_ver" localSheetId="8" hidden="1">2</definedName>
    <definedName name="solver_ver" localSheetId="9" hidden="1">2</definedName>
    <definedName name="TotalFixedCost" localSheetId="3">'1.3b'!$F$5</definedName>
    <definedName name="TotalFixedCost" localSheetId="4">'1.3c'!$F$5</definedName>
    <definedName name="TotalFixedCost">'1.3a'!$F$5</definedName>
    <definedName name="TotalRevenue" localSheetId="3">'1.3b'!$F$4</definedName>
    <definedName name="TotalRevenue" localSheetId="4">'1.3c'!$F$4</definedName>
    <definedName name="TotalRevenue">'1.3a'!$F$4</definedName>
    <definedName name="TotalVariableCost" localSheetId="3">'1.3b'!$F$6</definedName>
    <definedName name="TotalVariableCost" localSheetId="4">'1.3c'!$F$6</definedName>
    <definedName name="TotalVariableCost">'1.3a'!$F$6</definedName>
    <definedName name="UnitRevenue" localSheetId="3">'1.3b'!$C$4</definedName>
    <definedName name="UnitRevenue" localSheetId="4">'1.3c'!$C$4</definedName>
    <definedName name="UnitRevenue">'1.3a'!$C$4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1" l="1"/>
  <c r="E9" i="11"/>
  <c r="E10" i="11"/>
  <c r="E11" i="11"/>
  <c r="E12" i="11"/>
  <c r="E13" i="11"/>
  <c r="E14" i="11"/>
  <c r="E15" i="11"/>
  <c r="E7" i="11"/>
  <c r="C41" i="13"/>
  <c r="D7" i="11"/>
  <c r="C7" i="11"/>
  <c r="F91" i="13"/>
  <c r="F77" i="13"/>
  <c r="C77" i="13" s="1"/>
  <c r="F66" i="13"/>
  <c r="C66" i="13" s="1"/>
  <c r="F53" i="13"/>
  <c r="C53" i="13" s="1"/>
  <c r="F41" i="13"/>
  <c r="D18" i="13"/>
  <c r="D19" i="13"/>
  <c r="D20" i="13"/>
  <c r="D21" i="13"/>
  <c r="D22" i="13"/>
  <c r="D23" i="13"/>
  <c r="D24" i="13"/>
  <c r="D25" i="13"/>
  <c r="D17" i="13"/>
  <c r="C18" i="13"/>
  <c r="C19" i="13"/>
  <c r="C20" i="13"/>
  <c r="C21" i="13"/>
  <c r="C22" i="13"/>
  <c r="C23" i="13"/>
  <c r="C24" i="13"/>
  <c r="C25" i="13"/>
  <c r="C17" i="13"/>
  <c r="B9" i="6"/>
  <c r="F4" i="13"/>
  <c r="F9" i="13"/>
  <c r="F6" i="13"/>
  <c r="F5" i="13"/>
  <c r="D16" i="11"/>
  <c r="E16" i="11"/>
  <c r="C16" i="11"/>
  <c r="B10" i="6"/>
  <c r="C67" i="13"/>
  <c r="C78" i="13"/>
  <c r="C42" i="13"/>
  <c r="C54" i="13"/>
  <c r="F88" i="13" l="1"/>
  <c r="F87" i="13"/>
  <c r="F86" i="13"/>
  <c r="F74" i="13"/>
  <c r="F73" i="13"/>
  <c r="F72" i="13"/>
  <c r="F63" i="13"/>
  <c r="F62" i="13"/>
  <c r="F61" i="13"/>
  <c r="E22" i="13"/>
  <c r="E21" i="13"/>
  <c r="E20" i="13"/>
  <c r="E19" i="13"/>
  <c r="E17" i="13"/>
  <c r="E25" i="13"/>
  <c r="E24" i="13"/>
  <c r="E23" i="13"/>
  <c r="E18" i="13"/>
  <c r="F50" i="13"/>
  <c r="F48" i="13"/>
  <c r="F49" i="13"/>
  <c r="F38" i="13"/>
  <c r="F36" i="13"/>
  <c r="F37" i="13"/>
  <c r="F7" i="13"/>
  <c r="C43" i="12"/>
  <c r="D40" i="12"/>
  <c r="C40" i="12"/>
  <c r="E39" i="12"/>
  <c r="E38" i="12"/>
  <c r="F89" i="13" l="1"/>
  <c r="F64" i="13"/>
  <c r="F75" i="13"/>
  <c r="F51" i="13"/>
  <c r="F39" i="13"/>
  <c r="E9" i="5"/>
  <c r="E4" i="5"/>
  <c r="E5" i="5"/>
  <c r="E6" i="5"/>
  <c r="C15" i="11"/>
  <c r="D15" i="11"/>
  <c r="C14" i="11"/>
  <c r="D14" i="11"/>
  <c r="D8" i="11"/>
  <c r="D9" i="11"/>
  <c r="D10" i="11"/>
  <c r="D11" i="11"/>
  <c r="D12" i="11"/>
  <c r="D13" i="11"/>
  <c r="C8" i="11"/>
  <c r="C9" i="11"/>
  <c r="C10" i="11"/>
  <c r="C11" i="11"/>
  <c r="C12" i="11"/>
  <c r="C13" i="11"/>
  <c r="E9" i="6"/>
  <c r="F9" i="4"/>
  <c r="F6" i="4"/>
  <c r="F5" i="4"/>
  <c r="F4" i="4"/>
  <c r="F9" i="3"/>
  <c r="F6" i="3"/>
  <c r="F7" i="3" s="1"/>
  <c r="F5" i="3"/>
  <c r="F4" i="3"/>
  <c r="F9" i="2"/>
  <c r="F6" i="2"/>
  <c r="F5" i="2"/>
  <c r="F4" i="2"/>
  <c r="E17" i="1"/>
  <c r="E16" i="1"/>
  <c r="E15" i="1"/>
  <c r="F16" i="1"/>
  <c r="F15" i="1"/>
  <c r="F4" i="5"/>
  <c r="F5" i="5"/>
  <c r="F7" i="5"/>
  <c r="F9" i="5"/>
  <c r="F6" i="5"/>
  <c r="F18" i="1"/>
  <c r="F17" i="1"/>
  <c r="E18" i="1" l="1"/>
  <c r="E5" i="6"/>
  <c r="E6" i="6"/>
  <c r="E4" i="6"/>
  <c r="E7" i="6" s="1"/>
  <c r="E7" i="5"/>
  <c r="F7" i="4"/>
  <c r="F7" i="2"/>
</calcChain>
</file>

<file path=xl/sharedStrings.xml><?xml version="1.0" encoding="utf-8"?>
<sst xmlns="http://schemas.openxmlformats.org/spreadsheetml/2006/main" count="279" uniqueCount="65">
  <si>
    <t>Data</t>
  </si>
  <si>
    <t>Results</t>
  </si>
  <si>
    <t>Unit Revenue</t>
  </si>
  <si>
    <t>Total Revenue</t>
  </si>
  <si>
    <t>Fixed Cost</t>
  </si>
  <si>
    <t>Total Fixed Cost</t>
  </si>
  <si>
    <t>Marginal Cost</t>
  </si>
  <si>
    <t>Total Variable Cost</t>
  </si>
  <si>
    <t>Sales Forecast</t>
  </si>
  <si>
    <t>Profit (Loss)</t>
  </si>
  <si>
    <t>Production Quantity</t>
  </si>
  <si>
    <t>Range Name</t>
  </si>
  <si>
    <t>Cell</t>
  </si>
  <si>
    <t>BreakEvenPoint</t>
  </si>
  <si>
    <t>F9</t>
  </si>
  <si>
    <t>FixedCost</t>
  </si>
  <si>
    <t>C5</t>
  </si>
  <si>
    <t>MarginalCost</t>
  </si>
  <si>
    <t>C6</t>
  </si>
  <si>
    <t>ProductionQuantity</t>
  </si>
  <si>
    <t>C9</t>
  </si>
  <si>
    <t>Profit</t>
  </si>
  <si>
    <t>F7</t>
  </si>
  <si>
    <t>Break-Even Point</t>
  </si>
  <si>
    <t>SalesForecast</t>
  </si>
  <si>
    <t>C7</t>
  </si>
  <si>
    <t>TotalFixedCost</t>
  </si>
  <si>
    <t>F5</t>
  </si>
  <si>
    <t>TotalRevenue</t>
  </si>
  <si>
    <t>F4</t>
  </si>
  <si>
    <t>TotalVariableCost</t>
  </si>
  <si>
    <t>F6</t>
  </si>
  <si>
    <t>UnitRevenue</t>
  </si>
  <si>
    <t>C4</t>
  </si>
  <si>
    <t>Marginal Production Cost</t>
  </si>
  <si>
    <r>
      <t xml:space="preserve">   </t>
    </r>
    <r>
      <rPr>
        <b/>
        <sz val="11"/>
        <color rgb="FF000000"/>
        <rFont val="Consolas"/>
        <family val="2"/>
      </rPr>
      <t>c)</t>
    </r>
  </si>
  <si>
    <r>
      <t xml:space="preserve">       </t>
    </r>
    <r>
      <rPr>
        <b/>
        <sz val="11"/>
        <color rgb="FF000000"/>
        <rFont val="Calibri"/>
        <family val="2"/>
        <scheme val="minor"/>
      </rPr>
      <t>d)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Q</t>
    </r>
    <r>
      <rPr>
        <sz val="11"/>
        <color rgb="FF000000"/>
        <rFont val="Calibri"/>
        <family val="2"/>
        <scheme val="minor"/>
      </rPr>
      <t xml:space="preserve"> ≤ </t>
    </r>
    <r>
      <rPr>
        <i/>
        <sz val="11"/>
        <color rgb="FF000000"/>
        <rFont val="Calibri"/>
        <family val="2"/>
        <scheme val="minor"/>
      </rPr>
      <t>s</t>
    </r>
    <r>
      <rPr>
        <sz val="11"/>
        <color rgb="FF000000"/>
        <rFont val="Calibri"/>
        <family val="2"/>
        <scheme val="minor"/>
      </rPr>
      <t>.</t>
    </r>
  </si>
  <si>
    <r>
      <t>Problem 1.3</t>
    </r>
    <r>
      <rPr>
        <sz val="10.5"/>
        <color rgb="FF000000"/>
        <rFont val="Consolas"/>
        <family val="2"/>
      </rPr>
      <t xml:space="preserve"> </t>
    </r>
  </si>
  <si>
    <t>a)</t>
  </si>
  <si>
    <r>
      <t>Problem 1.3</t>
    </r>
    <r>
      <rPr>
        <sz val="10"/>
        <color rgb="FF000000"/>
        <rFont val="Consolas"/>
        <family val="2"/>
      </rPr>
      <t xml:space="preserve"> </t>
    </r>
  </si>
  <si>
    <t>c)</t>
  </si>
  <si>
    <t>Revenue</t>
  </si>
  <si>
    <t>Quantity</t>
  </si>
  <si>
    <t>Cost</t>
  </si>
  <si>
    <t>Revenue per Unit</t>
  </si>
  <si>
    <r>
      <t>Problem 1.4</t>
    </r>
    <r>
      <rPr>
        <sz val="10"/>
        <color rgb="FF000000"/>
        <rFont val="Consolas"/>
        <family val="2"/>
      </rPr>
      <t xml:space="preserve"> </t>
    </r>
  </si>
  <si>
    <t>d)</t>
  </si>
  <si>
    <t>e)</t>
  </si>
  <si>
    <t>Supply</t>
  </si>
  <si>
    <t>Plant A</t>
  </si>
  <si>
    <t>Plant B</t>
  </si>
  <si>
    <t>Demand</t>
  </si>
  <si>
    <t>Model</t>
  </si>
  <si>
    <t xml:space="preserve"> Outlet 1</t>
  </si>
  <si>
    <t xml:space="preserve"> Outlet 2</t>
  </si>
  <si>
    <t>Shipped</t>
  </si>
  <si>
    <t>Shipped To</t>
  </si>
  <si>
    <t>Total Cost</t>
  </si>
  <si>
    <t>?</t>
  </si>
  <si>
    <t>Goal Seek Function</t>
  </si>
  <si>
    <t>Case 1-1 Keeping Time</t>
  </si>
  <si>
    <t>a &amp; b)</t>
  </si>
  <si>
    <t>No Formula</t>
  </si>
  <si>
    <t>Formula</t>
  </si>
  <si>
    <t># Start @ 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</si>
</sst>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.00"/>
  </numFmts>
  <fonts count="28" x14ac:knownFonts="1">
    <font>
      <sz val="9"/>
      <color rgb="FF000000"/>
      <name val="Calibri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onsolas"/>
      <family val="2"/>
    </font>
    <font>
      <sz val="11"/>
      <color rgb="FF000000"/>
      <name val="Consolas"/>
      <family val="2"/>
    </font>
    <font>
      <sz val="10"/>
      <color theme="1"/>
      <name val="Consolas"/>
      <family val="2"/>
    </font>
    <font>
      <b/>
      <sz val="10"/>
      <color theme="1"/>
      <name val="Consolas"/>
      <family val="2"/>
    </font>
    <font>
      <sz val="9"/>
      <color theme="1"/>
      <name val="Consolas"/>
      <family val="2"/>
    </font>
    <font>
      <b/>
      <sz val="11"/>
      <color rgb="FF000000"/>
      <name val="Consolas"/>
      <family val="2"/>
    </font>
    <font>
      <b/>
      <sz val="10.5"/>
      <color rgb="FF000000"/>
      <name val="Consolas"/>
      <family val="2"/>
    </font>
    <font>
      <sz val="10.5"/>
      <color rgb="FF000000"/>
      <name val="Consolas"/>
      <family val="2"/>
    </font>
    <font>
      <sz val="10"/>
      <color rgb="FFFF0000"/>
      <name val="Consolas"/>
      <family val="2"/>
    </font>
    <font>
      <b/>
      <sz val="10"/>
      <color rgb="FF000000"/>
      <name val="Consolas"/>
      <family val="2"/>
    </font>
    <font>
      <sz val="10"/>
      <color rgb="FF000000"/>
      <name val="Consolas"/>
      <family val="2"/>
    </font>
    <font>
      <i/>
      <sz val="12"/>
      <color theme="1"/>
      <name val="Consolas"/>
      <family val="2"/>
    </font>
    <font>
      <b/>
      <sz val="12"/>
      <color theme="1"/>
      <name val="Consolas"/>
      <family val="2"/>
    </font>
    <font>
      <sz val="12"/>
      <color theme="1"/>
      <name val="Consolas"/>
      <family val="2"/>
    </font>
    <font>
      <sz val="12"/>
      <color rgb="FFFF0000"/>
      <name val="Consolas"/>
      <family val="2"/>
    </font>
    <font>
      <sz val="9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  <font>
      <sz val="9"/>
      <color rgb="FFFF0000"/>
      <name val="Consolas"/>
      <family val="2"/>
    </font>
    <font>
      <sz val="8"/>
      <name val="Consolas"/>
      <family val="2"/>
    </font>
    <font>
      <sz val="8"/>
      <color theme="1"/>
      <name val="Consolas"/>
      <family val="2"/>
    </font>
    <font>
      <sz val="9"/>
      <color rgb="FF00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9" tint="0.79998168889431442"/>
        <bgColor rgb="FFFBE4D5"/>
      </patternFill>
    </fill>
    <fill>
      <patternFill patternType="solid">
        <fgColor theme="7" tint="0.79998168889431442"/>
        <bgColor rgb="FFDEEAF6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0" fillId="0" borderId="1"/>
    <xf numFmtId="44" fontId="20" fillId="0" borderId="1" applyFont="0" applyFill="0" applyBorder="0" applyAlignment="0" applyProtection="0"/>
    <xf numFmtId="43" fontId="27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6" fontId="7" fillId="2" borderId="1" xfId="0" applyNumberFormat="1" applyFont="1" applyFill="1" applyBorder="1" applyAlignment="1">
      <alignment horizontal="center"/>
    </xf>
    <xf numFmtId="6" fontId="7" fillId="0" borderId="2" xfId="0" applyNumberFormat="1" applyFont="1" applyBorder="1" applyAlignment="1">
      <alignment horizontal="center"/>
    </xf>
    <xf numFmtId="6" fontId="7" fillId="0" borderId="3" xfId="0" applyNumberFormat="1" applyFont="1" applyBorder="1" applyAlignment="1">
      <alignment horizontal="center"/>
    </xf>
    <xf numFmtId="6" fontId="7" fillId="0" borderId="4" xfId="0" applyNumberFormat="1" applyFont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6" fontId="7" fillId="3" borderId="5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3" fontId="7" fillId="4" borderId="6" xfId="0" applyNumberFormat="1" applyFont="1" applyFill="1" applyBorder="1" applyAlignment="1">
      <alignment horizontal="center"/>
    </xf>
    <xf numFmtId="0" fontId="9" fillId="0" borderId="0" xfId="0" applyFont="1"/>
    <xf numFmtId="0" fontId="7" fillId="6" borderId="0" xfId="0" applyFont="1" applyFill="1"/>
    <xf numFmtId="0" fontId="11" fillId="0" borderId="0" xfId="0" applyFont="1"/>
    <xf numFmtId="0" fontId="8" fillId="0" borderId="0" xfId="0" applyFont="1"/>
    <xf numFmtId="0" fontId="8" fillId="5" borderId="7" xfId="0" applyFont="1" applyFill="1" applyBorder="1"/>
    <xf numFmtId="0" fontId="8" fillId="5" borderId="8" xfId="0" applyFont="1" applyFill="1" applyBorder="1"/>
    <xf numFmtId="0" fontId="7" fillId="5" borderId="9" xfId="0" applyFont="1" applyFill="1" applyBorder="1"/>
    <xf numFmtId="0" fontId="7" fillId="5" borderId="10" xfId="0" applyFont="1" applyFill="1" applyBorder="1" applyAlignment="1">
      <alignment horizontal="left"/>
    </xf>
    <xf numFmtId="6" fontId="13" fillId="2" borderId="1" xfId="0" applyNumberFormat="1" applyFont="1" applyFill="1" applyBorder="1" applyAlignment="1">
      <alignment horizontal="center"/>
    </xf>
    <xf numFmtId="0" fontId="7" fillId="5" borderId="11" xfId="0" applyFont="1" applyFill="1" applyBorder="1"/>
    <xf numFmtId="0" fontId="7" fillId="5" borderId="1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3" fontId="7" fillId="3" borderId="5" xfId="0" applyNumberFormat="1" applyFont="1" applyFill="1" applyBorder="1" applyAlignment="1">
      <alignment horizontal="center"/>
    </xf>
    <xf numFmtId="0" fontId="7" fillId="5" borderId="13" xfId="0" applyFont="1" applyFill="1" applyBorder="1"/>
    <xf numFmtId="0" fontId="7" fillId="5" borderId="14" xfId="0" applyFont="1" applyFill="1" applyBorder="1" applyAlignment="1">
      <alignment horizontal="left"/>
    </xf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164" fontId="15" fillId="0" borderId="0" xfId="0" applyNumberFormat="1" applyFont="1"/>
    <xf numFmtId="0" fontId="13" fillId="0" borderId="0" xfId="0" applyFont="1"/>
    <xf numFmtId="164" fontId="13" fillId="0" borderId="0" xfId="0" applyNumberFormat="1" applyFont="1"/>
    <xf numFmtId="0" fontId="14" fillId="0" borderId="15" xfId="0" applyFont="1" applyBorder="1"/>
    <xf numFmtId="3" fontId="13" fillId="2" borderId="1" xfId="0" applyNumberFormat="1" applyFont="1" applyFill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7" fillId="0" borderId="0" xfId="0" quotePrefix="1" applyFont="1" applyAlignment="1">
      <alignment horizontal="right"/>
    </xf>
    <xf numFmtId="0" fontId="17" fillId="8" borderId="1" xfId="0" applyFont="1" applyFill="1" applyBorder="1"/>
    <xf numFmtId="0" fontId="17" fillId="9" borderId="1" xfId="0" applyFont="1" applyFill="1" applyBorder="1"/>
    <xf numFmtId="0" fontId="17" fillId="8" borderId="1" xfId="0" applyFont="1" applyFill="1" applyBorder="1" applyAlignment="1">
      <alignment horizontal="right"/>
    </xf>
    <xf numFmtId="0" fontId="19" fillId="8" borderId="17" xfId="0" applyFont="1" applyFill="1" applyBorder="1"/>
    <xf numFmtId="0" fontId="19" fillId="8" borderId="18" xfId="0" applyFont="1" applyFill="1" applyBorder="1"/>
    <xf numFmtId="0" fontId="18" fillId="9" borderId="1" xfId="0" applyFont="1" applyFill="1" applyBorder="1"/>
    <xf numFmtId="0" fontId="19" fillId="8" borderId="19" xfId="0" applyFont="1" applyFill="1" applyBorder="1"/>
    <xf numFmtId="0" fontId="19" fillId="8" borderId="20" xfId="0" applyFont="1" applyFill="1" applyBorder="1"/>
    <xf numFmtId="0" fontId="18" fillId="6" borderId="0" xfId="0" applyFont="1" applyFill="1"/>
    <xf numFmtId="0" fontId="16" fillId="10" borderId="1" xfId="0" applyFont="1" applyFill="1" applyBorder="1"/>
    <xf numFmtId="0" fontId="17" fillId="10" borderId="1" xfId="0" applyFont="1" applyFill="1" applyBorder="1"/>
    <xf numFmtId="0" fontId="17" fillId="10" borderId="1" xfId="0" quotePrefix="1" applyFont="1" applyFill="1" applyBorder="1" applyAlignment="1">
      <alignment horizontal="left"/>
    </xf>
    <xf numFmtId="0" fontId="17" fillId="10" borderId="1" xfId="0" applyFont="1" applyFill="1" applyBorder="1" applyAlignment="1">
      <alignment horizontal="right"/>
    </xf>
    <xf numFmtId="165" fontId="18" fillId="10" borderId="17" xfId="0" applyNumberFormat="1" applyFont="1" applyFill="1" applyBorder="1"/>
    <xf numFmtId="165" fontId="18" fillId="10" borderId="18" xfId="0" applyNumberFormat="1" applyFont="1" applyFill="1" applyBorder="1"/>
    <xf numFmtId="0" fontId="18" fillId="10" borderId="1" xfId="0" applyFont="1" applyFill="1" applyBorder="1"/>
    <xf numFmtId="165" fontId="18" fillId="10" borderId="19" xfId="0" applyNumberFormat="1" applyFont="1" applyFill="1" applyBorder="1"/>
    <xf numFmtId="165" fontId="18" fillId="10" borderId="20" xfId="0" applyNumberFormat="1" applyFont="1" applyFill="1" applyBorder="1"/>
    <xf numFmtId="0" fontId="17" fillId="10" borderId="1" xfId="0" quotePrefix="1" applyFont="1" applyFill="1" applyBorder="1" applyAlignment="1">
      <alignment horizontal="right"/>
    </xf>
    <xf numFmtId="165" fontId="19" fillId="7" borderId="16" xfId="0" applyNumberFormat="1" applyFont="1" applyFill="1" applyBorder="1"/>
    <xf numFmtId="0" fontId="21" fillId="0" borderId="1" xfId="2" applyFont="1"/>
    <xf numFmtId="0" fontId="22" fillId="0" borderId="1" xfId="2" applyFont="1"/>
    <xf numFmtId="0" fontId="23" fillId="0" borderId="1" xfId="2" applyFont="1" applyAlignment="1">
      <alignment horizontal="center"/>
    </xf>
    <xf numFmtId="0" fontId="23" fillId="11" borderId="21" xfId="2" applyFont="1" applyFill="1" applyBorder="1"/>
    <xf numFmtId="0" fontId="23" fillId="11" borderId="22" xfId="2" applyFont="1" applyFill="1" applyBorder="1"/>
    <xf numFmtId="0" fontId="22" fillId="0" borderId="1" xfId="2" applyFont="1" applyAlignment="1">
      <alignment horizontal="right"/>
    </xf>
    <xf numFmtId="6" fontId="22" fillId="12" borderId="1" xfId="3" applyNumberFormat="1" applyFont="1" applyFill="1" applyBorder="1" applyAlignment="1">
      <alignment horizontal="center"/>
    </xf>
    <xf numFmtId="6" fontId="22" fillId="0" borderId="23" xfId="2" applyNumberFormat="1" applyFont="1" applyBorder="1" applyAlignment="1">
      <alignment horizontal="center"/>
    </xf>
    <xf numFmtId="0" fontId="22" fillId="11" borderId="17" xfId="2" applyFont="1" applyFill="1" applyBorder="1"/>
    <xf numFmtId="0" fontId="22" fillId="11" borderId="18" xfId="2" applyFont="1" applyFill="1" applyBorder="1" applyAlignment="1">
      <alignment horizontal="left"/>
    </xf>
    <xf numFmtId="6" fontId="22" fillId="0" borderId="24" xfId="2" applyNumberFormat="1" applyFont="1" applyBorder="1" applyAlignment="1">
      <alignment horizontal="center"/>
    </xf>
    <xf numFmtId="0" fontId="22" fillId="11" borderId="25" xfId="2" applyFont="1" applyFill="1" applyBorder="1"/>
    <xf numFmtId="0" fontId="22" fillId="11" borderId="26" xfId="2" applyFont="1" applyFill="1" applyBorder="1" applyAlignment="1">
      <alignment horizontal="left"/>
    </xf>
    <xf numFmtId="6" fontId="22" fillId="0" borderId="27" xfId="2" applyNumberFormat="1" applyFont="1" applyBorder="1" applyAlignment="1">
      <alignment horizontal="center"/>
    </xf>
    <xf numFmtId="1" fontId="22" fillId="12" borderId="1" xfId="2" applyNumberFormat="1" applyFont="1" applyFill="1" applyAlignment="1">
      <alignment horizontal="center"/>
    </xf>
    <xf numFmtId="6" fontId="22" fillId="13" borderId="16" xfId="2" applyNumberFormat="1" applyFont="1" applyFill="1" applyBorder="1" applyAlignment="1">
      <alignment horizontal="center"/>
    </xf>
    <xf numFmtId="0" fontId="22" fillId="0" borderId="1" xfId="2" applyFont="1" applyAlignment="1">
      <alignment horizontal="center"/>
    </xf>
    <xf numFmtId="0" fontId="22" fillId="14" borderId="28" xfId="2" applyFont="1" applyFill="1" applyBorder="1" applyAlignment="1">
      <alignment horizontal="center"/>
    </xf>
    <xf numFmtId="3" fontId="22" fillId="13" borderId="16" xfId="2" applyNumberFormat="1" applyFont="1" applyFill="1" applyBorder="1" applyAlignment="1">
      <alignment horizontal="center"/>
    </xf>
    <xf numFmtId="0" fontId="22" fillId="11" borderId="19" xfId="2" applyFont="1" applyFill="1" applyBorder="1"/>
    <xf numFmtId="0" fontId="22" fillId="11" borderId="20" xfId="2" applyFont="1" applyFill="1" applyBorder="1" applyAlignment="1">
      <alignment horizontal="left"/>
    </xf>
    <xf numFmtId="0" fontId="17" fillId="0" borderId="0" xfId="0" applyFont="1" applyAlignment="1">
      <alignment horizontal="right"/>
    </xf>
    <xf numFmtId="0" fontId="1" fillId="0" borderId="0" xfId="0" applyFont="1"/>
    <xf numFmtId="0" fontId="24" fillId="0" borderId="0" xfId="0" applyFont="1"/>
    <xf numFmtId="0" fontId="15" fillId="0" borderId="1" xfId="0" applyFont="1" applyBorder="1"/>
    <xf numFmtId="164" fontId="15" fillId="0" borderId="1" xfId="0" applyNumberFormat="1" applyFont="1" applyBorder="1"/>
    <xf numFmtId="0" fontId="13" fillId="0" borderId="1" xfId="0" applyFont="1" applyBorder="1"/>
    <xf numFmtId="164" fontId="13" fillId="0" borderId="1" xfId="0" applyNumberFormat="1" applyFont="1" applyBorder="1"/>
    <xf numFmtId="6" fontId="13" fillId="12" borderId="1" xfId="3" applyNumberFormat="1" applyFont="1" applyFill="1" applyBorder="1" applyAlignment="1">
      <alignment horizontal="center"/>
    </xf>
    <xf numFmtId="0" fontId="13" fillId="0" borderId="1" xfId="2" applyFont="1" applyAlignment="1">
      <alignment horizontal="right"/>
    </xf>
    <xf numFmtId="1" fontId="13" fillId="12" borderId="1" xfId="2" applyNumberFormat="1" applyFont="1" applyFill="1" applyAlignment="1">
      <alignment horizontal="center"/>
    </xf>
    <xf numFmtId="0" fontId="25" fillId="6" borderId="1" xfId="2" applyFont="1" applyFill="1"/>
    <xf numFmtId="0" fontId="25" fillId="0" borderId="1" xfId="2" applyFont="1"/>
    <xf numFmtId="3" fontId="13" fillId="13" borderId="16" xfId="2" applyNumberFormat="1" applyFont="1" applyFill="1" applyBorder="1" applyAlignment="1">
      <alignment horizontal="center"/>
    </xf>
    <xf numFmtId="0" fontId="25" fillId="6" borderId="1" xfId="2" applyFont="1" applyFill="1" applyAlignment="1">
      <alignment horizontal="center"/>
    </xf>
    <xf numFmtId="0" fontId="26" fillId="6" borderId="0" xfId="0" applyFont="1" applyFill="1"/>
    <xf numFmtId="0" fontId="7" fillId="2" borderId="1" xfId="4" applyNumberFormat="1" applyFont="1" applyFill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29" xfId="0" applyFont="1" applyBorder="1"/>
    <xf numFmtId="0" fontId="15" fillId="6" borderId="29" xfId="0" applyFont="1" applyFill="1" applyBorder="1"/>
    <xf numFmtId="0" fontId="13" fillId="6" borderId="0" xfId="0" applyFont="1" applyFill="1"/>
  </cellXfs>
  <cellStyles count="5">
    <cellStyle name="Comma" xfId="4" builtinId="3"/>
    <cellStyle name="Currency" xfId="1" builtinId="4"/>
    <cellStyle name="Currency 2" xfId="3" xr:uid="{9B4AA756-6BB6-EA42-9AE3-3319F0083E9A}"/>
    <cellStyle name="Normal" xfId="0" builtinId="0"/>
    <cellStyle name="Normal 2" xfId="2" xr:uid="{1E655452-5D7C-2C46-AC23-3344D7C6D3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Breakeven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'1.4a,b,c'!$C$6</c:f>
              <c:strCache>
                <c:ptCount val="1"/>
                <c:pt idx="0">
                  <c:v>Cost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'1.4a,b,c'!$B$7:$B$15</c:f>
              <c:numCache>
                <c:formatCode>General</c:formatCode>
                <c:ptCount val="9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</c:numCache>
            </c:numRef>
          </c:xVal>
          <c:yVal>
            <c:numRef>
              <c:f>'1.4a,b,c'!$C$7:$C$15</c:f>
              <c:numCache>
                <c:formatCode>_("$"* #,##0_);_("$"* \(#,##0\);_("$"* "-"??_);_(@_)</c:formatCode>
                <c:ptCount val="9"/>
                <c:pt idx="0">
                  <c:v>10000000</c:v>
                </c:pt>
                <c:pt idx="1">
                  <c:v>16500000</c:v>
                </c:pt>
                <c:pt idx="2">
                  <c:v>23000000</c:v>
                </c:pt>
                <c:pt idx="3">
                  <c:v>29500000</c:v>
                </c:pt>
                <c:pt idx="4">
                  <c:v>36000000</c:v>
                </c:pt>
                <c:pt idx="5">
                  <c:v>42500000</c:v>
                </c:pt>
                <c:pt idx="6">
                  <c:v>49000000</c:v>
                </c:pt>
                <c:pt idx="7" formatCode="General">
                  <c:v>55500000</c:v>
                </c:pt>
                <c:pt idx="8" formatCode="General">
                  <c:v>62000000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E9-6D48-B669-3FAFCB7F191A}"/>
            </c:ext>
          </c:extLst>
        </c:ser>
        <c:ser>
          <c:idx val="1"/>
          <c:order val="1"/>
          <c:tx>
            <c:strRef>
              <c:f>'1.4a,b,c'!$D$6</c:f>
              <c:strCache>
                <c:ptCount val="1"/>
                <c:pt idx="0">
                  <c:v>Revenue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'1.4a,b,c'!$B$7:$B$15</c:f>
              <c:numCache>
                <c:formatCode>General</c:formatCode>
                <c:ptCount val="9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</c:numCache>
            </c:numRef>
          </c:xVal>
          <c:yVal>
            <c:numRef>
              <c:f>'1.4a,b,c'!$D$7:$D$15</c:f>
              <c:numCache>
                <c:formatCode>_("$"* #,##0_);_("$"* \(#,##0\);_("$"* "-"??_);_(@_)</c:formatCode>
                <c:ptCount val="9"/>
                <c:pt idx="0">
                  <c:v>0</c:v>
                </c:pt>
                <c:pt idx="1">
                  <c:v>8500000</c:v>
                </c:pt>
                <c:pt idx="2">
                  <c:v>17000000</c:v>
                </c:pt>
                <c:pt idx="3">
                  <c:v>25500000</c:v>
                </c:pt>
                <c:pt idx="4">
                  <c:v>34000000</c:v>
                </c:pt>
                <c:pt idx="5">
                  <c:v>42500000</c:v>
                </c:pt>
                <c:pt idx="6">
                  <c:v>51000000</c:v>
                </c:pt>
                <c:pt idx="7" formatCode="General">
                  <c:v>59500000</c:v>
                </c:pt>
                <c:pt idx="8" formatCode="General">
                  <c:v>68000000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E9-6D48-B669-3FAFCB7F1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294208"/>
        <c:axId val="816296480"/>
      </c:scatterChart>
      <c:valAx>
        <c:axId val="81629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296480"/>
        <c:crosses val="autoZero"/>
        <c:crossBetween val="midCat"/>
      </c:valAx>
      <c:valAx>
        <c:axId val="8162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294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'Case 1-1'!$C$16</c:f>
              <c:strCache>
                <c:ptCount val="1"/>
                <c:pt idx="0">
                  <c:v>Cost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'Case 1-1'!$B$17:$B$25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</c:numCache>
            </c:numRef>
          </c:xVal>
          <c:yVal>
            <c:numRef>
              <c:f>'Case 1-1'!$C$17:$C$25</c:f>
              <c:numCache>
                <c:formatCode>_("$"* #,##0_);_("$"* \(#,##0\);_("$"* "-"??_);_(@_)</c:formatCode>
                <c:ptCount val="9"/>
                <c:pt idx="0">
                  <c:v>250000</c:v>
                </c:pt>
                <c:pt idx="1">
                  <c:v>290000</c:v>
                </c:pt>
                <c:pt idx="2">
                  <c:v>330000</c:v>
                </c:pt>
                <c:pt idx="3">
                  <c:v>370000</c:v>
                </c:pt>
                <c:pt idx="4">
                  <c:v>410000</c:v>
                </c:pt>
                <c:pt idx="5">
                  <c:v>450000</c:v>
                </c:pt>
                <c:pt idx="6">
                  <c:v>490000</c:v>
                </c:pt>
                <c:pt idx="7">
                  <c:v>530000</c:v>
                </c:pt>
                <c:pt idx="8">
                  <c:v>570000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97-4C4F-8426-2488E6CD0504}"/>
            </c:ext>
          </c:extLst>
        </c:ser>
        <c:ser>
          <c:idx val="1"/>
          <c:order val="1"/>
          <c:tx>
            <c:strRef>
              <c:f>'Case 1-1'!$D$16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'Case 1-1'!$B$17:$B$25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</c:numCache>
            </c:numRef>
          </c:xVal>
          <c:yVal>
            <c:numRef>
              <c:f>'Case 1-1'!$D$17:$D$25</c:f>
              <c:numCache>
                <c:formatCode>_("$"* #,##0_);_("$"* \(#,##0\);_("$"* "-"??_);_(@_)</c:formatCode>
                <c:ptCount val="9"/>
                <c:pt idx="0">
                  <c:v>0</c:v>
                </c:pt>
                <c:pt idx="1">
                  <c:v>90000</c:v>
                </c:pt>
                <c:pt idx="2">
                  <c:v>180000</c:v>
                </c:pt>
                <c:pt idx="3">
                  <c:v>270000</c:v>
                </c:pt>
                <c:pt idx="4">
                  <c:v>360000</c:v>
                </c:pt>
                <c:pt idx="5">
                  <c:v>450000</c:v>
                </c:pt>
                <c:pt idx="6">
                  <c:v>540000</c:v>
                </c:pt>
                <c:pt idx="7">
                  <c:v>630000</c:v>
                </c:pt>
                <c:pt idx="8">
                  <c:v>720000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97-4C4F-8426-2488E6CD0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152496"/>
        <c:axId val="316154208"/>
      </c:scatterChart>
      <c:valAx>
        <c:axId val="31615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54208"/>
        <c:crosses val="autoZero"/>
        <c:crossBetween val="midCat"/>
      </c:valAx>
      <c:valAx>
        <c:axId val="3161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5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262064</xdr:colOff>
      <xdr:row>0</xdr:row>
      <xdr:rowOff>141111</xdr:rowOff>
    </xdr:from>
    <xdr:to>
      <xdr:col>7</xdr:col>
      <xdr:colOff>645080</xdr:colOff>
      <xdr:row>14</xdr:row>
      <xdr:rowOff>73914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C52524-C71D-6EB4-9E1A-4030B745BC8A}"/>
            </a:ext>
          </a:extLst>
        </xdr:cNvPr>
        <xdr:cNvSpPr txBox="1"/>
      </xdr:nvSpPr>
      <xdr:spPr>
        <a:xfrm>
          <a:off x="262064" y="141111"/>
          <a:ext cx="5463016" cy="20965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ysClr val="windowText" lastClr="00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Problem 1.1</a:t>
          </a:r>
          <a:r>
            <a:rPr lang="en-US">
              <a:solidFill>
                <a:sysClr val="windowText" lastClr="000000"/>
              </a:solidFill>
              <a:latin typeface="Consolas" panose="020B0609020204030204" pitchFamily="49" charset="0"/>
              <a:cs typeface="Consolas" panose="020B0609020204030204" pitchFamily="49" charset="0"/>
            </a:rPr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If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units are produced per month, then</a:t>
          </a:r>
          <a:r>
            <a:rPr lang="en-US">
              <a:latin typeface="Consolas" panose="020B0609020204030204" pitchFamily="49" charset="0"/>
              <a:cs typeface="Consolas" panose="020B0609020204030204" pitchFamily="49" charset="0"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Monthly Profit = $0 		{if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0}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and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–$20,000 + ($20 – $10)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	{if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&gt; 0}.</a:t>
          </a:r>
          <a:r>
            <a:rPr lang="en-US">
              <a:latin typeface="Consolas" panose="020B0609020204030204" pitchFamily="49" charset="0"/>
              <a:cs typeface="Consolas" panose="020B0609020204030204" pitchFamily="49" charset="0"/>
            </a:rPr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Break-even point = $20,000 / ($20 – $10)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     = 2000</a:t>
          </a:r>
        </a:p>
        <a:p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so it will be profitable to produce if Q &gt; 2000.</a:t>
          </a:r>
          <a:r>
            <a:rPr lang="en-US"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178875</xdr:colOff>
      <xdr:row>0</xdr:row>
      <xdr:rowOff>53661</xdr:rowOff>
    </xdr:from>
    <xdr:to>
      <xdr:col>6</xdr:col>
      <xdr:colOff>579641</xdr:colOff>
      <xdr:row>12</xdr:row>
      <xdr:rowOff>13025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8130EE-1F9E-DC49-BECD-B32D40919B12}"/>
            </a:ext>
          </a:extLst>
        </xdr:cNvPr>
        <xdr:cNvSpPr txBox="1"/>
      </xdr:nvSpPr>
      <xdr:spPr>
        <a:xfrm>
          <a:off x="178875" y="53661"/>
          <a:ext cx="6197176" cy="22258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Problem 1.2</a:t>
          </a:r>
          <a:r>
            <a:rPr lang="en-US" sz="105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</a:p>
        <a:p>
          <a:endParaRPr lang="en-US" sz="105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5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a) 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Let </a:t>
          </a:r>
          <a:r>
            <a:rPr lang="en-US" sz="105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be the number of units produced and sold.</a:t>
          </a:r>
        </a:p>
        <a:p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Then</a:t>
          </a:r>
          <a:r>
            <a:rPr lang="en-US" sz="105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Monthly Profit = $0 	{if </a:t>
          </a:r>
          <a:r>
            <a:rPr lang="en-US" sz="105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0},</a:t>
          </a:r>
          <a:r>
            <a:rPr lang="en-US" sz="105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and </a:t>
          </a:r>
        </a:p>
        <a:p>
          <a:r>
            <a:rPr lang="en-US" sz="105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	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–$500,000 + ($35 – $15)</a:t>
          </a:r>
          <a:r>
            <a:rPr lang="en-US" sz="105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5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{if </a:t>
          </a:r>
          <a:r>
            <a:rPr lang="en-US" sz="105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&gt; 0}.</a:t>
          </a:r>
          <a:r>
            <a:rPr lang="en-US" sz="105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</a:p>
        <a:p>
          <a:endParaRPr lang="en-US" sz="105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Break-even point = $500,000 / ($35 – $15) </a:t>
          </a:r>
        </a:p>
        <a:p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05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= 25,000. </a:t>
          </a:r>
          <a:r>
            <a:rPr lang="en-US" sz="105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b)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Let </a:t>
          </a:r>
          <a:r>
            <a:rPr lang="en-US" sz="105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be the number produced,</a:t>
          </a:r>
          <a:r>
            <a:rPr lang="en-US" sz="105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and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</a:t>
          </a:r>
          <a:r>
            <a:rPr lang="en-US" sz="105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the number that can be sold.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Then</a:t>
          </a:r>
          <a:r>
            <a:rPr lang="en-US" sz="105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Profit =</a:t>
          </a:r>
          <a:r>
            <a:rPr lang="en-US" sz="105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0 				{if </a:t>
          </a:r>
          <a:r>
            <a:rPr lang="en-US" sz="105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0} and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              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-$500,000 + $35 * </a:t>
          </a:r>
          <a:r>
            <a:rPr lang="en-US" sz="1050" b="0" i="0" u="none" strike="noStrike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MIN(</a:t>
          </a:r>
          <a:r>
            <a:rPr lang="en-US" sz="1050" b="0" i="1" u="none" strike="noStrike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50" b="0" i="0" u="none" strike="noStrike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050" b="0" i="1" u="none" strike="noStrike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</a:t>
          </a:r>
          <a:r>
            <a:rPr lang="en-US" sz="1050" b="0" i="0" u="none" strike="noStrike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) 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– $15</a:t>
          </a:r>
          <a:r>
            <a:rPr lang="en-US" sz="105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	{if </a:t>
          </a:r>
          <a:r>
            <a:rPr lang="en-US" sz="105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5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&gt; 0}.</a:t>
          </a:r>
          <a:endParaRPr lang="en-US" sz="105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15120</xdr:colOff>
      <xdr:row>16</xdr:row>
      <xdr:rowOff>151189</xdr:rowOff>
    </xdr:from>
    <xdr:to>
      <xdr:col>5</xdr:col>
      <xdr:colOff>257025</xdr:colOff>
      <xdr:row>22</xdr:row>
      <xdr:rowOff>143630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DFD6A39-2ADE-E046-B0CE-8E8BD0C29FB8}"/>
            </a:ext>
          </a:extLst>
        </xdr:cNvPr>
        <xdr:cNvSpPr txBox="1"/>
      </xdr:nvSpPr>
      <xdr:spPr>
        <a:xfrm>
          <a:off x="15120" y="3152320"/>
          <a:ext cx="4611310" cy="1088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b)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Break-even point = ($10,000,000) / ($1700 – $1300) = 25,000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</a:p>
        <a:p>
          <a:endParaRPr lang="en-US" sz="10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c)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Maximize</a:t>
          </a:r>
          <a:r>
            <a:rPr lang="en-US" sz="10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Profit = $0</a:t>
          </a:r>
          <a:r>
            <a:rPr lang="en-US" sz="10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            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{if </a:t>
          </a:r>
          <a:r>
            <a:rPr lang="en-US" sz="10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0} and</a:t>
          </a:r>
        </a:p>
        <a:p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0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–$10,000,000 + $400</a:t>
          </a:r>
          <a:r>
            <a:rPr lang="en-US" sz="10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{if </a:t>
          </a:r>
          <a:r>
            <a:rPr lang="en-US" sz="10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&gt; 0}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</a:p>
        <a:p>
          <a:r>
            <a:rPr lang="en-US" sz="10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to: </a:t>
          </a:r>
        </a:p>
        <a:p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     </a:t>
          </a:r>
          <a:r>
            <a:rPr lang="en-US" sz="10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 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0 ≤ </a:t>
          </a:r>
          <a:r>
            <a:rPr lang="en-US" sz="10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</a:t>
          </a:r>
          <a:r>
            <a:rPr lang="en-US" sz="10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.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</a:p>
      </xdr:txBody>
    </xdr:sp>
    <xdr:clientData/>
  </xdr:twoCellAnchor>
  <xdr:twoCellAnchor>
    <xdr:from>
      <xdr:col>5</xdr:col>
      <xdr:colOff>377976</xdr:colOff>
      <xdr:row>4</xdr:row>
      <xdr:rowOff>98274</xdr:rowOff>
    </xdr:from>
    <xdr:to>
      <xdr:col>13</xdr:col>
      <xdr:colOff>513292</xdr:colOff>
      <xdr:row>22</xdr:row>
      <xdr:rowOff>151190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A96DE3-4C7E-8E42-E5E4-34801C738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41505</xdr:colOff>
      <xdr:row>0</xdr:row>
      <xdr:rowOff>46329</xdr:rowOff>
    </xdr:from>
    <xdr:to>
      <xdr:col>7</xdr:col>
      <xdr:colOff>546312</xdr:colOff>
      <xdr:row>27</xdr:row>
      <xdr:rowOff>85139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6FC27A-D69B-DC84-B06A-50E7467B3C12}"/>
            </a:ext>
          </a:extLst>
        </xdr:cNvPr>
        <xdr:cNvSpPr txBox="1"/>
      </xdr:nvSpPr>
      <xdr:spPr>
        <a:xfrm>
          <a:off x="41505" y="46329"/>
          <a:ext cx="6883187" cy="40616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Problem 1.5</a:t>
          </a: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a)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Jennifer must decide how much to ship: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100" b="0" i="0" u="none" strike="noStrike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from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each plant (A and B)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                                   </a:t>
          </a:r>
          <a:r>
            <a:rPr lang="en-US" sz="1100" b="0" i="0" u="none" strike="noStrike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to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each retail outlet (1 and 2). </a:t>
          </a: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Decision Variables: Let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amount to ship </a:t>
          </a:r>
          <a:r>
            <a:rPr lang="en-US" sz="1100" b="0" i="0" u="none" strike="noStrike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from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plant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(for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A, B) 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	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  </a:t>
          </a:r>
          <a:r>
            <a:rPr lang="en-US" sz="1100" b="0" i="0" u="none" strike="noStrike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to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each retail outlet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(for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1, 2)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b)  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Shipping Cost = $700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$400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$800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$600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B2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30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50</a:t>
          </a:r>
        </a:p>
        <a:p>
          <a:pPr rtl="0"/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40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25</a:t>
          </a:r>
        </a:p>
        <a:p>
          <a:pPr rtl="0"/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all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d)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Minimize Shipping Cost = $700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$400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$800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$600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B2</a:t>
          </a:r>
          <a:b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1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</a:t>
          </a:r>
        </a:p>
        <a:p>
          <a:pPr rtl="0"/>
          <a:r>
            <a:rPr lang="en-US" sz="1100" b="0" i="1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to: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30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500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40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25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all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4</xdr:col>
      <xdr:colOff>684990</xdr:colOff>
      <xdr:row>10</xdr:row>
      <xdr:rowOff>138713</xdr:rowOff>
    </xdr:from>
    <xdr:to>
      <xdr:col>7</xdr:col>
      <xdr:colOff>461172</xdr:colOff>
      <xdr:row>17</xdr:row>
      <xdr:rowOff>35474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838E12-E8BD-DAD6-7576-D9306C7E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1191" y="1628657"/>
          <a:ext cx="2628361" cy="939722"/>
        </a:xfrm>
        <a:prstGeom prst="rect">
          <a:avLst/>
        </a:prstGeom>
      </xdr:spPr>
    </xdr:pic>
    <xdr:clientData/>
  </xdr:twoCellAnchor>
  <xdr:twoCellAnchor editAs="oneCell">
    <xdr:from>
      <xdr:col>5</xdr:col>
      <xdr:colOff>242032</xdr:colOff>
      <xdr:row>30</xdr:row>
      <xdr:rowOff>2544</xdr:rowOff>
    </xdr:from>
    <xdr:to>
      <xdr:col>9</xdr:col>
      <xdr:colOff>451209</xdr:colOff>
      <xdr:row>35</xdr:row>
      <xdr:rowOff>159659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54B663-F30E-4443-80E6-CB5B0AE34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0774" y="4651223"/>
          <a:ext cx="3372196" cy="11874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53879</xdr:colOff>
      <xdr:row>10</xdr:row>
      <xdr:rowOff>15395</xdr:rowOff>
    </xdr:from>
    <xdr:to>
      <xdr:col>6</xdr:col>
      <xdr:colOff>7697</xdr:colOff>
      <xdr:row>14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F548F7-1CFF-754A-B917-108F6170D0CC}"/>
            </a:ext>
          </a:extLst>
        </xdr:cNvPr>
        <xdr:cNvSpPr txBox="1"/>
      </xdr:nvSpPr>
      <xdr:spPr>
        <a:xfrm>
          <a:off x="53879" y="1939637"/>
          <a:ext cx="5603394" cy="708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fontAlgn="base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c) 	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Total Profit = 0 			{if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0} </a:t>
          </a:r>
        </a:p>
        <a:p>
          <a:pPr rtl="0" fontAlgn="base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and	</a:t>
          </a:r>
        </a:p>
        <a:p>
          <a:pPr rtl="0" fontAlgn="base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-$250,000 + $4500 * MIN(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) – $2000 *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	{if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Q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&gt; 0}</a:t>
          </a:r>
        </a:p>
        <a:p>
          <a:br>
            <a:rPr lang="en-US"/>
          </a:b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6</xdr:col>
      <xdr:colOff>425947</xdr:colOff>
      <xdr:row>14</xdr:row>
      <xdr:rowOff>162632</xdr:rowOff>
    </xdr:from>
    <xdr:to>
      <xdr:col>13</xdr:col>
      <xdr:colOff>386183</xdr:colOff>
      <xdr:row>33</xdr:row>
      <xdr:rowOff>159886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4F7C9FD-CD1A-1BFA-7E24-25DD316EA045}"/>
            </a:ext>
          </a:extLst>
        </xdr:cNvPr>
        <xdr:cNvGrpSpPr/>
      </xdr:nvGrpSpPr>
      <xdr:grpSpPr>
        <a:xfrm>
          <a:off x="6728022" y="2798481"/>
          <a:ext cx="4568979" cy="3335996"/>
          <a:chOff x="5593808" y="3165903"/>
          <a:chExt cx="4568978" cy="2633103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FA3ED419-832B-1B4E-A8FC-E12043AD456D}"/>
              </a:ext>
            </a:extLst>
          </xdr:cNvPr>
          <xdr:cNvGraphicFramePr/>
        </xdr:nvGraphicFramePr>
        <xdr:xfrm>
          <a:off x="5593808" y="3165903"/>
          <a:ext cx="4568978" cy="26331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86C79460-4DC8-B400-B1D0-26F7DADAB2E7}"/>
              </a:ext>
            </a:extLst>
          </xdr:cNvPr>
          <xdr:cNvSpPr txBox="1"/>
        </xdr:nvSpPr>
        <xdr:spPr>
          <a:xfrm>
            <a:off x="6453835" y="4281259"/>
            <a:ext cx="1613460" cy="3035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accent1"/>
                </a:solidFill>
                <a:effectLst>
                  <a:glow rad="63500">
                    <a:schemeClr val="accent1">
                      <a:alpha val="40000"/>
                    </a:schemeClr>
                  </a:glow>
                </a:effectLst>
              </a:rPr>
              <a:t>Cost</a:t>
            </a:r>
            <a:r>
              <a:rPr lang="en-US" sz="1100" baseline="0">
                <a:solidFill>
                  <a:schemeClr val="accent1"/>
                </a:solidFill>
                <a:effectLst>
                  <a:glow rad="63500">
                    <a:schemeClr val="accent1">
                      <a:alpha val="40000"/>
                    </a:schemeClr>
                  </a:glow>
                </a:effectLst>
              </a:rPr>
              <a:t> = 250k + 2000Q</a:t>
            </a:r>
            <a:endParaRPr lang="en-US" sz="1100">
              <a:solidFill>
                <a:schemeClr val="accent1"/>
              </a:solidFill>
              <a:effectLst>
                <a:glow rad="63500">
                  <a:schemeClr val="accent1">
                    <a:alpha val="40000"/>
                  </a:schemeClr>
                </a:glow>
              </a:effectLst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85EFC15-5EDE-F749-9EF0-E47E4ED2202C}"/>
              </a:ext>
            </a:extLst>
          </xdr:cNvPr>
          <xdr:cNvSpPr txBox="1"/>
        </xdr:nvSpPr>
        <xdr:spPr>
          <a:xfrm>
            <a:off x="8035984" y="3698816"/>
            <a:ext cx="1613460" cy="3035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accent2"/>
                </a:solidFill>
                <a:effectLst>
                  <a:glow rad="63500">
                    <a:schemeClr val="accent2">
                      <a:alpha val="40000"/>
                    </a:schemeClr>
                  </a:glow>
                </a:effectLst>
              </a:rPr>
              <a:t>Revenue = 4500Q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27F9C9A-AE85-9146-8080-162784C0741E}"/>
              </a:ext>
            </a:extLst>
          </xdr:cNvPr>
          <xdr:cNvSpPr txBox="1"/>
        </xdr:nvSpPr>
        <xdr:spPr>
          <a:xfrm>
            <a:off x="8132471" y="4466247"/>
            <a:ext cx="1613460" cy="3035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bg2">
                    <a:lumMod val="85000"/>
                  </a:schemeClr>
                </a:solidFill>
                <a:effectLst>
                  <a:glow rad="63500">
                    <a:schemeClr val="accent1">
                      <a:alpha val="40000"/>
                    </a:schemeClr>
                  </a:glow>
                </a:effectLst>
              </a:rPr>
              <a:t>Breakeven Point = 100</a:t>
            </a:r>
          </a:p>
        </xdr:txBody>
      </xdr:sp>
    </xdr:grpSp>
    <xdr:clientData/>
  </xdr:twoCellAnchor>
  <xdr:twoCellAnchor>
    <xdr:from>
      <xdr:col>0</xdr:col>
      <xdr:colOff>61867</xdr:colOff>
      <xdr:row>26</xdr:row>
      <xdr:rowOff>22656</xdr:rowOff>
    </xdr:from>
    <xdr:to>
      <xdr:col>6</xdr:col>
      <xdr:colOff>15975</xdr:colOff>
      <xdr:row>29</xdr:row>
      <xdr:rowOff>119811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602299C-02DF-ED4B-A29A-93ECEF415EC8}"/>
            </a:ext>
          </a:extLst>
        </xdr:cNvPr>
        <xdr:cNvSpPr txBox="1"/>
      </xdr:nvSpPr>
      <xdr:spPr>
        <a:xfrm>
          <a:off x="61867" y="4767184"/>
          <a:ext cx="6224234" cy="62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fontAlgn="base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e)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Break-even point = 	$250,000 / ($4500 – $2000) = 100</a:t>
          </a:r>
        </a:p>
        <a:p>
          <a:pPr rtl="0" fontAlgn="base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</a:p>
        <a:p>
          <a:pPr rtl="0" fontAlgn="base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profitable to produce if Q &gt; 100.</a:t>
          </a: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110430</xdr:colOff>
      <xdr:row>78</xdr:row>
      <xdr:rowOff>103837</xdr:rowOff>
    </xdr:from>
    <xdr:to>
      <xdr:col>5</xdr:col>
      <xdr:colOff>1006415</xdr:colOff>
      <xdr:row>83</xdr:row>
      <xdr:rowOff>127798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D12A243-4261-084F-B2B3-F3C8B088A617}"/>
            </a:ext>
          </a:extLst>
        </xdr:cNvPr>
        <xdr:cNvSpPr txBox="1"/>
      </xdr:nvSpPr>
      <xdr:spPr>
        <a:xfrm>
          <a:off x="110430" y="14305472"/>
          <a:ext cx="6183658" cy="9025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j) 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Now suppose that 300 grandfather clocks are produced but</a:t>
          </a:r>
          <a:r>
            <a:rPr lang="en-US" sz="11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only 200 are sold.</a:t>
          </a: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Profit = $4500 * (200) - $2000 * $300 - $250,000 = $50,000. Yes it would still be profitable.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70493</xdr:colOff>
      <xdr:row>30</xdr:row>
      <xdr:rowOff>15976</xdr:rowOff>
    </xdr:from>
    <xdr:to>
      <xdr:col>6</xdr:col>
      <xdr:colOff>7986</xdr:colOff>
      <xdr:row>34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7A30768-6B60-2844-B647-73656C2E2A1B}"/>
            </a:ext>
          </a:extLst>
        </xdr:cNvPr>
        <xdr:cNvSpPr txBox="1"/>
      </xdr:nvSpPr>
      <xdr:spPr>
        <a:xfrm>
          <a:off x="70493" y="5463397"/>
          <a:ext cx="6207619" cy="6869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The fixed cost of designing and setting up the production facility can be as high as $750,000 before it becomes unprofitable to produce the clocks.</a:t>
          </a:r>
        </a:p>
        <a:p>
          <a:pPr rtl="0"/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102442</xdr:colOff>
      <xdr:row>43</xdr:row>
      <xdr:rowOff>87862</xdr:rowOff>
    </xdr:from>
    <xdr:to>
      <xdr:col>6</xdr:col>
      <xdr:colOff>7987</xdr:colOff>
      <xdr:row>45</xdr:row>
      <xdr:rowOff>167735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40AC85D-9CBD-7241-B866-FBF4E937A78E}"/>
            </a:ext>
          </a:extLst>
        </xdr:cNvPr>
        <xdr:cNvSpPr txBox="1"/>
      </xdr:nvSpPr>
      <xdr:spPr>
        <a:xfrm>
          <a:off x="102442" y="7899560"/>
          <a:ext cx="6175671" cy="431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g)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The unit production cost (marginal cost) can be as high as $3,666.67 before it becomes unprofitable to produce the clocks.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102444</xdr:colOff>
      <xdr:row>54</xdr:row>
      <xdr:rowOff>143105</xdr:rowOff>
    </xdr:from>
    <xdr:to>
      <xdr:col>6</xdr:col>
      <xdr:colOff>7987</xdr:colOff>
      <xdr:row>58</xdr:row>
      <xdr:rowOff>119812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386C153-6E15-6841-B760-FBDDF6A3E282}"/>
            </a:ext>
          </a:extLst>
        </xdr:cNvPr>
        <xdr:cNvSpPr txBox="1"/>
      </xdr:nvSpPr>
      <xdr:spPr>
        <a:xfrm>
          <a:off x="102444" y="9967633"/>
          <a:ext cx="6175669" cy="67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h)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If the design and setup cost were 50% higher ($375,000) and the production cost were 50% higher ($3000), then the break-even point would be 250. With a sales forecast of 300, it would still be profitable to produce the clocks.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94455</xdr:colOff>
      <xdr:row>67</xdr:row>
      <xdr:rowOff>71218</xdr:rowOff>
    </xdr:from>
    <xdr:to>
      <xdr:col>6</xdr:col>
      <xdr:colOff>7988</xdr:colOff>
      <xdr:row>69</xdr:row>
      <xdr:rowOff>143773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9722818-D30B-B349-BEA0-688849D4918F}"/>
            </a:ext>
          </a:extLst>
        </xdr:cNvPr>
        <xdr:cNvSpPr txBox="1"/>
      </xdr:nvSpPr>
      <xdr:spPr>
        <a:xfrm>
          <a:off x="94455" y="12260023"/>
          <a:ext cx="6215608" cy="4240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The selling price can be as low as $2833 and it would still be profitable to produce the clocks.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8079-2E7C-E444-8DF2-FEE32A8F84F4}">
  <dimension ref="B17"/>
  <sheetViews>
    <sheetView zoomScale="189" workbookViewId="0">
      <selection activeCell="C17" sqref="C17"/>
    </sheetView>
  </sheetViews>
  <sheetFormatPr baseColWidth="10" defaultRowHeight="12" x14ac:dyDescent="0.15"/>
  <cols>
    <col min="1" max="1" width="14" customWidth="1"/>
  </cols>
  <sheetData>
    <row r="17" spans="2:2" x14ac:dyDescent="0.15">
      <c r="B17" s="8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0:Z1013"/>
  <sheetViews>
    <sheetView zoomScale="195" workbookViewId="0">
      <selection activeCell="D20" sqref="D20"/>
    </sheetView>
  </sheetViews>
  <sheetFormatPr baseColWidth="10" defaultColWidth="14.3984375" defaultRowHeight="15" customHeight="1" x14ac:dyDescent="0.15"/>
  <cols>
    <col min="1" max="1" width="22.19921875" style="2" bestFit="1" customWidth="1"/>
    <col min="2" max="2" width="11.796875" style="2" customWidth="1"/>
    <col min="3" max="3" width="2.796875" style="2" customWidth="1"/>
    <col min="4" max="4" width="22.19921875" style="2" bestFit="1" customWidth="1"/>
    <col min="5" max="5" width="12.3984375" style="2" bestFit="1" customWidth="1"/>
    <col min="6" max="6" width="20" style="2" bestFit="1" customWidth="1"/>
    <col min="7" max="26" width="10.796875" style="2" customWidth="1"/>
    <col min="27" max="16384" width="14.3984375" style="2"/>
  </cols>
  <sheetData>
    <row r="10" spans="1:26" ht="15" customHeight="1" x14ac:dyDescent="0.2">
      <c r="A10" s="3"/>
    </row>
    <row r="11" spans="1:26" ht="15" customHeight="1" x14ac:dyDescent="0.2">
      <c r="A11" s="3"/>
    </row>
    <row r="12" spans="1:26" ht="15" customHeight="1" x14ac:dyDescent="0.2">
      <c r="A12" s="3"/>
    </row>
    <row r="13" spans="1:26" ht="16" customHeight="1" x14ac:dyDescent="0.2">
      <c r="A13" s="3" t="s">
        <v>35</v>
      </c>
    </row>
    <row r="14" spans="1:26" ht="12.75" customHeight="1" thickBot="1" x14ac:dyDescent="0.25">
      <c r="A14" s="4"/>
      <c r="B14" s="5" t="s">
        <v>0</v>
      </c>
      <c r="C14" s="4"/>
      <c r="D14" s="4"/>
      <c r="E14" s="5" t="s">
        <v>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6" t="s">
        <v>2</v>
      </c>
      <c r="B15" s="7">
        <v>35</v>
      </c>
      <c r="C15" s="4"/>
      <c r="D15" s="6" t="s">
        <v>3</v>
      </c>
      <c r="E15" s="8">
        <f>B15*MIN(B18,B20)</f>
        <v>875000</v>
      </c>
      <c r="F15" s="16" t="str">
        <f ca="1">_xlfn.FORMULATEXT(E15)</f>
        <v>=B15*MIN(B18,B20)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6" t="s">
        <v>4</v>
      </c>
      <c r="B16" s="7">
        <v>500000</v>
      </c>
      <c r="C16" s="4"/>
      <c r="D16" s="6" t="s">
        <v>5</v>
      </c>
      <c r="E16" s="9">
        <f>IF(B20&gt;0,B16,0)</f>
        <v>500000</v>
      </c>
      <c r="F16" s="16" t="str">
        <f t="shared" ref="F16:F18" ca="1" si="0">_xlfn.FORMULATEXT(E16)</f>
        <v>=IF(B20&gt;0,B16,0)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6" t="s">
        <v>6</v>
      </c>
      <c r="B17" s="7">
        <v>15</v>
      </c>
      <c r="C17" s="4"/>
      <c r="D17" s="6" t="s">
        <v>7</v>
      </c>
      <c r="E17" s="10">
        <f>B17*B20</f>
        <v>375000</v>
      </c>
      <c r="F17" s="16" t="str">
        <f t="shared" ca="1" si="0"/>
        <v>=B17*B20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6" t="s">
        <v>8</v>
      </c>
      <c r="B18" s="11">
        <v>25000</v>
      </c>
      <c r="C18" s="4"/>
      <c r="D18" s="6" t="s">
        <v>9</v>
      </c>
      <c r="E18" s="12">
        <f>E15-(E16+E17)</f>
        <v>0</v>
      </c>
      <c r="F18" s="16" t="str">
        <f t="shared" ca="1" si="0"/>
        <v>=E15-(E16+E17)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1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6" t="s">
        <v>10</v>
      </c>
      <c r="B20" s="14">
        <v>25000</v>
      </c>
      <c r="C20" s="4"/>
      <c r="D20" s="85" t="s">
        <v>59</v>
      </c>
      <c r="E20" s="1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1" t="s">
        <v>36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.7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2.75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2.75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2.75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2.75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2.75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2.75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2.75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2.75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</sheetData>
  <printOptions gridLines="1"/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88"/>
  <sheetViews>
    <sheetView zoomScale="200" workbookViewId="0">
      <selection activeCell="B5" sqref="B5"/>
    </sheetView>
  </sheetViews>
  <sheetFormatPr baseColWidth="10" defaultColWidth="14.3984375" defaultRowHeight="12" x14ac:dyDescent="0.15"/>
  <cols>
    <col min="1" max="1" width="2.796875" style="2" customWidth="1"/>
    <col min="2" max="2" width="22.796875" style="2" bestFit="1" customWidth="1"/>
    <col min="3" max="3" width="14.796875" style="2" bestFit="1" customWidth="1"/>
    <col min="4" max="4" width="2.796875" style="2" customWidth="1"/>
    <col min="5" max="5" width="22.796875" style="2" bestFit="1" customWidth="1"/>
    <col min="6" max="6" width="14.796875" style="2" bestFit="1" customWidth="1"/>
    <col min="7" max="7" width="6.59765625" style="2" customWidth="1"/>
    <col min="8" max="8" width="18.3984375" style="2" customWidth="1"/>
    <col min="9" max="9" width="5.796875" style="2" customWidth="1"/>
    <col min="10" max="26" width="10.796875" style="2" customWidth="1"/>
    <col min="27" max="16384" width="14.3984375" style="2"/>
  </cols>
  <sheetData>
    <row r="1" spans="1:26" ht="15" x14ac:dyDescent="0.2">
      <c r="A1" s="17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thickBot="1" x14ac:dyDescent="0.25">
      <c r="A2" s="18" t="s">
        <v>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" x14ac:dyDescent="0.2">
      <c r="A3" s="4"/>
      <c r="B3" s="4"/>
      <c r="C3" s="5" t="s">
        <v>0</v>
      </c>
      <c r="D3" s="4"/>
      <c r="E3" s="4"/>
      <c r="F3" s="5" t="s">
        <v>1</v>
      </c>
      <c r="G3" s="4"/>
      <c r="H3" s="19" t="s">
        <v>11</v>
      </c>
      <c r="I3" s="20" t="s">
        <v>12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" x14ac:dyDescent="0.2">
      <c r="A4" s="4"/>
      <c r="B4" s="6" t="s">
        <v>2</v>
      </c>
      <c r="C4" s="7">
        <v>2000</v>
      </c>
      <c r="D4" s="4"/>
      <c r="E4" s="6" t="s">
        <v>3</v>
      </c>
      <c r="F4" s="8">
        <f>UnitRevenue*MIN(SalesForecast,ProductionQuantity)</f>
        <v>60000000</v>
      </c>
      <c r="G4" s="4"/>
      <c r="H4" s="21" t="s">
        <v>13</v>
      </c>
      <c r="I4" s="22" t="s">
        <v>14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" x14ac:dyDescent="0.2">
      <c r="A5" s="4"/>
      <c r="B5" s="99" t="s">
        <v>4</v>
      </c>
      <c r="C5" s="23">
        <v>30000000.000000007</v>
      </c>
      <c r="D5" s="4"/>
      <c r="E5" s="6" t="s">
        <v>5</v>
      </c>
      <c r="F5" s="9">
        <f>IF(ProductionQuantity&gt;0,FixedCost,0)</f>
        <v>30000000.000000007</v>
      </c>
      <c r="G5" s="4"/>
      <c r="H5" s="24" t="s">
        <v>15</v>
      </c>
      <c r="I5" s="25" t="s">
        <v>16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" x14ac:dyDescent="0.2">
      <c r="A6" s="4"/>
      <c r="B6" s="6" t="s">
        <v>6</v>
      </c>
      <c r="C6" s="7">
        <v>1000</v>
      </c>
      <c r="D6" s="4"/>
      <c r="E6" s="6" t="s">
        <v>7</v>
      </c>
      <c r="F6" s="10">
        <f>MarginalCost*ProductionQuantity</f>
        <v>30000000</v>
      </c>
      <c r="G6" s="4"/>
      <c r="H6" s="24" t="s">
        <v>17</v>
      </c>
      <c r="I6" s="25" t="s">
        <v>18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" x14ac:dyDescent="0.2">
      <c r="A7" s="4"/>
      <c r="B7" s="6" t="s">
        <v>8</v>
      </c>
      <c r="C7" s="98">
        <v>30000</v>
      </c>
      <c r="D7" s="4"/>
      <c r="E7" s="6" t="s">
        <v>9</v>
      </c>
      <c r="F7" s="12">
        <f>TotalRevenue-(TotalFixedCost+TotalVariableCost)</f>
        <v>0</v>
      </c>
      <c r="G7" s="4"/>
      <c r="H7" s="24" t="s">
        <v>19</v>
      </c>
      <c r="I7" s="25" t="s">
        <v>20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" x14ac:dyDescent="0.2">
      <c r="A8" s="4"/>
      <c r="B8" s="4"/>
      <c r="C8" s="4"/>
      <c r="D8" s="4"/>
      <c r="E8" s="4"/>
      <c r="F8" s="13"/>
      <c r="G8" s="4"/>
      <c r="H8" s="24" t="s">
        <v>21</v>
      </c>
      <c r="I8" s="25" t="s">
        <v>22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" x14ac:dyDescent="0.2">
      <c r="A9" s="4"/>
      <c r="B9" s="6" t="s">
        <v>10</v>
      </c>
      <c r="C9" s="27">
        <v>30000</v>
      </c>
      <c r="D9" s="4"/>
      <c r="E9" s="6" t="s">
        <v>23</v>
      </c>
      <c r="F9" s="28">
        <f>FixedCost/(UnitRevenue-MarginalCost)</f>
        <v>30000.000000000007</v>
      </c>
      <c r="G9" s="4"/>
      <c r="H9" s="24" t="s">
        <v>24</v>
      </c>
      <c r="I9" s="25" t="s">
        <v>25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" x14ac:dyDescent="0.2">
      <c r="A10" s="4"/>
      <c r="B10" s="4"/>
      <c r="C10" s="4"/>
      <c r="D10" s="4"/>
      <c r="E10" s="4"/>
      <c r="F10" s="4"/>
      <c r="G10" s="4"/>
      <c r="H10" s="24" t="s">
        <v>26</v>
      </c>
      <c r="I10" s="25" t="s">
        <v>27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" x14ac:dyDescent="0.2">
      <c r="A11" s="4"/>
      <c r="B11" s="4"/>
      <c r="C11" s="4"/>
      <c r="D11" s="4"/>
      <c r="E11" s="4"/>
      <c r="F11" s="4"/>
      <c r="G11" s="4"/>
      <c r="H11" s="24" t="s">
        <v>28</v>
      </c>
      <c r="I11" s="25" t="s">
        <v>29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" x14ac:dyDescent="0.2">
      <c r="A12" s="4"/>
      <c r="B12" s="4"/>
      <c r="C12" s="4"/>
      <c r="D12" s="4"/>
      <c r="E12" s="4"/>
      <c r="F12" s="4"/>
      <c r="G12" s="4"/>
      <c r="H12" s="24" t="s">
        <v>30</v>
      </c>
      <c r="I12" s="25" t="s">
        <v>31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" x14ac:dyDescent="0.2">
      <c r="A13" s="4"/>
      <c r="B13" s="4"/>
      <c r="C13" s="4"/>
      <c r="D13" s="4"/>
      <c r="E13" s="4"/>
      <c r="F13" s="4"/>
      <c r="G13" s="4"/>
      <c r="H13" s="29" t="s">
        <v>32</v>
      </c>
      <c r="I13" s="30" t="s">
        <v>33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</sheetData>
  <printOptions gridLines="1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zoomScale="200" zoomScaleNormal="200" workbookViewId="0">
      <selection activeCell="C11" sqref="C11"/>
    </sheetView>
  </sheetViews>
  <sheetFormatPr baseColWidth="10" defaultColWidth="14.3984375" defaultRowHeight="15" customHeight="1" x14ac:dyDescent="0.2"/>
  <cols>
    <col min="1" max="1" width="2.796875" style="32" customWidth="1"/>
    <col min="2" max="2" width="22.59765625" style="32" bestFit="1" customWidth="1"/>
    <col min="3" max="3" width="14.59765625" style="32" bestFit="1" customWidth="1"/>
    <col min="4" max="4" width="2.796875" style="32" customWidth="1"/>
    <col min="5" max="5" width="22.59765625" style="32" bestFit="1" customWidth="1"/>
    <col min="6" max="6" width="14.59765625" style="32" bestFit="1" customWidth="1"/>
    <col min="7" max="7" width="5.796875" style="32" customWidth="1"/>
    <col min="8" max="8" width="18.3984375" style="32" customWidth="1"/>
    <col min="9" max="9" width="5.796875" style="32" customWidth="1"/>
    <col min="10" max="26" width="10.796875" style="32" customWidth="1"/>
    <col min="27" max="16384" width="14.3984375" style="32"/>
  </cols>
  <sheetData>
    <row r="1" spans="1:26" ht="12.75" customHeight="1" x14ac:dyDescent="0.2">
      <c r="A1" s="31" t="s">
        <v>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18" t="s">
        <v>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/>
      <c r="B3" s="4"/>
      <c r="C3" s="5" t="s">
        <v>0</v>
      </c>
      <c r="D3" s="4"/>
      <c r="E3" s="4"/>
      <c r="F3" s="5" t="s">
        <v>1</v>
      </c>
      <c r="G3" s="4"/>
      <c r="H3" s="19" t="s">
        <v>11</v>
      </c>
      <c r="I3" s="20" t="s">
        <v>12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4"/>
      <c r="B4" s="6" t="s">
        <v>2</v>
      </c>
      <c r="C4" s="7">
        <v>2000</v>
      </c>
      <c r="D4" s="4"/>
      <c r="E4" s="6" t="s">
        <v>3</v>
      </c>
      <c r="F4" s="8">
        <f>'1.3b'!UnitRevenue*MIN('1.3b'!SalesForecast,'1.3b'!ProductionQuantity)</f>
        <v>60000000</v>
      </c>
      <c r="G4" s="4"/>
      <c r="H4" s="21" t="s">
        <v>13</v>
      </c>
      <c r="I4" s="22" t="s">
        <v>14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/>
      <c r="B5" s="6" t="s">
        <v>4</v>
      </c>
      <c r="C5" s="7">
        <v>10000000</v>
      </c>
      <c r="D5" s="4"/>
      <c r="E5" s="6" t="s">
        <v>5</v>
      </c>
      <c r="F5" s="9">
        <f>IF('1.3b'!ProductionQuantity&gt;0,'1.3b'!FixedCost,0)</f>
        <v>10000000</v>
      </c>
      <c r="G5" s="4"/>
      <c r="H5" s="24" t="s">
        <v>15</v>
      </c>
      <c r="I5" s="25" t="s">
        <v>16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/>
      <c r="B6" s="99" t="s">
        <v>6</v>
      </c>
      <c r="C6" s="23">
        <v>1666.6666666666665</v>
      </c>
      <c r="D6" s="4"/>
      <c r="E6" s="6" t="s">
        <v>7</v>
      </c>
      <c r="F6" s="10">
        <f>'1.3b'!MarginalCost*'1.3b'!ProductionQuantity</f>
        <v>49999999.999999993</v>
      </c>
      <c r="G6" s="4"/>
      <c r="H6" s="24" t="s">
        <v>17</v>
      </c>
      <c r="I6" s="25" t="s">
        <v>18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/>
      <c r="B7" s="6" t="s">
        <v>8</v>
      </c>
      <c r="C7" s="26">
        <v>30000</v>
      </c>
      <c r="D7" s="4"/>
      <c r="E7" s="6" t="s">
        <v>9</v>
      </c>
      <c r="F7" s="12">
        <f>'1.3b'!TotalRevenue-('1.3b'!TotalFixedCost+'1.3b'!TotalVariableCost)</f>
        <v>0</v>
      </c>
      <c r="G7" s="4"/>
      <c r="H7" s="24" t="s">
        <v>19</v>
      </c>
      <c r="I7" s="25" t="s">
        <v>20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/>
      <c r="B8" s="4"/>
      <c r="C8" s="4"/>
      <c r="D8" s="4"/>
      <c r="E8" s="4"/>
      <c r="F8" s="13"/>
      <c r="G8" s="4"/>
      <c r="H8" s="24" t="s">
        <v>21</v>
      </c>
      <c r="I8" s="25" t="s">
        <v>22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/>
      <c r="B9" s="6" t="s">
        <v>10</v>
      </c>
      <c r="C9" s="27">
        <v>30000</v>
      </c>
      <c r="D9" s="4"/>
      <c r="E9" s="6" t="s">
        <v>23</v>
      </c>
      <c r="F9" s="28">
        <f>'1.3b'!FixedCost/('1.3b'!UnitRevenue-'1.3b'!MarginalCost)</f>
        <v>29999.999999999985</v>
      </c>
      <c r="G9" s="4"/>
      <c r="H9" s="24" t="s">
        <v>24</v>
      </c>
      <c r="I9" s="25" t="s">
        <v>25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B10" s="4"/>
      <c r="C10" s="4"/>
      <c r="D10" s="4"/>
      <c r="E10" s="4"/>
      <c r="F10" s="4"/>
      <c r="G10" s="4"/>
      <c r="H10" s="24" t="s">
        <v>26</v>
      </c>
      <c r="I10" s="25" t="s">
        <v>27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24" t="s">
        <v>28</v>
      </c>
      <c r="I11" s="25" t="s">
        <v>29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/>
      <c r="B12" s="4"/>
      <c r="C12" s="4"/>
      <c r="D12" s="4"/>
      <c r="E12" s="4"/>
      <c r="F12" s="4"/>
      <c r="G12" s="4"/>
      <c r="H12" s="24" t="s">
        <v>30</v>
      </c>
      <c r="I12" s="25" t="s">
        <v>31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29" t="s">
        <v>32</v>
      </c>
      <c r="I13" s="30" t="s">
        <v>33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gridLines="1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zoomScale="200" zoomScaleNormal="200" workbookViewId="0">
      <selection activeCell="F14" sqref="F14"/>
    </sheetView>
  </sheetViews>
  <sheetFormatPr baseColWidth="10" defaultColWidth="14.3984375" defaultRowHeight="15" customHeight="1" x14ac:dyDescent="0.15"/>
  <cols>
    <col min="1" max="1" width="2.796875" style="2" customWidth="1"/>
    <col min="2" max="2" width="22.19921875" style="2" bestFit="1" customWidth="1"/>
    <col min="3" max="3" width="14.19921875" style="2" bestFit="1" customWidth="1"/>
    <col min="4" max="4" width="2.796875" style="2" customWidth="1"/>
    <col min="5" max="5" width="22.19921875" style="2" bestFit="1" customWidth="1"/>
    <col min="6" max="6" width="15.3984375" style="2" bestFit="1" customWidth="1"/>
    <col min="7" max="7" width="5.796875" style="2" customWidth="1"/>
    <col min="8" max="8" width="18.3984375" style="2" customWidth="1"/>
    <col min="9" max="9" width="5.796875" style="2" customWidth="1"/>
    <col min="10" max="26" width="10.796875" style="2" customWidth="1"/>
    <col min="27" max="16384" width="14.3984375" style="2"/>
  </cols>
  <sheetData>
    <row r="1" spans="1:26" ht="12.75" customHeight="1" x14ac:dyDescent="0.2">
      <c r="A1" s="31" t="s">
        <v>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18" t="s">
        <v>40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/>
      <c r="B3" s="4"/>
      <c r="C3" s="5" t="s">
        <v>0</v>
      </c>
      <c r="D3" s="4"/>
      <c r="E3" s="4"/>
      <c r="F3" s="5" t="s">
        <v>1</v>
      </c>
      <c r="G3" s="4"/>
      <c r="H3" s="19" t="s">
        <v>11</v>
      </c>
      <c r="I3" s="20" t="s">
        <v>12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4"/>
      <c r="B4" s="99" t="s">
        <v>2</v>
      </c>
      <c r="C4" s="23">
        <v>1333.3333333333335</v>
      </c>
      <c r="D4" s="4"/>
      <c r="E4" s="6" t="s">
        <v>3</v>
      </c>
      <c r="F4" s="8">
        <f>'1.3c'!UnitRevenue*MIN('1.3c'!SalesForecast,'1.3c'!ProductionQuantity)</f>
        <v>40000000.000000007</v>
      </c>
      <c r="G4" s="4"/>
      <c r="H4" s="21" t="s">
        <v>13</v>
      </c>
      <c r="I4" s="22" t="s">
        <v>14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/>
      <c r="B5" s="6" t="s">
        <v>4</v>
      </c>
      <c r="C5" s="7">
        <v>10000000</v>
      </c>
      <c r="D5" s="4"/>
      <c r="E5" s="6" t="s">
        <v>5</v>
      </c>
      <c r="F5" s="9">
        <f>IF('1.3c'!ProductionQuantity&gt;0,'1.3c'!FixedCost,0)</f>
        <v>10000000</v>
      </c>
      <c r="G5" s="4"/>
      <c r="H5" s="24" t="s">
        <v>15</v>
      </c>
      <c r="I5" s="25" t="s">
        <v>16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/>
      <c r="B6" s="6" t="s">
        <v>6</v>
      </c>
      <c r="C6" s="7">
        <v>1000</v>
      </c>
      <c r="D6" s="4"/>
      <c r="E6" s="6" t="s">
        <v>7</v>
      </c>
      <c r="F6" s="10">
        <f>'1.3c'!MarginalCost*'1.3c'!ProductionQuantity</f>
        <v>30000000</v>
      </c>
      <c r="G6" s="4"/>
      <c r="H6" s="24" t="s">
        <v>17</v>
      </c>
      <c r="I6" s="25" t="s">
        <v>18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/>
      <c r="B7" s="6" t="s">
        <v>8</v>
      </c>
      <c r="C7" s="26">
        <v>30000</v>
      </c>
      <c r="D7" s="4"/>
      <c r="E7" s="6" t="s">
        <v>9</v>
      </c>
      <c r="F7" s="12">
        <f>'1.3c'!TotalRevenue-('1.3c'!TotalFixedCost+'1.3c'!TotalVariableCost)</f>
        <v>0</v>
      </c>
      <c r="G7" s="4"/>
      <c r="H7" s="24" t="s">
        <v>19</v>
      </c>
      <c r="I7" s="25" t="s">
        <v>20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/>
      <c r="B8" s="4"/>
      <c r="C8" s="4"/>
      <c r="D8" s="4"/>
      <c r="E8" s="4"/>
      <c r="F8" s="13"/>
      <c r="G8" s="4"/>
      <c r="H8" s="24" t="s">
        <v>21</v>
      </c>
      <c r="I8" s="25" t="s">
        <v>22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/>
      <c r="B9" s="6" t="s">
        <v>10</v>
      </c>
      <c r="C9" s="27">
        <v>30000</v>
      </c>
      <c r="D9" s="4"/>
      <c r="E9" s="6" t="s">
        <v>23</v>
      </c>
      <c r="F9" s="28">
        <f>'1.3c'!FixedCost/('1.3c'!UnitRevenue-'1.3c'!MarginalCost)</f>
        <v>29999.999999999985</v>
      </c>
      <c r="G9" s="4"/>
      <c r="H9" s="24" t="s">
        <v>24</v>
      </c>
      <c r="I9" s="25" t="s">
        <v>25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B10" s="4"/>
      <c r="C10" s="4"/>
      <c r="D10" s="4"/>
      <c r="E10" s="4"/>
      <c r="F10" s="4"/>
      <c r="G10" s="4"/>
      <c r="H10" s="24" t="s">
        <v>26</v>
      </c>
      <c r="I10" s="25" t="s">
        <v>27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24" t="s">
        <v>28</v>
      </c>
      <c r="I11" s="25" t="s">
        <v>29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/>
      <c r="B12" s="4"/>
      <c r="C12" s="4"/>
      <c r="D12" s="4"/>
      <c r="E12" s="4"/>
      <c r="F12" s="4"/>
      <c r="G12" s="4"/>
      <c r="H12" s="24" t="s">
        <v>30</v>
      </c>
      <c r="I12" s="25" t="s">
        <v>31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29" t="s">
        <v>32</v>
      </c>
      <c r="I13" s="30" t="s">
        <v>33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gridLines="1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EC8A-D2CE-3D40-A650-5E9CDDA33E43}">
  <sheetPr>
    <pageSetUpPr fitToPage="1"/>
  </sheetPr>
  <dimension ref="A1:E24"/>
  <sheetViews>
    <sheetView zoomScale="168" workbookViewId="0">
      <selection activeCell="D25" sqref="D25"/>
    </sheetView>
  </sheetViews>
  <sheetFormatPr baseColWidth="10" defaultColWidth="14.3984375" defaultRowHeight="14" x14ac:dyDescent="0.2"/>
  <cols>
    <col min="1" max="1" width="4.19921875" style="32" customWidth="1"/>
    <col min="2" max="2" width="18.3984375" style="32" bestFit="1" customWidth="1"/>
    <col min="3" max="3" width="16.19921875" style="32" bestFit="1" customWidth="1"/>
    <col min="4" max="4" width="15" style="32" customWidth="1"/>
    <col min="5" max="5" width="16.19921875" style="32" bestFit="1" customWidth="1"/>
    <col min="6" max="9" width="10.59765625" style="32" customWidth="1"/>
    <col min="10" max="27" width="10.796875" style="32" customWidth="1"/>
    <col min="28" max="16384" width="14.3984375" style="32"/>
  </cols>
  <sheetData>
    <row r="1" spans="1:5" ht="22" customHeight="1" x14ac:dyDescent="0.2">
      <c r="A1" s="31" t="s">
        <v>45</v>
      </c>
    </row>
    <row r="2" spans="1:5" x14ac:dyDescent="0.2">
      <c r="A2" s="18" t="s">
        <v>38</v>
      </c>
      <c r="B2" s="32" t="s">
        <v>4</v>
      </c>
      <c r="C2" s="33">
        <v>10000000</v>
      </c>
      <c r="D2" s="33"/>
    </row>
    <row r="3" spans="1:5" x14ac:dyDescent="0.2">
      <c r="B3" s="32" t="s">
        <v>6</v>
      </c>
      <c r="C3" s="33">
        <v>1300</v>
      </c>
      <c r="D3" s="33"/>
    </row>
    <row r="4" spans="1:5" x14ac:dyDescent="0.2">
      <c r="B4" s="32" t="s">
        <v>44</v>
      </c>
      <c r="C4" s="33">
        <v>1700</v>
      </c>
      <c r="D4" s="33"/>
    </row>
    <row r="6" spans="1:5" x14ac:dyDescent="0.2">
      <c r="B6" s="37" t="s">
        <v>42</v>
      </c>
      <c r="C6" s="37" t="s">
        <v>43</v>
      </c>
      <c r="D6" s="37" t="s">
        <v>41</v>
      </c>
      <c r="E6" s="37" t="s">
        <v>21</v>
      </c>
    </row>
    <row r="7" spans="1:5" x14ac:dyDescent="0.2">
      <c r="B7" s="32">
        <v>0</v>
      </c>
      <c r="C7" s="34">
        <f>$C$2+B7*$C$3</f>
        <v>10000000</v>
      </c>
      <c r="D7" s="34">
        <f>$C$4*B7</f>
        <v>0</v>
      </c>
      <c r="E7" s="34">
        <f>D7-C7</f>
        <v>-10000000</v>
      </c>
    </row>
    <row r="8" spans="1:5" x14ac:dyDescent="0.2">
      <c r="B8" s="32">
        <v>5000</v>
      </c>
      <c r="C8" s="34">
        <f t="shared" ref="C8:C15" si="0">$C$2+B8*$C$3</f>
        <v>16500000</v>
      </c>
      <c r="D8" s="34">
        <f t="shared" ref="D8:D15" si="1">$C$4*B8</f>
        <v>8500000</v>
      </c>
      <c r="E8" s="34">
        <f t="shared" ref="E8:E15" si="2">D8-C8</f>
        <v>-8000000</v>
      </c>
    </row>
    <row r="9" spans="1:5" x14ac:dyDescent="0.2">
      <c r="B9" s="32">
        <v>10000</v>
      </c>
      <c r="C9" s="34">
        <f t="shared" si="0"/>
        <v>23000000</v>
      </c>
      <c r="D9" s="34">
        <f t="shared" si="1"/>
        <v>17000000</v>
      </c>
      <c r="E9" s="34">
        <f t="shared" si="2"/>
        <v>-6000000</v>
      </c>
    </row>
    <row r="10" spans="1:5" x14ac:dyDescent="0.2">
      <c r="B10" s="32">
        <v>15000</v>
      </c>
      <c r="C10" s="34">
        <f t="shared" si="0"/>
        <v>29500000</v>
      </c>
      <c r="D10" s="34">
        <f t="shared" si="1"/>
        <v>25500000</v>
      </c>
      <c r="E10" s="34">
        <f t="shared" si="2"/>
        <v>-4000000</v>
      </c>
    </row>
    <row r="11" spans="1:5" x14ac:dyDescent="0.2">
      <c r="B11" s="32">
        <v>20000</v>
      </c>
      <c r="C11" s="34">
        <f t="shared" si="0"/>
        <v>36000000</v>
      </c>
      <c r="D11" s="34">
        <f t="shared" si="1"/>
        <v>34000000</v>
      </c>
      <c r="E11" s="34">
        <f t="shared" si="2"/>
        <v>-2000000</v>
      </c>
    </row>
    <row r="12" spans="1:5" x14ac:dyDescent="0.2">
      <c r="B12" s="35">
        <v>25000</v>
      </c>
      <c r="C12" s="36">
        <f t="shared" si="0"/>
        <v>42500000</v>
      </c>
      <c r="D12" s="36">
        <f t="shared" si="1"/>
        <v>42500000</v>
      </c>
      <c r="E12" s="36">
        <f t="shared" si="2"/>
        <v>0</v>
      </c>
    </row>
    <row r="13" spans="1:5" x14ac:dyDescent="0.2">
      <c r="B13" s="32">
        <v>30000</v>
      </c>
      <c r="C13" s="34">
        <f t="shared" si="0"/>
        <v>49000000</v>
      </c>
      <c r="D13" s="34">
        <f t="shared" si="1"/>
        <v>51000000</v>
      </c>
      <c r="E13" s="34">
        <f t="shared" si="2"/>
        <v>2000000</v>
      </c>
    </row>
    <row r="14" spans="1:5" x14ac:dyDescent="0.2">
      <c r="B14" s="32">
        <v>35000</v>
      </c>
      <c r="C14" s="32">
        <f t="shared" si="0"/>
        <v>55500000</v>
      </c>
      <c r="D14" s="32">
        <f t="shared" si="1"/>
        <v>59500000</v>
      </c>
      <c r="E14" s="34">
        <f t="shared" si="2"/>
        <v>4000000</v>
      </c>
    </row>
    <row r="15" spans="1:5" x14ac:dyDescent="0.2">
      <c r="B15" s="32">
        <v>40000</v>
      </c>
      <c r="C15" s="32">
        <f t="shared" si="0"/>
        <v>62000000</v>
      </c>
      <c r="D15" s="32">
        <f t="shared" si="1"/>
        <v>68000000</v>
      </c>
      <c r="E15" s="34">
        <f t="shared" si="2"/>
        <v>6000000</v>
      </c>
    </row>
    <row r="16" spans="1:5" x14ac:dyDescent="0.2">
      <c r="B16" s="100" t="s">
        <v>63</v>
      </c>
      <c r="C16" s="101" t="str">
        <f ca="1">_xlfn.FORMULATEXT(C15)</f>
        <v>=$C$2+B15*$C$3</v>
      </c>
      <c r="D16" s="101" t="str">
        <f t="shared" ref="D16:E16" ca="1" si="3">_xlfn.FORMULATEXT(D15)</f>
        <v>=$C$4*B15</v>
      </c>
      <c r="E16" s="101" t="str">
        <f t="shared" ca="1" si="3"/>
        <v>=D15-C15</v>
      </c>
    </row>
    <row r="22" spans="2:2" ht="15" x14ac:dyDescent="0.2">
      <c r="B22" s="1"/>
    </row>
    <row r="23" spans="2:2" ht="15" x14ac:dyDescent="0.2">
      <c r="B23" s="1"/>
    </row>
    <row r="24" spans="2:2" ht="15" x14ac:dyDescent="0.2">
      <c r="B24" s="1"/>
    </row>
  </sheetData>
  <printOptions gridLines="1"/>
  <pageMargins left="0.75" right="0.75" top="1" bottom="1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2"/>
  <sheetViews>
    <sheetView zoomScale="200" zoomScaleNormal="200" workbookViewId="0">
      <selection activeCell="B15" sqref="B15"/>
    </sheetView>
  </sheetViews>
  <sheetFormatPr baseColWidth="10" defaultColWidth="14.3984375" defaultRowHeight="12" x14ac:dyDescent="0.15"/>
  <cols>
    <col min="1" max="1" width="27.796875" style="2" customWidth="1"/>
    <col min="2" max="2" width="14" style="2" bestFit="1" customWidth="1"/>
    <col min="3" max="3" width="4.19921875" style="2" customWidth="1"/>
    <col min="4" max="4" width="21.59765625" style="2" bestFit="1" customWidth="1"/>
    <col min="5" max="5" width="15.19921875" style="2" customWidth="1"/>
    <col min="6" max="6" width="16.796875" style="2" bestFit="1" customWidth="1"/>
    <col min="7" max="26" width="10.796875" style="2" customWidth="1"/>
    <col min="27" max="16384" width="14.3984375" style="2"/>
  </cols>
  <sheetData>
    <row r="1" spans="1:26" ht="14" x14ac:dyDescent="0.2">
      <c r="A1" s="31" t="s">
        <v>45</v>
      </c>
    </row>
    <row r="2" spans="1:26" ht="14" x14ac:dyDescent="0.2">
      <c r="A2" s="18" t="s">
        <v>46</v>
      </c>
    </row>
    <row r="3" spans="1:26" ht="15" thickBot="1" x14ac:dyDescent="0.25">
      <c r="A3" s="4"/>
      <c r="B3" s="5" t="s">
        <v>0</v>
      </c>
      <c r="C3" s="4"/>
      <c r="D3" s="4"/>
      <c r="E3" s="5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" x14ac:dyDescent="0.2">
      <c r="A4" s="99" t="s">
        <v>2</v>
      </c>
      <c r="B4" s="23">
        <v>1700</v>
      </c>
      <c r="C4" s="4"/>
      <c r="D4" s="6" t="s">
        <v>3</v>
      </c>
      <c r="E4" s="8">
        <f>B4*MIN(B7,B9)</f>
        <v>51000000</v>
      </c>
      <c r="F4" s="16" t="str">
        <f ca="1">_xlfn.FORMULATEXT(E4)</f>
        <v>=B4*MIN(B7,B9)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" x14ac:dyDescent="0.2">
      <c r="A5" s="6" t="s">
        <v>4</v>
      </c>
      <c r="B5" s="7">
        <v>10000000</v>
      </c>
      <c r="C5" s="4"/>
      <c r="D5" s="6" t="s">
        <v>5</v>
      </c>
      <c r="E5" s="9">
        <f>IF(B9&gt;0,B5,0)</f>
        <v>10000000</v>
      </c>
      <c r="F5" s="16" t="str">
        <f t="shared" ref="F5:F9" ca="1" si="0">_xlfn.FORMULATEXT(E5)</f>
        <v>=IF(B9&gt;0,B5,0)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thickBot="1" x14ac:dyDescent="0.25">
      <c r="A6" s="99" t="s">
        <v>34</v>
      </c>
      <c r="B6" s="23">
        <v>1300</v>
      </c>
      <c r="C6" s="4"/>
      <c r="D6" s="6" t="s">
        <v>7</v>
      </c>
      <c r="E6" s="10">
        <f>B6*B9</f>
        <v>39000000</v>
      </c>
      <c r="F6" s="16" t="str">
        <f t="shared" ca="1" si="0"/>
        <v>=B6*B9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thickBot="1" x14ac:dyDescent="0.25">
      <c r="A7" s="4"/>
      <c r="B7" s="11">
        <v>30000</v>
      </c>
      <c r="C7" s="4"/>
      <c r="D7" s="6" t="s">
        <v>9</v>
      </c>
      <c r="E7" s="12">
        <f>E4-(E5+E6)</f>
        <v>2000000</v>
      </c>
      <c r="F7" s="16" t="str">
        <f t="shared" ca="1" si="0"/>
        <v>=E4-(E5+E6)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thickBot="1" x14ac:dyDescent="0.25">
      <c r="A8" s="4"/>
      <c r="B8" s="4"/>
      <c r="C8" s="4"/>
      <c r="D8" s="4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thickBot="1" x14ac:dyDescent="0.25">
      <c r="A9" s="6" t="s">
        <v>10</v>
      </c>
      <c r="B9" s="14">
        <v>30000</v>
      </c>
      <c r="C9" s="4"/>
      <c r="D9" s="6" t="s">
        <v>23</v>
      </c>
      <c r="E9" s="28">
        <f>B5/(B4-B6)</f>
        <v>25000</v>
      </c>
      <c r="F9" s="16" t="str">
        <f t="shared" ca="1" si="0"/>
        <v>=B5/(B4-B6)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" x14ac:dyDescent="0.2">
      <c r="A10" s="4"/>
      <c r="B10" s="102" t="s">
        <v>64</v>
      </c>
      <c r="C10" s="3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" x14ac:dyDescent="0.2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" x14ac:dyDescent="0.2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" x14ac:dyDescent="0.2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4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4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printOptions gridLines="1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2"/>
  <sheetViews>
    <sheetView zoomScale="200" zoomScaleNormal="200" workbookViewId="0">
      <selection activeCell="B9" sqref="B9"/>
    </sheetView>
  </sheetViews>
  <sheetFormatPr baseColWidth="10" defaultColWidth="14.3984375" defaultRowHeight="12" x14ac:dyDescent="0.15"/>
  <cols>
    <col min="1" max="1" width="27.796875" style="2" customWidth="1"/>
    <col min="2" max="2" width="14" style="2" bestFit="1" customWidth="1"/>
    <col min="3" max="3" width="2.796875" style="2" customWidth="1"/>
    <col min="4" max="4" width="21.796875" style="2" bestFit="1" customWidth="1"/>
    <col min="5" max="5" width="14.796875" style="2" customWidth="1"/>
    <col min="6" max="26" width="10.796875" style="2" customWidth="1"/>
    <col min="27" max="16384" width="14.3984375" style="2"/>
  </cols>
  <sheetData>
    <row r="1" spans="1:26" ht="14" x14ac:dyDescent="0.2">
      <c r="A1" s="31" t="s">
        <v>45</v>
      </c>
    </row>
    <row r="2" spans="1:26" ht="14" x14ac:dyDescent="0.2">
      <c r="A2" s="18" t="s">
        <v>47</v>
      </c>
    </row>
    <row r="3" spans="1:26" ht="14" x14ac:dyDescent="0.2">
      <c r="A3" s="4"/>
      <c r="B3" s="5" t="s">
        <v>0</v>
      </c>
      <c r="C3" s="4"/>
      <c r="D3" s="4"/>
      <c r="E3" s="5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" x14ac:dyDescent="0.2">
      <c r="A4" s="6" t="s">
        <v>2</v>
      </c>
      <c r="B4" s="7">
        <v>1700</v>
      </c>
      <c r="C4" s="4"/>
      <c r="D4" s="6" t="s">
        <v>3</v>
      </c>
      <c r="E4" s="8">
        <f>B4*MIN(B7,B9)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" x14ac:dyDescent="0.2">
      <c r="A5" s="6" t="s">
        <v>4</v>
      </c>
      <c r="B5" s="7">
        <v>10000000</v>
      </c>
      <c r="C5" s="4"/>
      <c r="D5" s="6" t="s">
        <v>5</v>
      </c>
      <c r="E5" s="9">
        <f>IF(B9&gt;0,B5,0)</f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" x14ac:dyDescent="0.2">
      <c r="A6" s="6" t="s">
        <v>34</v>
      </c>
      <c r="B6" s="7">
        <v>1300</v>
      </c>
      <c r="C6" s="4"/>
      <c r="D6" s="6" t="s">
        <v>7</v>
      </c>
      <c r="E6" s="9">
        <f>B6*B9</f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" x14ac:dyDescent="0.2">
      <c r="A7" s="99" t="s">
        <v>8</v>
      </c>
      <c r="B7" s="38">
        <v>20000</v>
      </c>
      <c r="C7" s="4"/>
      <c r="D7" s="6" t="s">
        <v>9</v>
      </c>
      <c r="E7" s="12">
        <f>E4-(E5+E6)</f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" x14ac:dyDescent="0.2">
      <c r="A8" s="4"/>
      <c r="B8" s="4"/>
      <c r="C8" s="4"/>
      <c r="D8" s="4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" x14ac:dyDescent="0.2">
      <c r="A9" s="6" t="s">
        <v>10</v>
      </c>
      <c r="B9" s="14">
        <f>IF(B7&gt;E9,B7,0)</f>
        <v>0</v>
      </c>
      <c r="C9" s="4"/>
      <c r="D9" s="6" t="s">
        <v>23</v>
      </c>
      <c r="E9" s="28">
        <f>B5/(B4-B6)</f>
        <v>25000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" x14ac:dyDescent="0.2">
      <c r="A10" s="4"/>
      <c r="B10" s="97" t="str">
        <f ca="1">_xlfn.FORMULATEXT(B9)</f>
        <v>=IF(B7&gt;E9,B7,0)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4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4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printOptions gridLines="1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B79C-8CCF-1F42-851E-B285250687DA}">
  <dimension ref="A29:E43"/>
  <sheetViews>
    <sheetView topLeftCell="A19" zoomScale="159" workbookViewId="0">
      <selection activeCell="E43" sqref="E43"/>
    </sheetView>
  </sheetViews>
  <sheetFormatPr baseColWidth="10" defaultRowHeight="12" x14ac:dyDescent="0.15"/>
  <cols>
    <col min="1" max="1" width="4.59765625" style="2" customWidth="1"/>
    <col min="2" max="6" width="17" style="2" customWidth="1"/>
    <col min="7" max="16384" width="11" style="2"/>
  </cols>
  <sheetData>
    <row r="29" spans="1:5" ht="16" x14ac:dyDescent="0.2">
      <c r="A29" s="83" t="s">
        <v>47</v>
      </c>
      <c r="C29" s="40"/>
      <c r="D29" s="40"/>
      <c r="E29" s="40"/>
    </row>
    <row r="30" spans="1:5" ht="16" x14ac:dyDescent="0.2">
      <c r="B30" s="40"/>
      <c r="C30" s="40"/>
      <c r="D30" s="40"/>
      <c r="E30" s="40"/>
    </row>
    <row r="31" spans="1:5" ht="17" thickBot="1" x14ac:dyDescent="0.25">
      <c r="B31" s="51" t="s">
        <v>0</v>
      </c>
      <c r="C31" s="52" t="s">
        <v>53</v>
      </c>
      <c r="D31" s="52" t="s">
        <v>54</v>
      </c>
      <c r="E31" s="53" t="s">
        <v>48</v>
      </c>
    </row>
    <row r="32" spans="1:5" ht="16" x14ac:dyDescent="0.2">
      <c r="B32" s="54" t="s">
        <v>49</v>
      </c>
      <c r="C32" s="55">
        <v>700</v>
      </c>
      <c r="D32" s="56">
        <v>400</v>
      </c>
      <c r="E32" s="57">
        <v>30</v>
      </c>
    </row>
    <row r="33" spans="2:5" ht="17" thickBot="1" x14ac:dyDescent="0.25">
      <c r="B33" s="54" t="s">
        <v>50</v>
      </c>
      <c r="C33" s="58">
        <v>800</v>
      </c>
      <c r="D33" s="59">
        <v>600</v>
      </c>
      <c r="E33" s="57">
        <v>50</v>
      </c>
    </row>
    <row r="34" spans="2:5" ht="16" x14ac:dyDescent="0.2">
      <c r="B34" s="60" t="s">
        <v>51</v>
      </c>
      <c r="C34" s="57">
        <v>40</v>
      </c>
      <c r="D34" s="57">
        <v>25</v>
      </c>
      <c r="E34" s="57"/>
    </row>
    <row r="35" spans="2:5" ht="16" x14ac:dyDescent="0.2">
      <c r="B35" s="40"/>
      <c r="C35" s="40"/>
      <c r="D35" s="40"/>
      <c r="E35" s="40"/>
    </row>
    <row r="36" spans="2:5" ht="16" x14ac:dyDescent="0.2">
      <c r="B36" s="40"/>
      <c r="C36" s="40"/>
      <c r="D36" s="40"/>
    </row>
    <row r="37" spans="2:5" ht="17" thickBot="1" x14ac:dyDescent="0.25">
      <c r="B37" s="42" t="s">
        <v>52</v>
      </c>
      <c r="C37" s="42" t="s">
        <v>53</v>
      </c>
      <c r="D37" s="42" t="s">
        <v>54</v>
      </c>
      <c r="E37" s="43" t="s">
        <v>55</v>
      </c>
    </row>
    <row r="38" spans="2:5" ht="16" x14ac:dyDescent="0.2">
      <c r="B38" s="44" t="s">
        <v>49</v>
      </c>
      <c r="C38" s="45">
        <v>5</v>
      </c>
      <c r="D38" s="46">
        <v>25</v>
      </c>
      <c r="E38" s="47">
        <f>SUM(C38:D38)</f>
        <v>30</v>
      </c>
    </row>
    <row r="39" spans="2:5" ht="17" thickBot="1" x14ac:dyDescent="0.25">
      <c r="B39" s="44" t="s">
        <v>50</v>
      </c>
      <c r="C39" s="48">
        <v>35</v>
      </c>
      <c r="D39" s="49">
        <v>0</v>
      </c>
      <c r="E39" s="47">
        <f>SUM(C39:D39)</f>
        <v>35</v>
      </c>
    </row>
    <row r="40" spans="2:5" ht="16" x14ac:dyDescent="0.2">
      <c r="B40" s="43" t="s">
        <v>56</v>
      </c>
      <c r="C40" s="47">
        <f>SUM(C38:C39)</f>
        <v>40</v>
      </c>
      <c r="D40" s="47">
        <f>SUM(D38:D39)</f>
        <v>25</v>
      </c>
      <c r="E40" s="50"/>
    </row>
    <row r="41" spans="2:5" ht="16" x14ac:dyDescent="0.2">
      <c r="B41" s="40"/>
      <c r="C41" s="40"/>
      <c r="D41" s="40"/>
      <c r="E41" s="40"/>
    </row>
    <row r="42" spans="2:5" ht="17" thickBot="1" x14ac:dyDescent="0.25">
      <c r="B42" s="40"/>
      <c r="C42" s="39"/>
      <c r="D42" s="40"/>
      <c r="E42" s="40"/>
    </row>
    <row r="43" spans="2:5" ht="18" customHeight="1" thickBot="1" x14ac:dyDescent="0.25">
      <c r="B43" s="41" t="s">
        <v>57</v>
      </c>
      <c r="C43" s="61">
        <f>SUMPRODUCT(C32:D33,C38:D39)</f>
        <v>41500</v>
      </c>
      <c r="D43" s="40"/>
      <c r="E43" s="4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1E16-353D-C647-8DDF-99AD0B9FF73A}">
  <dimension ref="A1:I92"/>
  <sheetViews>
    <sheetView tabSelected="1" topLeftCell="A67" zoomScale="159" workbookViewId="0">
      <selection activeCell="A87" sqref="A87"/>
    </sheetView>
  </sheetViews>
  <sheetFormatPr baseColWidth="10" defaultColWidth="9.19921875" defaultRowHeight="14" x14ac:dyDescent="0.2"/>
  <cols>
    <col min="1" max="1" width="9.59765625" style="63" customWidth="1"/>
    <col min="2" max="2" width="22.19921875" style="63" bestFit="1" customWidth="1"/>
    <col min="3" max="3" width="16.796875" style="63" customWidth="1"/>
    <col min="4" max="4" width="12.59765625" style="63" bestFit="1" customWidth="1"/>
    <col min="5" max="5" width="22.19921875" style="63" bestFit="1" customWidth="1"/>
    <col min="6" max="6" width="16" style="63" bestFit="1" customWidth="1"/>
    <col min="7" max="7" width="9.19921875" style="63"/>
    <col min="8" max="8" width="21" style="63" bestFit="1" customWidth="1"/>
    <col min="9" max="9" width="5.59765625" style="63" bestFit="1" customWidth="1"/>
    <col min="10" max="16384" width="9.19921875" style="63"/>
  </cols>
  <sheetData>
    <row r="1" spans="1:9" ht="19" x14ac:dyDescent="0.25">
      <c r="A1" s="62" t="s">
        <v>60</v>
      </c>
    </row>
    <row r="2" spans="1:9" ht="15" thickBot="1" x14ac:dyDescent="0.25"/>
    <row r="3" spans="1:9" ht="15" thickBot="1" x14ac:dyDescent="0.25">
      <c r="A3" s="64" t="s">
        <v>61</v>
      </c>
      <c r="C3" s="64" t="s">
        <v>0</v>
      </c>
      <c r="F3" s="64" t="s">
        <v>1</v>
      </c>
      <c r="H3" s="65" t="s">
        <v>11</v>
      </c>
      <c r="I3" s="66" t="s">
        <v>12</v>
      </c>
    </row>
    <row r="4" spans="1:9" x14ac:dyDescent="0.2">
      <c r="B4" s="67" t="s">
        <v>2</v>
      </c>
      <c r="C4" s="68">
        <v>4500</v>
      </c>
      <c r="E4" s="67" t="s">
        <v>3</v>
      </c>
      <c r="F4" s="69">
        <f>C4*MIN(C7,C9)</f>
        <v>450000</v>
      </c>
      <c r="H4" s="70" t="s">
        <v>13</v>
      </c>
      <c r="I4" s="71" t="s">
        <v>14</v>
      </c>
    </row>
    <row r="5" spans="1:9" x14ac:dyDescent="0.2">
      <c r="B5" s="67" t="s">
        <v>4</v>
      </c>
      <c r="C5" s="68">
        <v>250000</v>
      </c>
      <c r="E5" s="67" t="s">
        <v>5</v>
      </c>
      <c r="F5" s="72">
        <f>IF(C9&gt;0,C5,0)</f>
        <v>250000</v>
      </c>
      <c r="H5" s="73" t="s">
        <v>15</v>
      </c>
      <c r="I5" s="74" t="s">
        <v>16</v>
      </c>
    </row>
    <row r="6" spans="1:9" ht="15" thickBot="1" x14ac:dyDescent="0.25">
      <c r="B6" s="67" t="s">
        <v>6</v>
      </c>
      <c r="C6" s="68">
        <v>2000</v>
      </c>
      <c r="E6" s="67" t="s">
        <v>7</v>
      </c>
      <c r="F6" s="75">
        <f>C6*C9</f>
        <v>200000</v>
      </c>
      <c r="H6" s="73" t="s">
        <v>17</v>
      </c>
      <c r="I6" s="74" t="s">
        <v>18</v>
      </c>
    </row>
    <row r="7" spans="1:9" ht="15" thickBot="1" x14ac:dyDescent="0.25">
      <c r="B7" s="67" t="s">
        <v>8</v>
      </c>
      <c r="C7" s="76" t="s">
        <v>58</v>
      </c>
      <c r="E7" s="67" t="s">
        <v>9</v>
      </c>
      <c r="F7" s="77">
        <f>F4-(F5+F6)</f>
        <v>0</v>
      </c>
      <c r="H7" s="73" t="s">
        <v>19</v>
      </c>
      <c r="I7" s="74" t="s">
        <v>20</v>
      </c>
    </row>
    <row r="8" spans="1:9" ht="15" thickBot="1" x14ac:dyDescent="0.25">
      <c r="F8" s="78"/>
      <c r="H8" s="73" t="s">
        <v>21</v>
      </c>
      <c r="I8" s="74" t="s">
        <v>22</v>
      </c>
    </row>
    <row r="9" spans="1:9" ht="15" thickBot="1" x14ac:dyDescent="0.25">
      <c r="B9" s="67" t="s">
        <v>10</v>
      </c>
      <c r="C9" s="79">
        <v>100</v>
      </c>
      <c r="E9" s="67" t="s">
        <v>23</v>
      </c>
      <c r="F9" s="80">
        <f>C5/(C4-C6)</f>
        <v>100</v>
      </c>
      <c r="H9" s="73" t="s">
        <v>24</v>
      </c>
      <c r="I9" s="74" t="s">
        <v>25</v>
      </c>
    </row>
    <row r="10" spans="1:9" x14ac:dyDescent="0.2">
      <c r="H10" s="73" t="s">
        <v>26</v>
      </c>
      <c r="I10" s="74" t="s">
        <v>27</v>
      </c>
    </row>
    <row r="11" spans="1:9" x14ac:dyDescent="0.2">
      <c r="H11" s="73" t="s">
        <v>28</v>
      </c>
      <c r="I11" s="74" t="s">
        <v>29</v>
      </c>
    </row>
    <row r="12" spans="1:9" x14ac:dyDescent="0.2">
      <c r="H12" s="73" t="s">
        <v>30</v>
      </c>
      <c r="I12" s="74" t="s">
        <v>31</v>
      </c>
    </row>
    <row r="13" spans="1:9" ht="15" thickBot="1" x14ac:dyDescent="0.25">
      <c r="H13" s="81" t="s">
        <v>32</v>
      </c>
      <c r="I13" s="82" t="s">
        <v>33</v>
      </c>
    </row>
    <row r="16" spans="1:9" x14ac:dyDescent="0.2">
      <c r="A16" s="64" t="s">
        <v>46</v>
      </c>
      <c r="B16" s="37" t="s">
        <v>42</v>
      </c>
      <c r="C16" s="37" t="s">
        <v>43</v>
      </c>
      <c r="D16" s="37" t="s">
        <v>41</v>
      </c>
      <c r="E16" s="37" t="s">
        <v>21</v>
      </c>
    </row>
    <row r="17" spans="2:5" x14ac:dyDescent="0.2">
      <c r="B17" s="86">
        <v>0</v>
      </c>
      <c r="C17" s="87">
        <f>$C$5+$C$6*B17</f>
        <v>250000</v>
      </c>
      <c r="D17" s="87">
        <f>B17*$C$4</f>
        <v>0</v>
      </c>
      <c r="E17" s="87">
        <f>D17-C17</f>
        <v>-250000</v>
      </c>
    </row>
    <row r="18" spans="2:5" x14ac:dyDescent="0.2">
      <c r="B18" s="86">
        <v>20</v>
      </c>
      <c r="C18" s="87">
        <f t="shared" ref="C18:C25" si="0">$C$5+$C$6*B18</f>
        <v>290000</v>
      </c>
      <c r="D18" s="87">
        <f t="shared" ref="D18:D25" si="1">B18*$C$4</f>
        <v>90000</v>
      </c>
      <c r="E18" s="87">
        <f t="shared" ref="E18:E25" si="2">D18-C18</f>
        <v>-200000</v>
      </c>
    </row>
    <row r="19" spans="2:5" x14ac:dyDescent="0.2">
      <c r="B19" s="86">
        <v>40</v>
      </c>
      <c r="C19" s="87">
        <f t="shared" si="0"/>
        <v>330000</v>
      </c>
      <c r="D19" s="87">
        <f t="shared" si="1"/>
        <v>180000</v>
      </c>
      <c r="E19" s="87">
        <f t="shared" si="2"/>
        <v>-150000</v>
      </c>
    </row>
    <row r="20" spans="2:5" x14ac:dyDescent="0.2">
      <c r="B20" s="86">
        <v>60</v>
      </c>
      <c r="C20" s="87">
        <f t="shared" si="0"/>
        <v>370000</v>
      </c>
      <c r="D20" s="87">
        <f t="shared" si="1"/>
        <v>270000</v>
      </c>
      <c r="E20" s="87">
        <f t="shared" si="2"/>
        <v>-100000</v>
      </c>
    </row>
    <row r="21" spans="2:5" x14ac:dyDescent="0.2">
      <c r="B21" s="86">
        <v>80</v>
      </c>
      <c r="C21" s="87">
        <f t="shared" si="0"/>
        <v>410000</v>
      </c>
      <c r="D21" s="87">
        <f t="shared" si="1"/>
        <v>360000</v>
      </c>
      <c r="E21" s="87">
        <f t="shared" si="2"/>
        <v>-50000</v>
      </c>
    </row>
    <row r="22" spans="2:5" x14ac:dyDescent="0.2">
      <c r="B22" s="88">
        <v>100</v>
      </c>
      <c r="C22" s="89">
        <f t="shared" si="0"/>
        <v>450000</v>
      </c>
      <c r="D22" s="89">
        <f t="shared" si="1"/>
        <v>450000</v>
      </c>
      <c r="E22" s="89">
        <f t="shared" si="2"/>
        <v>0</v>
      </c>
    </row>
    <row r="23" spans="2:5" x14ac:dyDescent="0.2">
      <c r="B23" s="86">
        <v>120</v>
      </c>
      <c r="C23" s="87">
        <f t="shared" si="0"/>
        <v>490000</v>
      </c>
      <c r="D23" s="87">
        <f t="shared" si="1"/>
        <v>540000</v>
      </c>
      <c r="E23" s="87">
        <f t="shared" si="2"/>
        <v>50000</v>
      </c>
    </row>
    <row r="24" spans="2:5" x14ac:dyDescent="0.2">
      <c r="B24" s="86">
        <v>140</v>
      </c>
      <c r="C24" s="87">
        <f t="shared" si="0"/>
        <v>530000</v>
      </c>
      <c r="D24" s="87">
        <f t="shared" si="1"/>
        <v>630000</v>
      </c>
      <c r="E24" s="87">
        <f t="shared" si="2"/>
        <v>100000</v>
      </c>
    </row>
    <row r="25" spans="2:5" x14ac:dyDescent="0.2">
      <c r="B25" s="86">
        <v>160</v>
      </c>
      <c r="C25" s="87">
        <f t="shared" si="0"/>
        <v>570000</v>
      </c>
      <c r="D25" s="87">
        <f t="shared" si="1"/>
        <v>720000</v>
      </c>
      <c r="E25" s="87">
        <f t="shared" si="2"/>
        <v>150000</v>
      </c>
    </row>
    <row r="35" spans="1:6" ht="15" thickBot="1" x14ac:dyDescent="0.25">
      <c r="A35" s="64"/>
      <c r="C35" s="64" t="s">
        <v>0</v>
      </c>
      <c r="F35" s="64" t="s">
        <v>1</v>
      </c>
    </row>
    <row r="36" spans="1:6" x14ac:dyDescent="0.2">
      <c r="B36" s="67" t="s">
        <v>2</v>
      </c>
      <c r="C36" s="68">
        <v>4500</v>
      </c>
      <c r="E36" s="67" t="s">
        <v>3</v>
      </c>
      <c r="F36" s="69">
        <f>C36*MIN(C39,C41)</f>
        <v>0</v>
      </c>
    </row>
    <row r="37" spans="1:6" x14ac:dyDescent="0.2">
      <c r="B37" s="67" t="s">
        <v>4</v>
      </c>
      <c r="C37" s="90">
        <v>750000</v>
      </c>
      <c r="E37" s="67" t="s">
        <v>5</v>
      </c>
      <c r="F37" s="72">
        <f>IF(C41&gt;0,C37,0)</f>
        <v>0</v>
      </c>
    </row>
    <row r="38" spans="1:6" ht="15" thickBot="1" x14ac:dyDescent="0.25">
      <c r="B38" s="67" t="s">
        <v>6</v>
      </c>
      <c r="C38" s="68">
        <v>2000</v>
      </c>
      <c r="E38" s="67" t="s">
        <v>7</v>
      </c>
      <c r="F38" s="75">
        <f>C38*C41</f>
        <v>0</v>
      </c>
    </row>
    <row r="39" spans="1:6" ht="15" thickBot="1" x14ac:dyDescent="0.25">
      <c r="B39" s="91" t="s">
        <v>8</v>
      </c>
      <c r="C39" s="92">
        <v>300</v>
      </c>
      <c r="E39" s="67" t="s">
        <v>9</v>
      </c>
      <c r="F39" s="77">
        <f>F36-(F37+F38)</f>
        <v>0</v>
      </c>
    </row>
    <row r="40" spans="1:6" ht="15" thickBot="1" x14ac:dyDescent="0.25">
      <c r="F40" s="78"/>
    </row>
    <row r="41" spans="1:6" ht="15" thickBot="1" x14ac:dyDescent="0.25">
      <c r="B41" s="67" t="s">
        <v>10</v>
      </c>
      <c r="C41" s="14">
        <f>IF(C39&gt;F41,C39,0)</f>
        <v>0</v>
      </c>
      <c r="E41" s="67" t="s">
        <v>23</v>
      </c>
      <c r="F41" s="80">
        <f>C37/(C36-C38)</f>
        <v>300</v>
      </c>
    </row>
    <row r="42" spans="1:6" x14ac:dyDescent="0.2">
      <c r="C42" s="93" t="str">
        <f ca="1">_xlfn.FORMULATEXT(C41)</f>
        <v>=IF(C39&gt;F41,C39,0)</v>
      </c>
    </row>
    <row r="43" spans="1:6" x14ac:dyDescent="0.2">
      <c r="C43" s="94"/>
    </row>
    <row r="44" spans="1:6" x14ac:dyDescent="0.2">
      <c r="C44" s="94"/>
    </row>
    <row r="45" spans="1:6" x14ac:dyDescent="0.2">
      <c r="C45" s="94"/>
    </row>
    <row r="46" spans="1:6" x14ac:dyDescent="0.2">
      <c r="C46" s="94"/>
    </row>
    <row r="47" spans="1:6" ht="15" thickBot="1" x14ac:dyDescent="0.25">
      <c r="A47" s="64"/>
      <c r="C47" s="64" t="s">
        <v>0</v>
      </c>
      <c r="F47" s="64" t="s">
        <v>1</v>
      </c>
    </row>
    <row r="48" spans="1:6" x14ac:dyDescent="0.2">
      <c r="B48" s="67" t="s">
        <v>2</v>
      </c>
      <c r="C48" s="68">
        <v>4500</v>
      </c>
      <c r="E48" s="67" t="s">
        <v>3</v>
      </c>
      <c r="F48" s="69">
        <f>C48*MIN(C51,C53)</f>
        <v>0</v>
      </c>
    </row>
    <row r="49" spans="2:6" x14ac:dyDescent="0.2">
      <c r="B49" s="67" t="s">
        <v>4</v>
      </c>
      <c r="C49" s="68">
        <v>250000</v>
      </c>
      <c r="E49" s="67" t="s">
        <v>5</v>
      </c>
      <c r="F49" s="72">
        <f>IF(C53&gt;0,C49,0)</f>
        <v>0</v>
      </c>
    </row>
    <row r="50" spans="2:6" ht="15" thickBot="1" x14ac:dyDescent="0.25">
      <c r="B50" s="91" t="s">
        <v>6</v>
      </c>
      <c r="C50" s="90">
        <v>3666.6666666666715</v>
      </c>
      <c r="E50" s="67" t="s">
        <v>7</v>
      </c>
      <c r="F50" s="75">
        <f>C50*C53</f>
        <v>0</v>
      </c>
    </row>
    <row r="51" spans="2:6" ht="15" thickBot="1" x14ac:dyDescent="0.25">
      <c r="B51" s="91" t="s">
        <v>8</v>
      </c>
      <c r="C51" s="92">
        <v>300</v>
      </c>
      <c r="E51" s="67" t="s">
        <v>9</v>
      </c>
      <c r="F51" s="77">
        <f>F48-(F49+F50)</f>
        <v>0</v>
      </c>
    </row>
    <row r="52" spans="2:6" ht="15" thickBot="1" x14ac:dyDescent="0.25">
      <c r="F52" s="78"/>
    </row>
    <row r="53" spans="2:6" ht="15" thickBot="1" x14ac:dyDescent="0.25">
      <c r="B53" s="67" t="s">
        <v>10</v>
      </c>
      <c r="C53" s="14">
        <f>IF(C51&gt;F53,C51,0)</f>
        <v>0</v>
      </c>
      <c r="E53" s="67" t="s">
        <v>23</v>
      </c>
      <c r="F53" s="80">
        <f>C49/(C48-C50)</f>
        <v>300.00000000000176</v>
      </c>
    </row>
    <row r="54" spans="2:6" x14ac:dyDescent="0.2">
      <c r="C54" s="93" t="str">
        <f ca="1">_xlfn.FORMULATEXT(C53)</f>
        <v>=IF(C51&gt;F53,C51,0)</v>
      </c>
    </row>
    <row r="60" spans="2:6" ht="15" thickBot="1" x14ac:dyDescent="0.25">
      <c r="C60" s="64" t="s">
        <v>0</v>
      </c>
      <c r="F60" s="64" t="s">
        <v>1</v>
      </c>
    </row>
    <row r="61" spans="2:6" x14ac:dyDescent="0.2">
      <c r="B61" s="67" t="s">
        <v>2</v>
      </c>
      <c r="C61" s="68">
        <v>4500</v>
      </c>
      <c r="E61" s="67" t="s">
        <v>3</v>
      </c>
      <c r="F61" s="69">
        <f>C61*MIN(C64,C66)</f>
        <v>1350000</v>
      </c>
    </row>
    <row r="62" spans="2:6" x14ac:dyDescent="0.2">
      <c r="B62" s="91" t="s">
        <v>4</v>
      </c>
      <c r="C62" s="90">
        <v>375000</v>
      </c>
      <c r="E62" s="67" t="s">
        <v>5</v>
      </c>
      <c r="F62" s="72">
        <f>IF(C66&gt;0,C62,0)</f>
        <v>375000</v>
      </c>
    </row>
    <row r="63" spans="2:6" ht="15" thickBot="1" x14ac:dyDescent="0.25">
      <c r="B63" s="91" t="s">
        <v>6</v>
      </c>
      <c r="C63" s="90">
        <v>3000</v>
      </c>
      <c r="E63" s="67" t="s">
        <v>7</v>
      </c>
      <c r="F63" s="75">
        <f>C63*C66</f>
        <v>900000</v>
      </c>
    </row>
    <row r="64" spans="2:6" ht="15" thickBot="1" x14ac:dyDescent="0.25">
      <c r="B64" s="91" t="s">
        <v>8</v>
      </c>
      <c r="C64" s="92">
        <v>300</v>
      </c>
      <c r="E64" s="67" t="s">
        <v>9</v>
      </c>
      <c r="F64" s="77">
        <f>F61-(F62+F63)</f>
        <v>75000</v>
      </c>
    </row>
    <row r="65" spans="2:6" ht="15" thickBot="1" x14ac:dyDescent="0.25">
      <c r="F65" s="78"/>
    </row>
    <row r="66" spans="2:6" ht="15" thickBot="1" x14ac:dyDescent="0.25">
      <c r="B66" s="67" t="s">
        <v>10</v>
      </c>
      <c r="C66" s="14">
        <f>IF(C64&gt;F66,C64,0)</f>
        <v>300</v>
      </c>
      <c r="E66" s="67" t="s">
        <v>23</v>
      </c>
      <c r="F66" s="95">
        <f>C62/(C61-C63)</f>
        <v>250</v>
      </c>
    </row>
    <row r="67" spans="2:6" x14ac:dyDescent="0.2">
      <c r="C67" s="93" t="str">
        <f ca="1">_xlfn.FORMULATEXT(C66)</f>
        <v>=IF(C64&gt;F66,C64,0)</v>
      </c>
    </row>
    <row r="71" spans="2:6" ht="15" thickBot="1" x14ac:dyDescent="0.25">
      <c r="C71" s="64" t="s">
        <v>0</v>
      </c>
      <c r="F71" s="64" t="s">
        <v>1</v>
      </c>
    </row>
    <row r="72" spans="2:6" x14ac:dyDescent="0.2">
      <c r="B72" s="91" t="s">
        <v>2</v>
      </c>
      <c r="C72" s="90">
        <v>2833.3333333333335</v>
      </c>
      <c r="E72" s="67" t="s">
        <v>3</v>
      </c>
      <c r="F72" s="69">
        <f>C72*MIN(C75,C77)</f>
        <v>0</v>
      </c>
    </row>
    <row r="73" spans="2:6" x14ac:dyDescent="0.2">
      <c r="B73" s="67" t="s">
        <v>4</v>
      </c>
      <c r="C73" s="68">
        <v>250000</v>
      </c>
      <c r="E73" s="67" t="s">
        <v>5</v>
      </c>
      <c r="F73" s="72">
        <f>IF(C77&gt;0,C73,0)</f>
        <v>0</v>
      </c>
    </row>
    <row r="74" spans="2:6" ht="15" thickBot="1" x14ac:dyDescent="0.25">
      <c r="B74" s="67" t="s">
        <v>6</v>
      </c>
      <c r="C74" s="68">
        <v>2000</v>
      </c>
      <c r="E74" s="67" t="s">
        <v>7</v>
      </c>
      <c r="F74" s="75">
        <f>C74*C77</f>
        <v>0</v>
      </c>
    </row>
    <row r="75" spans="2:6" ht="15" thickBot="1" x14ac:dyDescent="0.25">
      <c r="B75" s="91" t="s">
        <v>8</v>
      </c>
      <c r="C75" s="92">
        <v>300</v>
      </c>
      <c r="E75" s="67" t="s">
        <v>9</v>
      </c>
      <c r="F75" s="77">
        <f>F72-(F73+F74)</f>
        <v>0</v>
      </c>
    </row>
    <row r="76" spans="2:6" ht="15" thickBot="1" x14ac:dyDescent="0.25">
      <c r="F76" s="78"/>
    </row>
    <row r="77" spans="2:6" ht="15" thickBot="1" x14ac:dyDescent="0.25">
      <c r="B77" s="67" t="s">
        <v>10</v>
      </c>
      <c r="C77" s="14">
        <f>IF(C75&gt;F77,C75,0)</f>
        <v>0</v>
      </c>
      <c r="E77" s="67" t="s">
        <v>23</v>
      </c>
      <c r="F77" s="95">
        <f>C73/(C72-C74)</f>
        <v>299.99999999999994</v>
      </c>
    </row>
    <row r="78" spans="2:6" x14ac:dyDescent="0.2">
      <c r="C78" s="93" t="str">
        <f ca="1">_xlfn.FORMULATEXT(C77)</f>
        <v>=IF(C75&gt;F77,C75,0)</v>
      </c>
    </row>
    <row r="85" spans="2:6" ht="15" thickBot="1" x14ac:dyDescent="0.25">
      <c r="C85" s="64" t="s">
        <v>0</v>
      </c>
      <c r="F85" s="64" t="s">
        <v>1</v>
      </c>
    </row>
    <row r="86" spans="2:6" x14ac:dyDescent="0.2">
      <c r="B86" s="91" t="s">
        <v>2</v>
      </c>
      <c r="C86" s="90">
        <v>4500</v>
      </c>
      <c r="E86" s="67" t="s">
        <v>3</v>
      </c>
      <c r="F86" s="69">
        <f>C86*MIN(C89,C91)</f>
        <v>900000</v>
      </c>
    </row>
    <row r="87" spans="2:6" x14ac:dyDescent="0.2">
      <c r="B87" s="67" t="s">
        <v>4</v>
      </c>
      <c r="C87" s="68">
        <v>250000</v>
      </c>
      <c r="E87" s="67" t="s">
        <v>5</v>
      </c>
      <c r="F87" s="72">
        <f>IF(C91&gt;0,C87,0)</f>
        <v>250000</v>
      </c>
    </row>
    <row r="88" spans="2:6" ht="15" thickBot="1" x14ac:dyDescent="0.25">
      <c r="B88" s="67" t="s">
        <v>6</v>
      </c>
      <c r="C88" s="68">
        <v>2000</v>
      </c>
      <c r="E88" s="67" t="s">
        <v>7</v>
      </c>
      <c r="F88" s="75">
        <f>C88*C91</f>
        <v>600000</v>
      </c>
    </row>
    <row r="89" spans="2:6" ht="15" thickBot="1" x14ac:dyDescent="0.25">
      <c r="B89" s="91" t="s">
        <v>8</v>
      </c>
      <c r="C89" s="92">
        <v>200</v>
      </c>
      <c r="E89" s="67" t="s">
        <v>9</v>
      </c>
      <c r="F89" s="77">
        <f>F86-(F87+F88)</f>
        <v>50000</v>
      </c>
    </row>
    <row r="90" spans="2:6" ht="15" thickBot="1" x14ac:dyDescent="0.25">
      <c r="F90" s="78"/>
    </row>
    <row r="91" spans="2:6" ht="15" thickBot="1" x14ac:dyDescent="0.25">
      <c r="B91" s="67" t="s">
        <v>10</v>
      </c>
      <c r="C91" s="14">
        <v>300</v>
      </c>
      <c r="E91" s="67" t="s">
        <v>23</v>
      </c>
      <c r="F91" s="95">
        <f>C87/(C86-C88)</f>
        <v>100</v>
      </c>
    </row>
    <row r="92" spans="2:6" x14ac:dyDescent="0.2">
      <c r="C92" s="96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30</vt:i4>
      </vt:variant>
    </vt:vector>
  </HeadingPairs>
  <TitlesOfParts>
    <vt:vector size="40" baseType="lpstr">
      <vt:lpstr>1.1</vt:lpstr>
      <vt:lpstr>1.2</vt:lpstr>
      <vt:lpstr>1.3a</vt:lpstr>
      <vt:lpstr>1.3b</vt:lpstr>
      <vt:lpstr>1.3c</vt:lpstr>
      <vt:lpstr>1.4a,b,c</vt:lpstr>
      <vt:lpstr>1.4d</vt:lpstr>
      <vt:lpstr>1.4e</vt:lpstr>
      <vt:lpstr>1.5</vt:lpstr>
      <vt:lpstr>Case 1-1</vt:lpstr>
      <vt:lpstr>'1.3b'!BreakEvenPoint</vt:lpstr>
      <vt:lpstr>'1.3c'!BreakEvenPoint</vt:lpstr>
      <vt:lpstr>BreakEvenPoint</vt:lpstr>
      <vt:lpstr>'1.3b'!FixedCost</vt:lpstr>
      <vt:lpstr>'1.3c'!FixedCost</vt:lpstr>
      <vt:lpstr>FixedCost</vt:lpstr>
      <vt:lpstr>'1.3b'!MarginalCost</vt:lpstr>
      <vt:lpstr>'1.3c'!MarginalCost</vt:lpstr>
      <vt:lpstr>MarginalCost</vt:lpstr>
      <vt:lpstr>'1.3b'!ProductionQuantity</vt:lpstr>
      <vt:lpstr>'1.3c'!ProductionQuantity</vt:lpstr>
      <vt:lpstr>ProductionQuantity</vt:lpstr>
      <vt:lpstr>'1.3b'!Profit</vt:lpstr>
      <vt:lpstr>'1.3c'!Profit</vt:lpstr>
      <vt:lpstr>Profit</vt:lpstr>
      <vt:lpstr>'1.3b'!SalesForecast</vt:lpstr>
      <vt:lpstr>'1.3c'!SalesForecast</vt:lpstr>
      <vt:lpstr>SalesForecast</vt:lpstr>
      <vt:lpstr>'1.3b'!TotalFixedCost</vt:lpstr>
      <vt:lpstr>'1.3c'!TotalFixedCost</vt:lpstr>
      <vt:lpstr>TotalFixedCost</vt:lpstr>
      <vt:lpstr>'1.3b'!TotalRevenue</vt:lpstr>
      <vt:lpstr>'1.3c'!TotalRevenue</vt:lpstr>
      <vt:lpstr>TotalRevenue</vt:lpstr>
      <vt:lpstr>'1.3b'!TotalVariableCost</vt:lpstr>
      <vt:lpstr>'1.3c'!TotalVariableCost</vt:lpstr>
      <vt:lpstr>TotalVariableCost</vt:lpstr>
      <vt:lpstr>'1.3b'!UnitRevenue</vt:lpstr>
      <vt:lpstr>'1.3c'!UnitRevenue</vt:lpstr>
      <vt:lpstr>UnitRevenue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Saboorideilami, Vafa</cp:lastModifiedBy>
  <dcterms:modified xsi:type="dcterms:W3CDTF">2026-05-30T17:16:14Z</dcterms:modified>
</cp:coreProperties>
</file>